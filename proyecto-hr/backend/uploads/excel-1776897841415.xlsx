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azon" sheetId="1" r:id="rId5"/>
    <sheet state="visible" name="Hoja 8" sheetId="2" r:id="rId6"/>
    <sheet state="visible" name="Inasistencias" sheetId="3" r:id="rId7"/>
    <sheet state="visible" name="Tabla dinámica 7" sheetId="4" r:id="rId8"/>
    <sheet state="hidden" name="Tabla dinámica 3" sheetId="5" r:id="rId9"/>
    <sheet state="visible" name="AUSENCIA" sheetId="6" r:id="rId10"/>
    <sheet state="visible" name="horas x profesor" sheetId="7" r:id="rId11"/>
    <sheet state="hidden" name="Profxdpto" sheetId="8" r:id="rId12"/>
    <sheet state="hidden" name="Horas x dpto" sheetId="9" r:id="rId13"/>
    <sheet state="visible" name="Datos PUNTUALES" sheetId="10" r:id="rId14"/>
    <sheet state="visible" name="staf25" sheetId="11" r:id="rId15"/>
    <sheet state="hidden" name="Reemplazos x profes" sheetId="12" r:id="rId16"/>
  </sheets>
  <definedNames>
    <definedName hidden="1" localSheetId="2" name="_xlnm._FilterDatabase">Inasistencias!$A$1:$AC$1578</definedName>
    <definedName hidden="1" localSheetId="9" name="_xlnm._FilterDatabase">'Datos PUNTUALES'!$O$1:$AC$989</definedName>
    <definedName hidden="1" localSheetId="10" name="_xlnm._FilterDatabase">staf25!$B$1:$AB$163</definedName>
  </definedNames>
  <calcPr/>
  <pivotCaches>
    <pivotCache cacheId="0" r:id="rId17"/>
    <pivotCache cacheId="1" r:id="rId18"/>
    <pivotCache cacheId="2" r:id="rId19"/>
    <pivotCache cacheId="3" r:id="rId20"/>
  </pivotCaches>
</workbook>
</file>

<file path=xl/sharedStrings.xml><?xml version="1.0" encoding="utf-8"?>
<sst xmlns="http://schemas.openxmlformats.org/spreadsheetml/2006/main" count="5205" uniqueCount="925">
  <si>
    <t>Razon de ausencua</t>
  </si>
  <si>
    <t>otro comentario</t>
  </si>
  <si>
    <t>Razon</t>
  </si>
  <si>
    <t>COUNTA of ausente</t>
  </si>
  <si>
    <t>Capacitacion</t>
  </si>
  <si>
    <t>DEBATE</t>
  </si>
  <si>
    <t>Enfermedad</t>
  </si>
  <si>
    <t>Evento Interno</t>
  </si>
  <si>
    <t>Familiar a cargo</t>
  </si>
  <si>
    <t>Preocupacional</t>
  </si>
  <si>
    <t>Problema Familiar</t>
  </si>
  <si>
    <t>Reciprocidad con el otro Colegio</t>
  </si>
  <si>
    <t>Sin profesor</t>
  </si>
  <si>
    <t>Tema Personal</t>
  </si>
  <si>
    <t>Viaje Escolar</t>
  </si>
  <si>
    <t>VIaje Personal</t>
  </si>
  <si>
    <t xml:space="preserve">Total </t>
  </si>
  <si>
    <t>5to año (RETIRO)</t>
  </si>
  <si>
    <t>Total 5to año (RETIRO)</t>
  </si>
  <si>
    <t>Acuerdo</t>
  </si>
  <si>
    <t>Total Acuerdo</t>
  </si>
  <si>
    <t xml:space="preserve">acuerdo </t>
  </si>
  <si>
    <t xml:space="preserve">Total acuerdo </t>
  </si>
  <si>
    <t>COGNIA</t>
  </si>
  <si>
    <t>Total COGNIA</t>
  </si>
  <si>
    <t>ENTREGA FE LA PALABRA DE UN HIJO</t>
  </si>
  <si>
    <t>Total ENTREGA FE LA PALABRA DE UN HIJO</t>
  </si>
  <si>
    <t>llego 830</t>
  </si>
  <si>
    <t>Total llego 830</t>
  </si>
  <si>
    <t>profesores de 4to</t>
  </si>
  <si>
    <t>Total profesores de 4to</t>
  </si>
  <si>
    <t>Tiene 6to</t>
  </si>
  <si>
    <t>Total Tiene 6to</t>
  </si>
  <si>
    <t xml:space="preserve">Tiene acuerdo, hay otros q tienen horas que no se si pueden cubrir
</t>
  </si>
  <si>
    <t xml:space="preserve">Total Tiene acuerdo, hay otros q tienen horas que no se si pueden cubrir
</t>
  </si>
  <si>
    <t>torneo</t>
  </si>
  <si>
    <t>Total torneo</t>
  </si>
  <si>
    <t>tutoria</t>
  </si>
  <si>
    <t>Total tutoria</t>
  </si>
  <si>
    <t>VER CON JB</t>
  </si>
  <si>
    <t>Total VER CON JB</t>
  </si>
  <si>
    <t>Suma total</t>
  </si>
  <si>
    <t>1. actualizar horarios del año</t>
  </si>
  <si>
    <t>https://docs.google.com/spreadsheets/d/1GjpRghQ7dRUq8-urxKF8BEGtZBh4hPqyd0mMf-jHQOY/edit#gid=344408511</t>
  </si>
  <si>
    <t>2. actualizar fechas feirados</t>
  </si>
  <si>
    <t xml:space="preserve"> </t>
  </si>
  <si>
    <t>dia</t>
  </si>
  <si>
    <t>fecha</t>
  </si>
  <si>
    <t>hora</t>
  </si>
  <si>
    <t>Clase</t>
  </si>
  <si>
    <t>reemplaza</t>
  </si>
  <si>
    <t>Se pago Adicional? (sin permanencia)</t>
  </si>
  <si>
    <t>Ausente</t>
  </si>
  <si>
    <t>comentario</t>
  </si>
  <si>
    <t>Trajo Certificado?</t>
  </si>
  <si>
    <t>MES (AUTOMATICA)</t>
  </si>
  <si>
    <t>5P</t>
  </si>
  <si>
    <t>Facundo Laborde</t>
  </si>
  <si>
    <t>#</t>
  </si>
  <si>
    <t>Maria del PIlar Fernandez</t>
  </si>
  <si>
    <t>NO ESTA REGISTRADO EN REMPLAZOS</t>
  </si>
  <si>
    <t>5O</t>
  </si>
  <si>
    <t>4A</t>
  </si>
  <si>
    <t>Facundo Terrana</t>
  </si>
  <si>
    <t>4B</t>
  </si>
  <si>
    <t>2B</t>
  </si>
  <si>
    <t>Mercedes Vitullo</t>
  </si>
  <si>
    <t>Maria Soledad Arrambide</t>
  </si>
  <si>
    <t>https://oakhill.handing.co/posts/1062846</t>
  </si>
  <si>
    <t>2A</t>
  </si>
  <si>
    <t>Astrid Vanina Santa Maria</t>
  </si>
  <si>
    <t>Carolina Ferrari Aldaz</t>
  </si>
  <si>
    <t>6P</t>
  </si>
  <si>
    <t>Lucas Gerk</t>
  </si>
  <si>
    <t>6O</t>
  </si>
  <si>
    <t>Alvarez</t>
  </si>
  <si>
    <t>1A</t>
  </si>
  <si>
    <t>Aylén Junquet</t>
  </si>
  <si>
    <t>6 Basico</t>
  </si>
  <si>
    <t>Maria Guadalupe Reyes</t>
  </si>
  <si>
    <t>Silvana Morel</t>
  </si>
  <si>
    <t>Bentes</t>
  </si>
  <si>
    <t>1B</t>
  </si>
  <si>
    <t>Bárbara Cornejo</t>
  </si>
  <si>
    <t>Juan Bautista De Las Carreras</t>
  </si>
  <si>
    <t>3b</t>
  </si>
  <si>
    <t>Ezequiel Beccar Varela</t>
  </si>
  <si>
    <t>Manuela Freire</t>
  </si>
  <si>
    <t>6to basico</t>
  </si>
  <si>
    <t>Cecilia Lund Petersen</t>
  </si>
  <si>
    <t>Soledad Vilar</t>
  </si>
  <si>
    <t>Perdio el colectivo</t>
  </si>
  <si>
    <t>4to Basico</t>
  </si>
  <si>
    <t>4 SCIENCE</t>
  </si>
  <si>
    <t>04 abril 21-27</t>
  </si>
  <si>
    <t>Prefectura</t>
  </si>
  <si>
    <t>Verónica Desivo</t>
  </si>
  <si>
    <t>3A</t>
  </si>
  <si>
    <t>Luciana Natalia Cabrera</t>
  </si>
  <si>
    <t>Juan Ignacio Cacciamano</t>
  </si>
  <si>
    <t>3B</t>
  </si>
  <si>
    <t>Eduardo Gabriel Rougier</t>
  </si>
  <si>
    <t>Lucila Lago</t>
  </si>
  <si>
    <t>Rocio Rey Metzler</t>
  </si>
  <si>
    <t>5 O</t>
  </si>
  <si>
    <t>Marina Aberg Cobo</t>
  </si>
  <si>
    <t>5 P</t>
  </si>
  <si>
    <t>Cecilia Moirano</t>
  </si>
  <si>
    <t>6 O</t>
  </si>
  <si>
    <t>María Candelaria Roca González Del Solar</t>
  </si>
  <si>
    <t>María Laura Loyola</t>
  </si>
  <si>
    <t>Agustina Bieule</t>
  </si>
  <si>
    <t>María Guadalupe Blasco</t>
  </si>
  <si>
    <t>Roberta Ludueña</t>
  </si>
  <si>
    <t>Valeria Denise Carmona</t>
  </si>
  <si>
    <t>Champaquí</t>
  </si>
  <si>
    <t xml:space="preserve">04 abril 28- 4/5 FERIADO 1de mayo </t>
  </si>
  <si>
    <t>Catalina Novo</t>
  </si>
  <si>
    <t>5O FC</t>
  </si>
  <si>
    <t>Sofia Salgado</t>
  </si>
  <si>
    <t>5P FC</t>
  </si>
  <si>
    <t>María De Las Mercedes Pesado Riccardi</t>
  </si>
  <si>
    <t>60 FC</t>
  </si>
  <si>
    <t>6P FC</t>
  </si>
  <si>
    <t>https://docs.google.com/spreadsheets/d/18UbEYkqr91lzz72jr6j7k6fIA8yPcMGBBE-dC8Ufbvk/edit?gid=0#gid=0</t>
  </si>
  <si>
    <t xml:space="preserve">05 Mayo 05/5 - 11/5 </t>
  </si>
  <si>
    <t>María Gabriela Redolfi</t>
  </si>
  <si>
    <t xml:space="preserve">anika </t>
  </si>
  <si>
    <t>Mica Carlino</t>
  </si>
  <si>
    <t>Verónica María Bonadeo</t>
  </si>
  <si>
    <t>1b</t>
  </si>
  <si>
    <t>Anechina</t>
  </si>
  <si>
    <t>Federico Ruiz</t>
  </si>
  <si>
    <t xml:space="preserve">05 Mayo 12/5 - 18/5 </t>
  </si>
  <si>
    <t>Marcos Berro García</t>
  </si>
  <si>
    <t>FC 4O</t>
  </si>
  <si>
    <t>FC 1A</t>
  </si>
  <si>
    <t>FC 3A</t>
  </si>
  <si>
    <t xml:space="preserve">1A </t>
  </si>
  <si>
    <t xml:space="preserve">3A </t>
  </si>
  <si>
    <t>4P</t>
  </si>
  <si>
    <t>Gabriel Aluzzo</t>
  </si>
  <si>
    <t>Valeria Cerruti</t>
  </si>
  <si>
    <t xml:space="preserve">05 Mayo 19/5 - 23/5 </t>
  </si>
  <si>
    <t>acuerdo</t>
  </si>
  <si>
    <t>Federico Martín Ruiz</t>
  </si>
  <si>
    <t>Ana Camila Urbancic</t>
  </si>
  <si>
    <t>Gonzalo Matheu</t>
  </si>
  <si>
    <t>6 avanzada</t>
  </si>
  <si>
    <t>5 avanzada</t>
  </si>
  <si>
    <t>4 avanzada</t>
  </si>
  <si>
    <t>Licencia académica (Facultad)</t>
  </si>
  <si>
    <t>4O</t>
  </si>
  <si>
    <t>salida/ convivencia</t>
  </si>
  <si>
    <t>Mai/Couma</t>
  </si>
  <si>
    <t>Maria del Pilar Fernandez</t>
  </si>
  <si>
    <t>prof de 6to x RETIRO</t>
  </si>
  <si>
    <t xml:space="preserve">05 Mayo 26/5 - 1/6 </t>
  </si>
  <si>
    <t>4to</t>
  </si>
  <si>
    <t>FH</t>
  </si>
  <si>
    <t xml:space="preserve">06 junio  2/6 - 9/6 </t>
  </si>
  <si>
    <t>IT</t>
  </si>
  <si>
    <t>FH con JM</t>
  </si>
  <si>
    <t>Actividad de arte</t>
  </si>
  <si>
    <t>Clara Gobbée</t>
  </si>
  <si>
    <t>Andrea Paez</t>
  </si>
  <si>
    <t>URBANCIC, ANA CAMILA</t>
  </si>
  <si>
    <t xml:space="preserve">Reunión con padres </t>
  </si>
  <si>
    <t xml:space="preserve">06  JUNIO  9/6 - 15/6 </t>
  </si>
  <si>
    <t>Turno/ Estudios Médicos</t>
  </si>
  <si>
    <t>choque camino colehio</t>
  </si>
  <si>
    <t>Campamento</t>
  </si>
  <si>
    <t>https://docs.google.com/spreadsheets/d/1DNSk79ZSCBo_yQHv8TFJPXZC6lrZCyDXcT-k62Z6CY0/edit</t>
  </si>
  <si>
    <t>Trámite</t>
  </si>
  <si>
    <t>4B/A</t>
  </si>
  <si>
    <t>Salida Apoyo escolar</t>
  </si>
  <si>
    <t>Salida apoyo escolar</t>
  </si>
  <si>
    <t>NO INFORMA RAZON</t>
  </si>
  <si>
    <t>5 adv</t>
  </si>
  <si>
    <t>Jura bancera del hijo</t>
  </si>
  <si>
    <t>4adv</t>
  </si>
  <si>
    <t xml:space="preserve">06  JUNIO  23/6 - 27/6 </t>
  </si>
  <si>
    <t>6TO O</t>
  </si>
  <si>
    <t>Anika</t>
  </si>
  <si>
    <t>1A LIDERAZGO</t>
  </si>
  <si>
    <t>3A LIDER</t>
  </si>
  <si>
    <t>2A LIDE</t>
  </si>
  <si>
    <t>6P FILO</t>
  </si>
  <si>
    <t xml:space="preserve">07  JUN/JULIO  30/6 - 4/7 </t>
  </si>
  <si>
    <t>6O FILO</t>
  </si>
  <si>
    <t>FILO 6O</t>
  </si>
  <si>
    <t>07  JULIO  7/7 - 10/7</t>
  </si>
  <si>
    <t>NO ESPECIFICA</t>
  </si>
  <si>
    <t>L. al Servicio 1A</t>
  </si>
  <si>
    <t>L. al Servicio 3A</t>
  </si>
  <si>
    <t>L. al Servicio 2A</t>
  </si>
  <si>
    <t xml:space="preserve">07  JULIO  14/7 - 19/7 </t>
  </si>
  <si>
    <t>5P y O</t>
  </si>
  <si>
    <t>articulación</t>
  </si>
  <si>
    <t>6o</t>
  </si>
  <si>
    <t>Helena Pérez Mendoza</t>
  </si>
  <si>
    <t>Cecilia Garcia Reinoso</t>
  </si>
  <si>
    <t>08  AGOSTO  4/8 - 8/8</t>
  </si>
  <si>
    <t>Maryotti Vazquez</t>
  </si>
  <si>
    <t>08  AGOSTO  11/8 - 14/8</t>
  </si>
  <si>
    <t>FC 3B</t>
  </si>
  <si>
    <t>FC 2B</t>
  </si>
  <si>
    <t>08  AGOSTO  18/8 - 22/8</t>
  </si>
  <si>
    <t xml:space="preserve"> 08  AGOSTO  25/8 - 29/8</t>
  </si>
  <si>
    <t>ALMUERZO</t>
  </si>
  <si>
    <t>01  SEPTIEMBRE  1/9 - 7/9</t>
  </si>
  <si>
    <t>02SEPTIEMBRE  15/9 - 19/9</t>
  </si>
  <si>
    <t>Consuelo Rodriguez Piola</t>
  </si>
  <si>
    <t>LaS 1A</t>
  </si>
  <si>
    <t>Las 3A</t>
  </si>
  <si>
    <t>LaS 2A</t>
  </si>
  <si>
    <t>COUNTA de fecha</t>
  </si>
  <si>
    <t>Total Evento Interno</t>
  </si>
  <si>
    <t>Total Problema Familiar</t>
  </si>
  <si>
    <t>Total Enfermedad</t>
  </si>
  <si>
    <t>Total Familiar a cargo</t>
  </si>
  <si>
    <t>Total Tema Personal</t>
  </si>
  <si>
    <t>Total Licencia académica (Facultad)</t>
  </si>
  <si>
    <t>Total Turno/ Estudios Médicos</t>
  </si>
  <si>
    <t>Total Viaje Escolar</t>
  </si>
  <si>
    <t>Total VIaje Personal</t>
  </si>
  <si>
    <t xml:space="preserve">Total Reunión con padres </t>
  </si>
  <si>
    <t>Total Sin profesor</t>
  </si>
  <si>
    <t>Total Capacitacion</t>
  </si>
  <si>
    <t>Total DEBATE</t>
  </si>
  <si>
    <t>Total Reciprocidad con el otro Colegio</t>
  </si>
  <si>
    <t>Total Trámite</t>
  </si>
  <si>
    <t>Total Preocupacional</t>
  </si>
  <si>
    <t>COUNTA de reemplaza</t>
  </si>
  <si>
    <t>Profesor ausente</t>
  </si>
  <si>
    <t>Horas AUSENTES  (sin eventos convocados del colegio)</t>
  </si>
  <si>
    <t>CANT de horas de clase del prof desde inicio de clases</t>
  </si>
  <si>
    <t>% ausencia de total de horas</t>
  </si>
  <si>
    <t>Nombre de chequeo</t>
  </si>
  <si>
    <t>Inicio de clases</t>
  </si>
  <si>
    <t>HOY</t>
  </si>
  <si>
    <t>Dias</t>
  </si>
  <si>
    <t>semanas</t>
  </si>
  <si>
    <t>CANT de horas desde inicio de clases</t>
  </si>
  <si>
    <t>MARÍA EUGENIA ANECHINA</t>
  </si>
  <si>
    <t>BECCAR VARELA</t>
  </si>
  <si>
    <t xml:space="preserve"> EZEQUIEL</t>
  </si>
  <si>
    <t>BENTES</t>
  </si>
  <si>
    <t xml:space="preserve"> Christiane</t>
  </si>
  <si>
    <t>BERRO</t>
  </si>
  <si>
    <t xml:space="preserve"> MARCOS</t>
  </si>
  <si>
    <t>BIEULE Agustina</t>
  </si>
  <si>
    <t>BLASCO</t>
  </si>
  <si>
    <t xml:space="preserve"> Guadalupe</t>
  </si>
  <si>
    <t>BONADEO VERÓNICA</t>
  </si>
  <si>
    <t>CABRERA</t>
  </si>
  <si>
    <t xml:space="preserve"> Luciana</t>
  </si>
  <si>
    <t>CARLINO, Micaela</t>
  </si>
  <si>
    <t>CARLINO</t>
  </si>
  <si>
    <t xml:space="preserve"> Micaela</t>
  </si>
  <si>
    <t>CARMONA</t>
  </si>
  <si>
    <t xml:space="preserve"> Valeria</t>
  </si>
  <si>
    <t>CERUTTI</t>
  </si>
  <si>
    <t xml:space="preserve"> VALERIA</t>
  </si>
  <si>
    <t>CORNEJO</t>
  </si>
  <si>
    <t xml:space="preserve"> Bárbara</t>
  </si>
  <si>
    <t>DE LAS CARRERAS Juan Bautista</t>
  </si>
  <si>
    <t>Cecilia Inés Dubini</t>
  </si>
  <si>
    <t>DUBINI</t>
  </si>
  <si>
    <t xml:space="preserve"> CECILIA</t>
  </si>
  <si>
    <t>FERNÁNDEZ</t>
  </si>
  <si>
    <t xml:space="preserve"> PILAR</t>
  </si>
  <si>
    <t>FERRARI ALDAZ CAROLINA</t>
  </si>
  <si>
    <t>FREIRE</t>
  </si>
  <si>
    <t xml:space="preserve"> MANUELA</t>
  </si>
  <si>
    <t>Marcos Galván</t>
  </si>
  <si>
    <t>GALVAN MARCOS</t>
  </si>
  <si>
    <t>GARCIA REINOSO CECILIA</t>
  </si>
  <si>
    <t>GONZALEZ MONDEJAR MARIANA</t>
  </si>
  <si>
    <t>Martín Guareschi</t>
  </si>
  <si>
    <t>GUARESCHI</t>
  </si>
  <si>
    <t xml:space="preserve"> MARTÍN</t>
  </si>
  <si>
    <t>JUNQUET, AYLÉN</t>
  </si>
  <si>
    <t>JUNQUET</t>
  </si>
  <si>
    <t xml:space="preserve"> AYLÉN</t>
  </si>
  <si>
    <t>LABORDE</t>
  </si>
  <si>
    <t xml:space="preserve"> Facundo</t>
  </si>
  <si>
    <t>LOYOLA MARIA LAURA</t>
  </si>
  <si>
    <t>LUDUEÑA Roberta</t>
  </si>
  <si>
    <t>LUND PETERSEN CECILIA</t>
  </si>
  <si>
    <t>MAI NICOLAS</t>
  </si>
  <si>
    <t>MATHEU, Gonzalo</t>
  </si>
  <si>
    <t>MATHEU</t>
  </si>
  <si>
    <t xml:space="preserve"> Gonzalo</t>
  </si>
  <si>
    <t>Diego Millet</t>
  </si>
  <si>
    <t>MILLET DIEGO ANDRES</t>
  </si>
  <si>
    <t>MOIRANO CECILIA</t>
  </si>
  <si>
    <t>Maria Laura Muiño</t>
  </si>
  <si>
    <t>MUIÑO</t>
  </si>
  <si>
    <t xml:space="preserve"> MARÍA LAURA</t>
  </si>
  <si>
    <t>PÉREZ MENDOZA</t>
  </si>
  <si>
    <t xml:space="preserve"> HELENA</t>
  </si>
  <si>
    <t>PESADO RICCARDI MARIA</t>
  </si>
  <si>
    <t>PINCINI, ROMINA ELIANA</t>
  </si>
  <si>
    <t>PINCINI</t>
  </si>
  <si>
    <t xml:space="preserve"> ROMINA ELIANA</t>
  </si>
  <si>
    <t>Florencia Piolanti</t>
  </si>
  <si>
    <t>PIOLANTI FLORENCIA</t>
  </si>
  <si>
    <t>REDOLFI MARÍA GABRIELA</t>
  </si>
  <si>
    <t>REY METZLER</t>
  </si>
  <si>
    <t xml:space="preserve"> ROCIO</t>
  </si>
  <si>
    <t>REYES MARIA GUADALUPE</t>
  </si>
  <si>
    <t>ROCA GONZALEZ DEL SOLAR MC</t>
  </si>
  <si>
    <t>ROUGIER EDUARDO GABRIEL</t>
  </si>
  <si>
    <t>RUIZ FEDERICO MARTIN</t>
  </si>
  <si>
    <t>TERRANA</t>
  </si>
  <si>
    <t xml:space="preserve"> FACUNDO</t>
  </si>
  <si>
    <t>URBANCIC</t>
  </si>
  <si>
    <t xml:space="preserve"> ANA CAMILA</t>
  </si>
  <si>
    <t>VALLE, Fernando Xavier</t>
  </si>
  <si>
    <t>VALLE</t>
  </si>
  <si>
    <t xml:space="preserve"> Fernando Xavier</t>
  </si>
  <si>
    <t>VASQUEZ RONDON, Maryoti</t>
  </si>
  <si>
    <t>VASQUEZ RONDON</t>
  </si>
  <si>
    <t xml:space="preserve"> Maryoti</t>
  </si>
  <si>
    <t>VITULLO</t>
  </si>
  <si>
    <t xml:space="preserve"> MERCEDES</t>
  </si>
  <si>
    <t>sin numeral</t>
  </si>
  <si>
    <t xml:space="preserve">sobran </t>
  </si>
  <si>
    <t>Semanas de clases</t>
  </si>
  <si>
    <t>Hora de clases totales</t>
  </si>
  <si>
    <t>Ausencias</t>
  </si>
  <si>
    <t>% de ausencias</t>
  </si>
  <si>
    <t>horas totalesx semana 2022</t>
  </si>
  <si>
    <t>ABERG COBO</t>
  </si>
  <si>
    <t>Marina</t>
  </si>
  <si>
    <t>Staff</t>
  </si>
  <si>
    <t>ES</t>
  </si>
  <si>
    <t>Docentes</t>
  </si>
  <si>
    <t>mabergcobo@oakhillpilar.edu.ar</t>
  </si>
  <si>
    <t>ABERG COBO, Marina</t>
  </si>
  <si>
    <t>ALUZZO</t>
  </si>
  <si>
    <t>Gabriel</t>
  </si>
  <si>
    <t>galuzzo@oakhillpilar.edu.ar</t>
  </si>
  <si>
    <t>ALUZZO, Gabriel</t>
  </si>
  <si>
    <t>AQUINO</t>
  </si>
  <si>
    <t>Nelson</t>
  </si>
  <si>
    <t>Admin.lectura</t>
  </si>
  <si>
    <t>naquino@oakhillpilar.edu.ar</t>
  </si>
  <si>
    <t>AQUINO, Nelson</t>
  </si>
  <si>
    <t>NETWORKDAYS.INTL</t>
  </si>
  <si>
    <t>ARRAMBIDE</t>
  </si>
  <si>
    <t>Maria Soledad</t>
  </si>
  <si>
    <t>Admin</t>
  </si>
  <si>
    <t>sarrambide@oakhillpilar.edu.ar</t>
  </si>
  <si>
    <t>solearrambide@gmail.com</t>
  </si>
  <si>
    <t>ARRAMBIDE, Maria Soledad</t>
  </si>
  <si>
    <t>AZQUETA</t>
  </si>
  <si>
    <t>Pilar</t>
  </si>
  <si>
    <t>pazqueta@oakhillpilar.edu.ar</t>
  </si>
  <si>
    <t>azquetapilar@gmail.com</t>
  </si>
  <si>
    <t>AZQUETA, Pilar</t>
  </si>
  <si>
    <t>BAECK</t>
  </si>
  <si>
    <t>Pablo</t>
  </si>
  <si>
    <t>pbaeck@oakhillpilar.edu.ar</t>
  </si>
  <si>
    <t>BAECK, Pablo</t>
  </si>
  <si>
    <t>Christiane</t>
  </si>
  <si>
    <t>cbentes@oakhillpilar.edu.ar</t>
  </si>
  <si>
    <t>Cbentes035@gmail.com</t>
  </si>
  <si>
    <t>BENTES, Christiane</t>
  </si>
  <si>
    <t>PROFESORES</t>
  </si>
  <si>
    <t>RAZON</t>
  </si>
  <si>
    <t>FERIADOS</t>
  </si>
  <si>
    <t>14. Jueves Santo</t>
  </si>
  <si>
    <t>BERRO GARCÍA</t>
  </si>
  <si>
    <t>Marcos</t>
  </si>
  <si>
    <t>mberro@oakhillpilar.edu.ar</t>
  </si>
  <si>
    <t>marcosberro96@gmail.com</t>
  </si>
  <si>
    <t>BERRO GARCÍA, Marcos</t>
  </si>
  <si>
    <t>15. Viernes Santo</t>
  </si>
  <si>
    <t>BIEULE</t>
  </si>
  <si>
    <t>Agustina</t>
  </si>
  <si>
    <t>abieule@oakhillpilar.edu.ar</t>
  </si>
  <si>
    <t>BIEULE, Agustina</t>
  </si>
  <si>
    <t>. Feriado con fines turísticos</t>
  </si>
  <si>
    <t>María Guadalupe</t>
  </si>
  <si>
    <t>EP / ES</t>
  </si>
  <si>
    <t>gblasco@oakhillpilar.edu.ar</t>
  </si>
  <si>
    <t>mgblasco95@gmail.com</t>
  </si>
  <si>
    <t>BLASCO, María Guadalupe</t>
  </si>
  <si>
    <t>Aislamiento</t>
  </si>
  <si>
    <t>2. Día del Veterano y de los Caídos en la Guerra de Malvinas</t>
  </si>
  <si>
    <t>BLAZQUEZ PARODI</t>
  </si>
  <si>
    <t>Camila Belen</t>
  </si>
  <si>
    <t>cblazquez@oakhillpilar.edu.ar</t>
  </si>
  <si>
    <t>Camiblqz@gmail.com</t>
  </si>
  <si>
    <t>BLAZQUEZ PARODI, Camila Belen</t>
  </si>
  <si>
    <t>Licencia</t>
  </si>
  <si>
    <t>2. Día del Veterano y de los Caídos en la Guerra de Malvina</t>
  </si>
  <si>
    <t xml:space="preserve">Luciana Natalia </t>
  </si>
  <si>
    <t>lcabrera@oakhillpilar.edu.ar</t>
  </si>
  <si>
    <t>cabreraluciananatalia@outlook.com</t>
  </si>
  <si>
    <t>CABRERA, Luciana Natalia</t>
  </si>
  <si>
    <t>Micaela</t>
  </si>
  <si>
    <t>mcarlino@oakhillpilar.edu.ar</t>
  </si>
  <si>
    <t>Valeria Denise</t>
  </si>
  <si>
    <t>vcarmona@oakhillpilar.edu.ar</t>
  </si>
  <si>
    <t>valeriadenisecarmona@gmail.com</t>
  </si>
  <si>
    <t>CARMONA, Valeria Denise</t>
  </si>
  <si>
    <t>CARUSO PRAHL</t>
  </si>
  <si>
    <t>Silvina</t>
  </si>
  <si>
    <t>scaruso@oakhillpilar.edu.ar</t>
  </si>
  <si>
    <t>silcarusoprahl@gmail.com</t>
  </si>
  <si>
    <t>CARUSO PRAHL, Silvina</t>
  </si>
  <si>
    <t>Bárbara</t>
  </si>
  <si>
    <t>bcornejo@oakhillpilar.edu.ar</t>
  </si>
  <si>
    <t>CORNEJO, Bárbara</t>
  </si>
  <si>
    <t>RECESO</t>
  </si>
  <si>
    <t>D'ADAMO</t>
  </si>
  <si>
    <t>María Martha</t>
  </si>
  <si>
    <t>mdadamo@oakhillpilar.edu.ar</t>
  </si>
  <si>
    <t>marybonus2@gmail.com</t>
  </si>
  <si>
    <t>D'ADAMO, María Martha</t>
  </si>
  <si>
    <t>Renuncia</t>
  </si>
  <si>
    <t>DE LAS CARRERAS</t>
  </si>
  <si>
    <t>Juan Bautista</t>
  </si>
  <si>
    <t>bdelascarreras@oakhillpilar.edu.ar</t>
  </si>
  <si>
    <t>DE LAS CARRERAS, Juan Bautista</t>
  </si>
  <si>
    <t>DI FABIO</t>
  </si>
  <si>
    <t>Augusto</t>
  </si>
  <si>
    <t>adifabio@oakhillpilar.edu.ar</t>
  </si>
  <si>
    <t>DI FABIO, Augusto</t>
  </si>
  <si>
    <t xml:space="preserve">DUBINI </t>
  </si>
  <si>
    <t xml:space="preserve">Cecilia Inés </t>
  </si>
  <si>
    <t>cdubini@oakhillpilar.edu.ar</t>
  </si>
  <si>
    <t>checha273@yahoo.com.ar</t>
  </si>
  <si>
    <t>DUBINI, Cecilia Inés</t>
  </si>
  <si>
    <t>FERRARI ALDAZ</t>
  </si>
  <si>
    <t>Carolina</t>
  </si>
  <si>
    <t>cferrari@oakhillpilar.edu.ar</t>
  </si>
  <si>
    <t>caroferrari17@gmail.com</t>
  </si>
  <si>
    <t>FERRARI ALDAZ, Carolina</t>
  </si>
  <si>
    <t>FERRINO</t>
  </si>
  <si>
    <t>Sabrina Adriana</t>
  </si>
  <si>
    <t>sferrino@oakhillpilar.edu.ar</t>
  </si>
  <si>
    <t>FERRINO, Sabrina Adriana</t>
  </si>
  <si>
    <t>GALVÁN</t>
  </si>
  <si>
    <t>mgalvan@oakhillpilar.edu.ar</t>
  </si>
  <si>
    <t>marcgalvan@hotmail.com</t>
  </si>
  <si>
    <t>GALVÁN, Marcos</t>
  </si>
  <si>
    <t>GARCIA KOCH</t>
  </si>
  <si>
    <t>Cecilia</t>
  </si>
  <si>
    <t>Fichas</t>
  </si>
  <si>
    <t>cgarciakoch@oakhillpilar.edu.ar</t>
  </si>
  <si>
    <t>ceciliagarciakoch@gmail.com</t>
  </si>
  <si>
    <t>GARCIA KOCH, Cecilia</t>
  </si>
  <si>
    <t>GARCIA REINOSO</t>
  </si>
  <si>
    <t xml:space="preserve">Cecilia </t>
  </si>
  <si>
    <t>cgarciareinoso@oakhillpilar.edu.ar</t>
  </si>
  <si>
    <t>Ceciliagarciareinoso@gmail.com</t>
  </si>
  <si>
    <t>GARCIA REINOSO, Cecilia</t>
  </si>
  <si>
    <t>GERK</t>
  </si>
  <si>
    <t>Lucas</t>
  </si>
  <si>
    <t>lgerk@oakhillpilar.edu.ar</t>
  </si>
  <si>
    <t>GERK, Lucas</t>
  </si>
  <si>
    <t>GOBBÉE</t>
  </si>
  <si>
    <t>Clara</t>
  </si>
  <si>
    <t>cgobbee@oakhillpilar.edu.ar</t>
  </si>
  <si>
    <t>GOBBÉE, Clara</t>
  </si>
  <si>
    <t>GONZALEZ MONDEJAR</t>
  </si>
  <si>
    <t xml:space="preserve">Mariana Isabel </t>
  </si>
  <si>
    <t>mgonzalezmondejar@oakhillpilar.edu.ar</t>
  </si>
  <si>
    <t>mgmondejar@hotmail.com</t>
  </si>
  <si>
    <t>GONZALEZ MONDEJAR, Mariana Isabel</t>
  </si>
  <si>
    <t>semana septiembre</t>
  </si>
  <si>
    <t>IBARRA</t>
  </si>
  <si>
    <t xml:space="preserve">Carla Rocio </t>
  </si>
  <si>
    <t>cibarra@oakhillpilar.edu.ar</t>
  </si>
  <si>
    <t>carlarocioibarra@gmail.com</t>
  </si>
  <si>
    <t>IBARRA, Carla Rocio</t>
  </si>
  <si>
    <t>IZE</t>
  </si>
  <si>
    <t>María Victoria</t>
  </si>
  <si>
    <t>vize@oakhillpilar.edu.ar</t>
  </si>
  <si>
    <t>Victoriaize@yahoo.com</t>
  </si>
  <si>
    <t>IZE, María Victoria</t>
  </si>
  <si>
    <t>KIMMEL</t>
  </si>
  <si>
    <t>Norma Beatriz</t>
  </si>
  <si>
    <t>nkimmel@oakhillpilar.edu.ar</t>
  </si>
  <si>
    <t>normakimmel2228@gmail.com</t>
  </si>
  <si>
    <t>KIMMEL, Norma Beatriz</t>
  </si>
  <si>
    <t>Iván Mauro Pasini</t>
  </si>
  <si>
    <t>Facundo</t>
  </si>
  <si>
    <t>flaborde@oakhillpilar.edu.ar</t>
  </si>
  <si>
    <t>labordefacu@gmail.com</t>
  </si>
  <si>
    <t>LABORDE, Facundo</t>
  </si>
  <si>
    <t>LOPEZ VILLAFAÑE</t>
  </si>
  <si>
    <t xml:space="preserve">María Victoria </t>
  </si>
  <si>
    <t>mlopezvillafane@oakhillpilar.edu.ar</t>
  </si>
  <si>
    <t>lugarbsas@gmail.com</t>
  </si>
  <si>
    <t>LOPEZ VILLAFAÑE, María Victoria</t>
  </si>
  <si>
    <t>LOYOLA</t>
  </si>
  <si>
    <t xml:space="preserve">María Laura </t>
  </si>
  <si>
    <t>mloyola@oakhillpilar.edu.ar</t>
  </si>
  <si>
    <t>marucaloyola@hotmail.com</t>
  </si>
  <si>
    <t>20-07-64</t>
  </si>
  <si>
    <t>LOYOLA, María Laura</t>
  </si>
  <si>
    <t>LUDUEÑA</t>
  </si>
  <si>
    <t>Roberta</t>
  </si>
  <si>
    <t>rluduena@oakhillpilar.edu.ar</t>
  </si>
  <si>
    <t>LUDUEÑA, Roberta</t>
  </si>
  <si>
    <t>LUND PETERSEN</t>
  </si>
  <si>
    <t>clundpetersen@oakhillpilar.edu.ar</t>
  </si>
  <si>
    <t>clundpetersen@yahoo.com.ar</t>
  </si>
  <si>
    <t>LUND PETERSEN, Cecilia</t>
  </si>
  <si>
    <t>MAI</t>
  </si>
  <si>
    <t>Nicolás Leonel</t>
  </si>
  <si>
    <t>nmai@oakhillpilar.edu.ar</t>
  </si>
  <si>
    <t>MAI, Nicolás Leonel</t>
  </si>
  <si>
    <t xml:space="preserve">MARTIN MULLER </t>
  </si>
  <si>
    <t xml:space="preserve">Sofia Constanza </t>
  </si>
  <si>
    <t>smartinmuller@oakhillpilar.edu.ar</t>
  </si>
  <si>
    <t>Sofiac.mmuller@gmail.com</t>
  </si>
  <si>
    <t>MARTIN MULLER, Sofia Constanza</t>
  </si>
  <si>
    <t>Gonzalo Jose</t>
  </si>
  <si>
    <t>gmatheu@oakhillpilar.edu.ar</t>
  </si>
  <si>
    <t>gonzalomatheu@yahoo.com.ar</t>
  </si>
  <si>
    <t>MATHEU, Gonzalo Jose</t>
  </si>
  <si>
    <t>MILLET</t>
  </si>
  <si>
    <t>Diego</t>
  </si>
  <si>
    <t>dmillet@oakhillpilar.edu.ar</t>
  </si>
  <si>
    <t>MILLET, Diego</t>
  </si>
  <si>
    <t>Maria Laura</t>
  </si>
  <si>
    <t>lmuino@oakhillpilar.edu.ar</t>
  </si>
  <si>
    <t>lauramui@yahoo.com.ar</t>
  </si>
  <si>
    <t>MUIÑO, Maria Laura</t>
  </si>
  <si>
    <t>PASINI</t>
  </si>
  <si>
    <t xml:space="preserve">Iván Mauro </t>
  </si>
  <si>
    <t>ipasini@oakhillpilar.edu.ar</t>
  </si>
  <si>
    <t>PASINI, Iván Mauro</t>
  </si>
  <si>
    <t>PESADO RICCARDI</t>
  </si>
  <si>
    <t>María de las Mercedes</t>
  </si>
  <si>
    <t>mpesado@oakhillpilar.edu.ar</t>
  </si>
  <si>
    <t>mechipesado@gmail.com</t>
  </si>
  <si>
    <t>PESADO RICCARDI, María De Las Mercedes</t>
  </si>
  <si>
    <t>PIETRODARCA</t>
  </si>
  <si>
    <t>Juan Ignacio</t>
  </si>
  <si>
    <t>ipietrodarca@oakhillpilar.edu.ar</t>
  </si>
  <si>
    <t>pietrodarcajuan@gmail.com</t>
  </si>
  <si>
    <t>PIETRODARCA, Juan Ignacio</t>
  </si>
  <si>
    <t>PIOLANTI</t>
  </si>
  <si>
    <t>Florencia</t>
  </si>
  <si>
    <t>fpiolanti@oakhillpilar.edu.ar</t>
  </si>
  <si>
    <t>PIOLANTI, Florencia</t>
  </si>
  <si>
    <t>REDOLFI</t>
  </si>
  <si>
    <t xml:space="preserve">María Gabriela </t>
  </si>
  <si>
    <t>gredolfi@oakhillpilar.edu.ar</t>
  </si>
  <si>
    <t>gabyredolfi@hotmail.com</t>
  </si>
  <si>
    <t>REDOLFI, María Gabriela</t>
  </si>
  <si>
    <t>Rocio</t>
  </si>
  <si>
    <t>rociorey@oakhillpilar.edu.ar</t>
  </si>
  <si>
    <t>rochi_rey@hotmail.com</t>
  </si>
  <si>
    <t>REY METZLER, Rocio</t>
  </si>
  <si>
    <t>REYES</t>
  </si>
  <si>
    <t>Maria Guadalupe</t>
  </si>
  <si>
    <t>greyes@oakhillpilar.edu.ar</t>
  </si>
  <si>
    <t>guadasanchezclaria@gmail.com</t>
  </si>
  <si>
    <t>REYES, Maria Guadalupe</t>
  </si>
  <si>
    <t xml:space="preserve">ROCA GONZÁLEZ DEL SOLAR </t>
  </si>
  <si>
    <t xml:space="preserve">María Candelaria </t>
  </si>
  <si>
    <t>croca@oakhillpilar.edu.ar</t>
  </si>
  <si>
    <t>Canderoca@hotmail.com</t>
  </si>
  <si>
    <t>ROCA GONZÁLEZ DEL SOLAR, María Candelaria</t>
  </si>
  <si>
    <t>ROSSO</t>
  </si>
  <si>
    <t>Camila</t>
  </si>
  <si>
    <t>crosso@oakhillpilar.edu.ar</t>
  </si>
  <si>
    <t>ROSSO, Camila</t>
  </si>
  <si>
    <t>ROUGIER</t>
  </si>
  <si>
    <t>Eduardo Gabriel</t>
  </si>
  <si>
    <t>erougier@oakhillpilar.edu.ar</t>
  </si>
  <si>
    <t>eduardorougier@gmail.com</t>
  </si>
  <si>
    <t>ROUGIER, Eduardo Gabriel</t>
  </si>
  <si>
    <t>SANTA MARIA</t>
  </si>
  <si>
    <t>Astrid Vanina</t>
  </si>
  <si>
    <t>asantamaria@oakhillpilar.edu.ar</t>
  </si>
  <si>
    <t>Astridvsm@gmail.com</t>
  </si>
  <si>
    <t>SANTA MARIA, Astrid Vanina</t>
  </si>
  <si>
    <t>SASSOT</t>
  </si>
  <si>
    <t>Fabiana</t>
  </si>
  <si>
    <t>fsassot@oakhillpilar.edu.ar</t>
  </si>
  <si>
    <t>SASSOT, Fabiana</t>
  </si>
  <si>
    <t>SUÁREZ</t>
  </si>
  <si>
    <t>Lorena</t>
  </si>
  <si>
    <t>lsuarez@oakhillpilar.edu.ar</t>
  </si>
  <si>
    <t>SUÁREZ, Lorena</t>
  </si>
  <si>
    <t>fterrana@oakhillpilar.edu.ar</t>
  </si>
  <si>
    <t>TERRANA, Facundo</t>
  </si>
  <si>
    <t>Ana Camila</t>
  </si>
  <si>
    <t>acurbancic@oakhillpilar.edu.ar</t>
  </si>
  <si>
    <t>anacamilaurbancic@gmail.com</t>
  </si>
  <si>
    <t>URBANCIC, Ana Camila</t>
  </si>
  <si>
    <t>Fernando Xavier</t>
  </si>
  <si>
    <t>fxvalle@oakhillpilar.edu.ar</t>
  </si>
  <si>
    <t>VILAR</t>
  </si>
  <si>
    <t>Soledad</t>
  </si>
  <si>
    <t>svilar@oakhillpilar.edu.ar</t>
  </si>
  <si>
    <t>VILAR, Soledad</t>
  </si>
  <si>
    <t>YOFRE</t>
  </si>
  <si>
    <t xml:space="preserve">Guadalupe maria </t>
  </si>
  <si>
    <t>gyofre@oakhillpilar.edu.ar</t>
  </si>
  <si>
    <t>Guada.yofre@hotmail.com</t>
  </si>
  <si>
    <t>YOFRE, Guadalupe Maria</t>
  </si>
  <si>
    <t>FONZALIDA</t>
  </si>
  <si>
    <t>EP</t>
  </si>
  <si>
    <t>gfonzalida@oakhillpilar.edu.ar</t>
  </si>
  <si>
    <t>gabriel.fonzalida77@gmail.com</t>
  </si>
  <si>
    <t>FONZALIDA, Gabriel</t>
  </si>
  <si>
    <t>GARCETE</t>
  </si>
  <si>
    <t>Carla</t>
  </si>
  <si>
    <t>cgarcete@oakhillpilar.edu.ar</t>
  </si>
  <si>
    <t>GARCETE, Carla</t>
  </si>
  <si>
    <t>GARCÍA GUERRA</t>
  </si>
  <si>
    <t>Guadalupe</t>
  </si>
  <si>
    <t>Kinder</t>
  </si>
  <si>
    <t>ggarciaguerra@oakhillpilar.edu.ar</t>
  </si>
  <si>
    <t>guadagg@hotmail.com</t>
  </si>
  <si>
    <t>GARCÍA GUERRA, Guadalupe</t>
  </si>
  <si>
    <t>GAUNA</t>
  </si>
  <si>
    <t>Ayelén</t>
  </si>
  <si>
    <t>agauna@oakhillpilar.edu.ar</t>
  </si>
  <si>
    <t>GAUNA, Ayelén</t>
  </si>
  <si>
    <t>GIMENEZ</t>
  </si>
  <si>
    <t>Lilian Elizabeth</t>
  </si>
  <si>
    <t>lgimenez@oakhillpilar.edu.ar</t>
  </si>
  <si>
    <t>liliangimenez2260@gmail.com</t>
  </si>
  <si>
    <t>GIMENEZ, Lilian Elizabeth</t>
  </si>
  <si>
    <t>Tomás</t>
  </si>
  <si>
    <t>tgobbee@oakhillpilar.edu.ar</t>
  </si>
  <si>
    <t>GOBBÉE, Tomás</t>
  </si>
  <si>
    <t>GONZALEZ</t>
  </si>
  <si>
    <t>Marisol Alejandra</t>
  </si>
  <si>
    <t>Kinder / EP / ES</t>
  </si>
  <si>
    <t>magonzalez@oakhillpilar.edu.ar</t>
  </si>
  <si>
    <t>solgonzalezmar@hotmail.com</t>
  </si>
  <si>
    <t>GONZALEZ, Marisol Alejandra</t>
  </si>
  <si>
    <t>GONZÁLEZ</t>
  </si>
  <si>
    <t>Delfina</t>
  </si>
  <si>
    <t>delfina.gonzalez@oakhillpilar.edu.ar</t>
  </si>
  <si>
    <t>GONZÁLEZ, Delfina</t>
  </si>
  <si>
    <t>GONZÁLEZ MONDEJAR</t>
  </si>
  <si>
    <t>Agustín Hernán</t>
  </si>
  <si>
    <t>agonzalezmondejar@oakhillpilar.edu.ar</t>
  </si>
  <si>
    <t>agusgonm@hotmail.com</t>
  </si>
  <si>
    <t>GONZÁLEZ MONDEJAR, Agustín Hernán</t>
  </si>
  <si>
    <t>HOFMEISTER</t>
  </si>
  <si>
    <t>chofmeister@oakhillpilar.edu.ar</t>
  </si>
  <si>
    <t>camilahofmeister@hotmail.com</t>
  </si>
  <si>
    <t>HOFMEISTER, Camila</t>
  </si>
  <si>
    <t xml:space="preserve">IUALÉ </t>
  </si>
  <si>
    <t xml:space="preserve">Evelyn Rita Macarena </t>
  </si>
  <si>
    <t>eiuale@oakhillpilar.edu.ar</t>
  </si>
  <si>
    <t>macarena.iuale@gmail.com</t>
  </si>
  <si>
    <t>IUALÉ, Evelyn Rita Macarena</t>
  </si>
  <si>
    <t>Aylén</t>
  </si>
  <si>
    <t>ajunquet@oakhillpilar.edu.ar</t>
  </si>
  <si>
    <t>JUNQUET, Aylén</t>
  </si>
  <si>
    <t>LAWSON</t>
  </si>
  <si>
    <t>Carmela Maria</t>
  </si>
  <si>
    <t>clawson@oakhillpilar.edu.ar</t>
  </si>
  <si>
    <t>cukilawson3@gmail.com</t>
  </si>
  <si>
    <t>LAWSON, Carmela Maria</t>
  </si>
  <si>
    <t>LAXAGUE</t>
  </si>
  <si>
    <t>Paula María</t>
  </si>
  <si>
    <t>plaxague@oakhillpilar.edu.ar</t>
  </si>
  <si>
    <t>laxaguepauline@hotmail.com</t>
  </si>
  <si>
    <t>LAXAGUE, Paula María</t>
  </si>
  <si>
    <t>LEONE</t>
  </si>
  <si>
    <t>dleone@oakhillpilar.edu.ar</t>
  </si>
  <si>
    <t>LEONE, Delfina</t>
  </si>
  <si>
    <t>LLORENTE</t>
  </si>
  <si>
    <t>Francisca</t>
  </si>
  <si>
    <t>fllorente@oakhillpilar.edu.ar</t>
  </si>
  <si>
    <t>LLORENTE, Francisca</t>
  </si>
  <si>
    <t>MARIO</t>
  </si>
  <si>
    <t>Patricia Mariela</t>
  </si>
  <si>
    <t>pmario@oakhillpilar.edu.ar</t>
  </si>
  <si>
    <t>mario.patricia@gmail.com</t>
  </si>
  <si>
    <t>MARIO, Patricia Mariela</t>
  </si>
  <si>
    <t xml:space="preserve">MARTÍNEZ </t>
  </si>
  <si>
    <t xml:space="preserve">Gabriela Verónica </t>
  </si>
  <si>
    <t>gmartinez@oakhillpilar.edu.ar</t>
  </si>
  <si>
    <t>gabyvmart@gmail.com</t>
  </si>
  <si>
    <t>MARTÍNEZ, Gabriela Verónica</t>
  </si>
  <si>
    <t>MARTINEZ ESCALAS</t>
  </si>
  <si>
    <t>Kinder / ES</t>
  </si>
  <si>
    <t>cmartinezescalas@oakhillpilar.edu.ar</t>
  </si>
  <si>
    <t>MARTINEZ ESCALAS, Cecilia</t>
  </si>
  <si>
    <t>MASLE</t>
  </si>
  <si>
    <t>Manuela</t>
  </si>
  <si>
    <t>mmasle@oakhillpilar.edu.ar</t>
  </si>
  <si>
    <t>MASLE, Manuela</t>
  </si>
  <si>
    <t>MATHYS</t>
  </si>
  <si>
    <t>Susana</t>
  </si>
  <si>
    <t>smathys@oakhillpilar.edu.ar</t>
  </si>
  <si>
    <t>susiemathys@yahoo.com</t>
  </si>
  <si>
    <t>MATHYS, Susana</t>
  </si>
  <si>
    <t>MENDEZ</t>
  </si>
  <si>
    <t>cmendez@oakhillpilar.edu.ar</t>
  </si>
  <si>
    <t>MENDEZ, Camila</t>
  </si>
  <si>
    <t>MOIRANO</t>
  </si>
  <si>
    <t>cmoirano@oakhillpilar.edu.ar</t>
  </si>
  <si>
    <t>cecilia.moirano@gmail.com</t>
  </si>
  <si>
    <t>MOIRANO, Cecilia</t>
  </si>
  <si>
    <t>MONTANARO</t>
  </si>
  <si>
    <t>Bianca</t>
  </si>
  <si>
    <t>bmontanaro@oakhillpilar.edu.ar</t>
  </si>
  <si>
    <t>MONTANARO, Bianca</t>
  </si>
  <si>
    <t>MÜLLER</t>
  </si>
  <si>
    <t>Leonardo gaston</t>
  </si>
  <si>
    <t>lmuller@oakhillpilar.edu.ar</t>
  </si>
  <si>
    <t>Leogm0107@gmail.com</t>
  </si>
  <si>
    <t>MÜLLER, Leonardo Gaston</t>
  </si>
  <si>
    <t>NODAR</t>
  </si>
  <si>
    <t>Daniela Paula</t>
  </si>
  <si>
    <t>dnodar@oakhillpilar.edu.ar</t>
  </si>
  <si>
    <t>daniela.nodar@gmail.com</t>
  </si>
  <si>
    <t>NODAR, Daniela Paula</t>
  </si>
  <si>
    <t>OLAZABAL</t>
  </si>
  <si>
    <t>Elena</t>
  </si>
  <si>
    <t>eolazabal@oakhillpilar.edu.ar</t>
  </si>
  <si>
    <t>OLAZABAL, Elena</t>
  </si>
  <si>
    <t>PAEZ</t>
  </si>
  <si>
    <t>Andrea</t>
  </si>
  <si>
    <t>apaez@oakhillpilar.edu.ar</t>
  </si>
  <si>
    <t>PAEZ, Andrea</t>
  </si>
  <si>
    <t xml:space="preserve">PAGOLA </t>
  </si>
  <si>
    <t xml:space="preserve">Mercedes Carolina </t>
  </si>
  <si>
    <t>Kinder / EP</t>
  </si>
  <si>
    <t>mpagola@oakhillpilar.edu.ar</t>
  </si>
  <si>
    <t>mechapagola@hotmail.com</t>
  </si>
  <si>
    <t>PAGOLA, Mercedes Carolina</t>
  </si>
  <si>
    <t>PALACIO</t>
  </si>
  <si>
    <t>María Teresita</t>
  </si>
  <si>
    <t>tpalacio@oakhillpilar.edu.ar</t>
  </si>
  <si>
    <t>PALACIO, María Teresita</t>
  </si>
  <si>
    <t>PAZ</t>
  </si>
  <si>
    <t>Mercedes</t>
  </si>
  <si>
    <t>Super Admin</t>
  </si>
  <si>
    <t>mercedes.paz@oakhillpilar.edu.ar</t>
  </si>
  <si>
    <t>merchupaz@hotmail.com</t>
  </si>
  <si>
    <t>PAZ, Mercedes</t>
  </si>
  <si>
    <t>PEDRO</t>
  </si>
  <si>
    <t>Luana</t>
  </si>
  <si>
    <t>lpedro@oakhillpilar.edu.ar</t>
  </si>
  <si>
    <t>PEDRO, Luana</t>
  </si>
  <si>
    <t>PEÑA</t>
  </si>
  <si>
    <t>Josefina</t>
  </si>
  <si>
    <t>jpena@oakhillpilar.edu.ar</t>
  </si>
  <si>
    <t>PEÑA, Josefina</t>
  </si>
  <si>
    <t xml:space="preserve">PÉRTICA PASCUAL </t>
  </si>
  <si>
    <t xml:space="preserve">Maria Cecilia </t>
  </si>
  <si>
    <t>cpertica@oakhillpilar.edu.ar</t>
  </si>
  <si>
    <t>ceciliacordone1@yahoo.com.ar</t>
  </si>
  <si>
    <t>26-10-66</t>
  </si>
  <si>
    <t>PÉRTICA PASCUAL, Maria Cecilia</t>
  </si>
  <si>
    <t>PONCE</t>
  </si>
  <si>
    <t>sponce@oakhillpilar.edu.ar</t>
  </si>
  <si>
    <t>PONCE, Soledad</t>
  </si>
  <si>
    <t>POZO</t>
  </si>
  <si>
    <t xml:space="preserve">María del Pilar </t>
  </si>
  <si>
    <t>ppozo@oakhillpilar.edu.ar</t>
  </si>
  <si>
    <t>pilupozo@yahoo.com.ar</t>
  </si>
  <si>
    <t>POZO, María Del Pilar</t>
  </si>
  <si>
    <t>PRAVATO</t>
  </si>
  <si>
    <t>Macarena</t>
  </si>
  <si>
    <t>mpravato@oakhillpilar.edu.ar</t>
  </si>
  <si>
    <t>PRAVATO, Macarena</t>
  </si>
  <si>
    <t>PRIANO</t>
  </si>
  <si>
    <t xml:space="preserve">Gabriela </t>
  </si>
  <si>
    <t>gpriano@oakhillpilar.edu.ar</t>
  </si>
  <si>
    <t>Gabrieladitullio@hotmail.com</t>
  </si>
  <si>
    <t>PRIANO, Gabriela</t>
  </si>
  <si>
    <t>PROFUMO</t>
  </si>
  <si>
    <t>fprofumo@oakhillpilar.edu.ar</t>
  </si>
  <si>
    <t>florprofumo@hotmail.com</t>
  </si>
  <si>
    <t>PROFUMO, Florencia</t>
  </si>
  <si>
    <t>PY</t>
  </si>
  <si>
    <t>María Agustina</t>
  </si>
  <si>
    <t>apy@oakhillpilar.edu.ar</t>
  </si>
  <si>
    <t>Aguspy2017@gmail.com</t>
  </si>
  <si>
    <t>PY, María Agustina</t>
  </si>
  <si>
    <t>RAMAYÓN</t>
  </si>
  <si>
    <t>Milagros</t>
  </si>
  <si>
    <t>mramayon@oakhillpilar.edu.ar</t>
  </si>
  <si>
    <t>RAMAYÓN, Milagros</t>
  </si>
  <si>
    <t>RAMOS MEJÍA</t>
  </si>
  <si>
    <t>Sofía</t>
  </si>
  <si>
    <t>sramosmejia@oakhillpilar.edu.ar</t>
  </si>
  <si>
    <t>RAMOS MEJÍA, Sofía</t>
  </si>
  <si>
    <t>REY MARTÍNEZ</t>
  </si>
  <si>
    <t>creymartinez@oakhillpilar.edu.ar</t>
  </si>
  <si>
    <t>REY MARTÍNEZ, Camila</t>
  </si>
  <si>
    <t>RÍOS</t>
  </si>
  <si>
    <t>prios@oakhillpilar.edu.ar</t>
  </si>
  <si>
    <t>RÍOS, María Del Pilar</t>
  </si>
  <si>
    <t xml:space="preserve">ROSSI </t>
  </si>
  <si>
    <t>Mariangeles</t>
  </si>
  <si>
    <t>mrossi@oakhillpilar.edu.ar</t>
  </si>
  <si>
    <t>rossimariangeles3@gmail.com</t>
  </si>
  <si>
    <t>ROSSI, Mariangeles</t>
  </si>
  <si>
    <t>RUIZ</t>
  </si>
  <si>
    <t>Federico Martín</t>
  </si>
  <si>
    <t>fruiz@oakhillpilar.edu.ar</t>
  </si>
  <si>
    <t>federicomruiz@outlook.com</t>
  </si>
  <si>
    <t>RUIZ, Federico Martín</t>
  </si>
  <si>
    <t>SALDIVIA</t>
  </si>
  <si>
    <t>csaldivia@oakhillpilar.edu.ar</t>
  </si>
  <si>
    <t>SALDIVIA, Camila</t>
  </si>
  <si>
    <t>SÁNCHEZ CLARIÁ</t>
  </si>
  <si>
    <t>Luz María</t>
  </si>
  <si>
    <t>lsanchezclaria@oakhillpilar.edu.ar</t>
  </si>
  <si>
    <t>SÁNCHEZ CLARIÁ, Luz María</t>
  </si>
  <si>
    <t>SANGIORGI</t>
  </si>
  <si>
    <t>Camila Belén</t>
  </si>
  <si>
    <t>csangiorgi@oakhillpilar.edu.ar</t>
  </si>
  <si>
    <t>camisangiorgi@gmail.com</t>
  </si>
  <si>
    <t>SANGIORGI, Camila Belén</t>
  </si>
  <si>
    <t>SCOTT</t>
  </si>
  <si>
    <t>Magdalena</t>
  </si>
  <si>
    <t>mscott@oakhillpilar.edu.ar</t>
  </si>
  <si>
    <t>SCOTT, Magdalena</t>
  </si>
  <si>
    <t>SOTELO</t>
  </si>
  <si>
    <t>rsotelo@oakhillpilar.edu.ar</t>
  </si>
  <si>
    <t>Rociosotelo156@gmail.com</t>
  </si>
  <si>
    <t>SOTELO, Rocio</t>
  </si>
  <si>
    <t>SUCH</t>
  </si>
  <si>
    <t>Melisa Marta</t>
  </si>
  <si>
    <t>msuch@oakhillpilar.edu.ar</t>
  </si>
  <si>
    <t>missmelisasuch20@gmail.com</t>
  </si>
  <si>
    <t>SUCH, Melisa Marta</t>
  </si>
  <si>
    <t xml:space="preserve">TOSCANI </t>
  </si>
  <si>
    <t>Silvana Paola</t>
  </si>
  <si>
    <t>stoscani@oakhillpilar.edu.ar</t>
  </si>
  <si>
    <t>TOSCANI, Silvana Paola</t>
  </si>
  <si>
    <t>TRAPANI</t>
  </si>
  <si>
    <t>María Dolores</t>
  </si>
  <si>
    <t>dtrapani@oakhillpilar.edu.ar</t>
  </si>
  <si>
    <t>Lolitrapani@gmail.com</t>
  </si>
  <si>
    <t>TRAPANI, María Dolores</t>
  </si>
  <si>
    <t>TRAVERSO LEDE</t>
  </si>
  <si>
    <t>Flavia Paulina</t>
  </si>
  <si>
    <t>ftraverso@oakhillpilar.edu.ar</t>
  </si>
  <si>
    <t>flaviatraverso@gmail.com</t>
  </si>
  <si>
    <t>TRAVERSO LEDE, Flavia Paulina</t>
  </si>
  <si>
    <t>VANONI</t>
  </si>
  <si>
    <t>Ana Carina</t>
  </si>
  <si>
    <t>avanoni@oakhillpilar.edu.ar</t>
  </si>
  <si>
    <t>carinavanoni@gmail.com</t>
  </si>
  <si>
    <t>VANONI, Ana Carina</t>
  </si>
  <si>
    <t>VIRGÓS BIRBA</t>
  </si>
  <si>
    <t>svirgos@oakhillpilar.edu.ar</t>
  </si>
  <si>
    <t>VIRGÓS BIRBA, Soledad</t>
  </si>
  <si>
    <t>VIVIANI</t>
  </si>
  <si>
    <t>Ana Mariana</t>
  </si>
  <si>
    <t>mviviani@oakhillpilar.edu.ar</t>
  </si>
  <si>
    <t>marvass94@gmail.com</t>
  </si>
  <si>
    <t>VIVIANI, Ana Mariana</t>
  </si>
  <si>
    <t>WALKER</t>
  </si>
  <si>
    <t>Paz</t>
  </si>
  <si>
    <t>pwalker@oakhillpilar.edu.ar</t>
  </si>
  <si>
    <t>WALKER, Paz</t>
  </si>
  <si>
    <t>WOFCY DIEZ</t>
  </si>
  <si>
    <t>Dolores María</t>
  </si>
  <si>
    <t>dwofcy@oakhillpilar.edu.ar</t>
  </si>
  <si>
    <t>doloreswofcy@gmail.com</t>
  </si>
  <si>
    <t>WOFCY DIEZ, Dolores María</t>
  </si>
  <si>
    <t>ZABALZA</t>
  </si>
  <si>
    <t>azabalza@oakhillpilar.edu.ar</t>
  </si>
  <si>
    <t>ZABALZA, Agustina</t>
  </si>
  <si>
    <t/>
  </si>
  <si>
    <t>Profesor que reemplaza en la clase</t>
  </si>
  <si>
    <t>COUNTA of Razon</t>
  </si>
  <si>
    <t>Total Agustina Bieule</t>
  </si>
  <si>
    <t>Total Alvarez</t>
  </si>
  <si>
    <t>Total Ana Camila Urbancic</t>
  </si>
  <si>
    <t xml:space="preserve">Total anika </t>
  </si>
  <si>
    <t>Total Astrid Vanina Santa Maria</t>
  </si>
  <si>
    <t>Total Aylén Junquet</t>
  </si>
  <si>
    <t>Total Bárbara Cornejo</t>
  </si>
  <si>
    <t>Total Bentes</t>
  </si>
  <si>
    <t>Total Carolina Ferrari Aldaz</t>
  </si>
  <si>
    <t>Total Catalina Novo</t>
  </si>
  <si>
    <t>Total Cecilia Lund Petersen</t>
  </si>
  <si>
    <t>Total Cecilia Moirano</t>
  </si>
  <si>
    <t>Total Champaquí</t>
  </si>
  <si>
    <t>Total Eduardo Gabriel Rougier</t>
  </si>
  <si>
    <t>Total Ezequiel Beccar Varela</t>
  </si>
  <si>
    <t>Total Facundo Laborde</t>
  </si>
  <si>
    <t>Total Facundo Terrana</t>
  </si>
  <si>
    <t>Total Federico Martín Ruiz</t>
  </si>
  <si>
    <t>Total Federico Ruiz</t>
  </si>
  <si>
    <t>Total Gabriel Aluzzo</t>
  </si>
  <si>
    <t>Total Gonzalo Matheu</t>
  </si>
  <si>
    <t>Total Juan Bautista De Las Carreras</t>
  </si>
  <si>
    <t>Total Juan Ignacio Cacciamano</t>
  </si>
  <si>
    <t>Total Lucas Gerk</t>
  </si>
  <si>
    <t>Total Luciana Natalia Cabrera</t>
  </si>
  <si>
    <t>Total Lucila Lago</t>
  </si>
  <si>
    <t>Total Marcos Berro García</t>
  </si>
  <si>
    <t>Total María Candelaria Roca González Del Solar</t>
  </si>
  <si>
    <t>Total María De Las Mercedes Pesado Riccardi</t>
  </si>
  <si>
    <t>Total Maria del PIlar Fernandez</t>
  </si>
  <si>
    <t>Total María Gabriela Redolfi</t>
  </si>
  <si>
    <t>Total María Guadalupe Blasco</t>
  </si>
  <si>
    <t>Total Maria Guadalupe Reyes</t>
  </si>
  <si>
    <t>Total María Laura Loyola</t>
  </si>
  <si>
    <t>Total Maria Soledad Arrambide</t>
  </si>
  <si>
    <t>Total Marina Aberg Cobo</t>
  </si>
  <si>
    <t>Total Mercedes Vitullo</t>
  </si>
  <si>
    <t>Total Mica Carlino</t>
  </si>
  <si>
    <t>Total Prefectura</t>
  </si>
  <si>
    <t>Total Roberta Ludueña</t>
  </si>
  <si>
    <t>Total Rocio Rey Metzler</t>
  </si>
  <si>
    <t>Total Valeria Cerruti</t>
  </si>
  <si>
    <t>Total Verónica Desivo</t>
  </si>
  <si>
    <t>Total Verónica María Bonadeo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</si>
</sst>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dd&quot; &quot;"/>
    <numFmt numFmtId="165" formatCode="d/m"/>
    <numFmt numFmtId="166" formatCode="d-m"/>
    <numFmt numFmtId="167" formatCode="d/m/yyyy"/>
    <numFmt numFmtId="168" formatCode="_ * #,##0_ ;_ * \-#,##0_ ;_ * &quot;-&quot;??_ ;_ @_ "/>
    <numFmt numFmtId="169" formatCode="dd&quot;-&quot;mm&quot;-&quot;yy"/>
    <numFmt numFmtId="170" formatCode="&quot;ES &quot; 0"/>
  </numFmts>
  <fonts count="40">
    <font>
      <sz val="12.0"/>
      <color theme="1"/>
      <name val="Calibri"/>
      <scheme val="minor"/>
    </font>
    <font>
      <sz val="18.0"/>
      <color theme="1"/>
      <name val="Calibri"/>
      <scheme val="minor"/>
    </font>
    <font>
      <color theme="1"/>
      <name val="Calibri"/>
      <scheme val="minor"/>
    </font>
    <font>
      <u/>
      <sz val="10.0"/>
      <color rgb="FF0000FF"/>
      <name val="Calibri"/>
    </font>
    <font>
      <sz val="9.0"/>
      <color theme="1"/>
      <name val="Poppins"/>
    </font>
    <font>
      <sz val="9.0"/>
      <color rgb="FFFF0000"/>
      <name val="Poppins"/>
    </font>
    <font>
      <sz val="11.0"/>
      <color theme="1"/>
      <name val="Montserrat"/>
    </font>
    <font>
      <color theme="1"/>
      <name val="Arial"/>
    </font>
    <font>
      <u/>
      <sz val="9.0"/>
      <color rgb="FF0000FF"/>
      <name val="Poppins"/>
    </font>
    <font>
      <u/>
      <sz val="9.0"/>
      <color theme="1"/>
      <name val="Poppins"/>
    </font>
    <font>
      <color theme="1"/>
      <name val="Montserrat"/>
    </font>
    <font>
      <b/>
      <color rgb="FFFF0000"/>
      <name val="Calibri"/>
    </font>
    <font>
      <sz val="10.0"/>
      <color theme="1"/>
      <name val="Arial"/>
    </font>
    <font>
      <sz val="9.0"/>
      <color rgb="FF1F1F1F"/>
      <name val="Poppins"/>
    </font>
    <font>
      <u/>
      <sz val="9.0"/>
      <color theme="1"/>
      <name val="Poppins"/>
    </font>
    <font>
      <sz val="11.0"/>
      <color theme="1"/>
      <name val="Poppins"/>
    </font>
    <font>
      <u/>
      <sz val="9.0"/>
      <color rgb="FF0000FF"/>
      <name val="Poppins"/>
    </font>
    <font>
      <b/>
      <sz val="9.0"/>
      <color theme="1"/>
      <name val="Poppins"/>
    </font>
    <font>
      <b/>
      <sz val="9.0"/>
      <color rgb="FFFF00FF"/>
      <name val="Poppins"/>
    </font>
    <font>
      <b/>
      <sz val="9.0"/>
      <color rgb="FF4A86E8"/>
      <name val="Poppins"/>
    </font>
    <font>
      <u/>
      <color theme="1"/>
      <name val="Calibri"/>
      <scheme val="minor"/>
    </font>
    <font>
      <u/>
      <color theme="1"/>
      <name val="Calibri"/>
      <scheme val="minor"/>
    </font>
    <font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sz val="9.0"/>
      <color rgb="FFFF0000"/>
      <name val="Poppins"/>
    </font>
    <font>
      <u/>
      <sz val="9.0"/>
      <color theme="1"/>
      <name val="Poppins"/>
    </font>
    <font>
      <sz val="9.0"/>
      <color rgb="FF000000"/>
      <name val="Poppins"/>
    </font>
    <font>
      <b/>
      <sz val="9.0"/>
      <color rgb="FFFFFFFF"/>
      <name val="Poppins"/>
    </font>
    <font>
      <sz val="12.0"/>
      <color theme="1"/>
      <name val="Times New Roman"/>
    </font>
    <font>
      <sz val="11.0"/>
      <color theme="1"/>
      <name val="Calibri"/>
    </font>
    <font>
      <sz val="9.0"/>
      <color theme="1"/>
      <name val="Montserrat"/>
    </font>
    <font>
      <b/>
      <sz val="9.0"/>
      <color theme="1"/>
      <name val="Calibri"/>
      <scheme val="minor"/>
    </font>
    <font>
      <sz val="10.0"/>
      <color theme="1"/>
      <name val="Calibri"/>
    </font>
    <font>
      <sz val="11.0"/>
      <color rgb="FF000000"/>
      <name val="Inconsolata"/>
    </font>
    <font>
      <sz val="9.0"/>
      <color rgb="FF1155CC"/>
      <name val="&quot;Google Sans Mono&quot;"/>
    </font>
    <font>
      <sz val="9.0"/>
      <color rgb="FF333333"/>
      <name val="Poppins"/>
    </font>
    <font>
      <b/>
      <sz val="9.0"/>
      <color rgb="FF556367"/>
      <name val="Poppins"/>
    </font>
    <font>
      <sz val="10.0"/>
      <color theme="1"/>
      <name val="Poppins"/>
    </font>
    <font>
      <b/>
      <sz val="10.0"/>
      <color theme="1"/>
      <name val="Poppins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FF2CC"/>
        <bgColor rgb="FFFFF2CC"/>
      </patternFill>
    </fill>
    <fill>
      <patternFill patternType="solid">
        <fgColor rgb="FFB8CCE4"/>
        <bgColor rgb="FFB8CCE4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4F6F8"/>
        <bgColor rgb="FFF4F6F8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rgb="FFE8F0FE"/>
        <bgColor rgb="FFE8F0FE"/>
      </patternFill>
    </fill>
    <fill>
      <patternFill patternType="solid">
        <fgColor rgb="FFF4C7C3"/>
        <bgColor rgb="FFF4C7C3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1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 readingOrder="0" vertical="center"/>
    </xf>
    <xf borderId="0" fillId="3" fontId="4" numFmtId="0" xfId="0" applyAlignment="1" applyFill="1" applyFont="1">
      <alignment horizontal="left" vertical="center"/>
    </xf>
    <xf borderId="0" fillId="3" fontId="4" numFmtId="0" xfId="0" applyAlignment="1" applyFont="1">
      <alignment horizontal="center" readingOrder="0" vertical="center"/>
    </xf>
    <xf borderId="0" fillId="3" fontId="4" numFmtId="1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left" vertical="center"/>
    </xf>
    <xf borderId="0" fillId="3" fontId="4" numFmtId="0" xfId="0" applyAlignment="1" applyFont="1">
      <alignment horizontal="left" readingOrder="0" vertical="center"/>
    </xf>
    <xf borderId="0" fillId="4" fontId="4" numFmtId="0" xfId="0" applyAlignment="1" applyFill="1" applyFont="1">
      <alignment horizontal="left" vertical="center"/>
    </xf>
    <xf borderId="0" fillId="5" fontId="4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0" fillId="2" fontId="4" numFmtId="164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 vertical="center"/>
    </xf>
    <xf borderId="0" fillId="6" fontId="4" numFmtId="1" xfId="0" applyAlignment="1" applyFill="1" applyFont="1" applyNumberFormat="1">
      <alignment horizontal="center" readingOrder="0" shrinkToFit="0" vertical="bottom" wrapText="1"/>
    </xf>
    <xf borderId="0" fillId="7" fontId="6" numFmtId="1" xfId="0" applyAlignment="1" applyFill="1" applyFont="1" applyNumberFormat="1">
      <alignment horizontal="center" readingOrder="0" vertical="bottom"/>
    </xf>
    <xf borderId="0" fillId="2" fontId="4" numFmtId="0" xfId="0" applyAlignment="1" applyFont="1">
      <alignment horizontal="left" readingOrder="0" vertical="bottom"/>
    </xf>
    <xf borderId="0" fillId="0" fontId="7" numFmtId="1" xfId="0" applyAlignment="1" applyFont="1" applyNumberFormat="1">
      <alignment readingOrder="0" vertical="bottom"/>
    </xf>
    <xf borderId="0" fillId="0" fontId="4" numFmtId="1" xfId="0" applyAlignment="1" applyFont="1" applyNumberFormat="1">
      <alignment horizontal="left" readingOrder="0" vertical="center"/>
    </xf>
    <xf borderId="0" fillId="4" fontId="4" numFmtId="1" xfId="0" applyAlignment="1" applyFont="1" applyNumberFormat="1">
      <alignment horizontal="left" vertical="center"/>
    </xf>
    <xf borderId="0" fillId="0" fontId="4" numFmtId="0" xfId="0" applyAlignment="1" applyFont="1">
      <alignment horizontal="left" readingOrder="0"/>
    </xf>
    <xf borderId="0" fillId="7" fontId="6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vertical="bottom"/>
    </xf>
    <xf borderId="0" fillId="2" fontId="4" numFmtId="0" xfId="0" applyAlignment="1" applyFont="1">
      <alignment horizontal="left"/>
    </xf>
    <xf borderId="0" fillId="2" fontId="4" numFmtId="166" xfId="0" applyAlignment="1" applyFont="1" applyNumberFormat="1">
      <alignment horizontal="center" readingOrder="0"/>
    </xf>
    <xf borderId="1" fillId="6" fontId="4" numFmtId="1" xfId="0" applyAlignment="1" applyBorder="1" applyFont="1" applyNumberFormat="1">
      <alignment horizontal="center" shrinkToFit="0" vertical="bottom" wrapText="1"/>
    </xf>
    <xf borderId="2" fillId="0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left"/>
    </xf>
    <xf borderId="0" fillId="2" fontId="8" numFmtId="0" xfId="0" applyAlignment="1" applyFont="1">
      <alignment horizontal="left"/>
    </xf>
    <xf borderId="0" fillId="8" fontId="4" numFmtId="0" xfId="0" applyAlignment="1" applyFill="1" applyFont="1">
      <alignment horizontal="left" readingOrder="0"/>
    </xf>
    <xf borderId="0" fillId="0" fontId="6" numFmtId="0" xfId="0" applyAlignment="1" applyFont="1">
      <alignment horizontal="center" readingOrder="0" shrinkToFit="0" vertical="bottom" wrapText="1"/>
    </xf>
    <xf borderId="0" fillId="2" fontId="4" numFmtId="0" xfId="0" applyAlignment="1" applyFont="1">
      <alignment horizontal="left" vertical="bottom"/>
    </xf>
    <xf borderId="0" fillId="2" fontId="9" numFmtId="0" xfId="0" applyAlignment="1" applyFont="1">
      <alignment horizontal="left" readingOrder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2" fillId="0" fontId="10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left" vertical="bottom"/>
    </xf>
    <xf borderId="4" fillId="9" fontId="11" numFmtId="0" xfId="0" applyAlignment="1" applyBorder="1" applyFill="1" applyFont="1">
      <alignment vertical="bottom"/>
    </xf>
    <xf borderId="0" fillId="2" fontId="4" numFmtId="1" xfId="0" applyAlignment="1" applyFont="1" applyNumberFormat="1">
      <alignment horizontal="center" readingOrder="0" shrinkToFit="0" vertical="bottom" wrapText="1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horizontal="center" readingOrder="0" vertical="bottom"/>
    </xf>
    <xf borderId="0" fillId="2" fontId="13" numFmtId="0" xfId="0" applyAlignment="1" applyFont="1">
      <alignment horizontal="center" readingOrder="0" vertical="bottom"/>
    </xf>
    <xf borderId="0" fillId="2" fontId="4" numFmtId="0" xfId="0" applyAlignment="1" applyFont="1">
      <alignment horizontal="center" readingOrder="0" shrinkToFit="0" vertical="bottom" wrapText="1"/>
    </xf>
    <xf borderId="0" fillId="2" fontId="14" numFmtId="0" xfId="0" applyAlignment="1" applyFont="1">
      <alignment horizontal="left" readingOrder="0"/>
    </xf>
    <xf borderId="1" fillId="6" fontId="15" numFmtId="1" xfId="0" applyAlignment="1" applyBorder="1" applyFont="1" applyNumberFormat="1">
      <alignment horizontal="center" shrinkToFit="0" vertical="bottom" wrapText="1"/>
    </xf>
    <xf borderId="0" fillId="2" fontId="4" numFmtId="0" xfId="0" applyAlignment="1" applyFont="1">
      <alignment horizontal="left" readingOrder="0"/>
    </xf>
    <xf borderId="0" fillId="2" fontId="16" numFmtId="0" xfId="0" applyAlignment="1" applyFont="1">
      <alignment horizontal="left" readingOrder="0"/>
    </xf>
    <xf borderId="0" fillId="2" fontId="17" numFmtId="0" xfId="0" applyAlignment="1" applyFont="1">
      <alignment horizontal="center" readingOrder="0" shrinkToFit="0" vertical="bottom" wrapText="1"/>
    </xf>
    <xf borderId="0" fillId="2" fontId="18" numFmtId="0" xfId="0" applyAlignment="1" applyFont="1">
      <alignment horizontal="center" readingOrder="0" shrinkToFit="0" vertical="bottom" wrapText="1"/>
    </xf>
    <xf borderId="0" fillId="2" fontId="19" numFmtId="0" xfId="0" applyAlignment="1" applyFont="1">
      <alignment horizontal="center" readingOrder="0" shrinkToFit="0" vertical="bottom" wrapText="1"/>
    </xf>
    <xf borderId="0" fillId="2" fontId="19" numFmtId="0" xfId="0" applyAlignment="1" applyFont="1">
      <alignment horizontal="center" shrinkToFit="0" vertical="bottom" wrapText="1"/>
    </xf>
    <xf borderId="0" fillId="2" fontId="17" numFmtId="0" xfId="0" applyAlignment="1" applyFont="1">
      <alignment horizontal="left" readingOrder="0" vertical="bottom"/>
    </xf>
    <xf borderId="0" fillId="2" fontId="4" numFmtId="0" xfId="0" applyAlignment="1" applyFont="1">
      <alignment horizontal="center" readingOrder="0"/>
    </xf>
    <xf borderId="0" fillId="2" fontId="13" numFmtId="0" xfId="0" applyAlignment="1" applyFont="1">
      <alignment horizontal="left" readingOrder="0" vertical="bottom"/>
    </xf>
    <xf borderId="0" fillId="10" fontId="7" numFmtId="0" xfId="0" applyAlignment="1" applyFill="1" applyFont="1">
      <alignment vertical="bottom"/>
    </xf>
    <xf borderId="0" fillId="2" fontId="7" numFmtId="0" xfId="0" applyAlignment="1" applyFont="1">
      <alignment vertical="bottom"/>
    </xf>
    <xf borderId="0" fillId="2" fontId="7" numFmtId="0" xfId="0" applyAlignment="1" applyFont="1">
      <alignment shrinkToFit="0" vertical="bottom" wrapText="1"/>
    </xf>
    <xf borderId="2" fillId="10" fontId="6" numFmtId="0" xfId="0" applyAlignment="1" applyBorder="1" applyFont="1">
      <alignment horizontal="center" shrinkToFit="0" vertical="bottom" wrapText="1"/>
    </xf>
    <xf borderId="2" fillId="2" fontId="6" numFmtId="0" xfId="0" applyAlignment="1" applyBorder="1" applyFont="1">
      <alignment horizontal="center" shrinkToFit="0" vertical="bottom" wrapText="1"/>
    </xf>
    <xf borderId="2" fillId="2" fontId="7" numFmtId="0" xfId="0" applyAlignment="1" applyBorder="1" applyFont="1">
      <alignment horizontal="center" vertical="bottom"/>
    </xf>
    <xf borderId="2" fillId="10" fontId="7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vertical="bottom"/>
    </xf>
    <xf borderId="1" fillId="10" fontId="10" numFmtId="0" xfId="0" applyAlignment="1" applyBorder="1" applyFont="1">
      <alignment horizontal="center" vertical="bottom"/>
    </xf>
    <xf borderId="4" fillId="9" fontId="7" numFmtId="0" xfId="0" applyAlignment="1" applyBorder="1" applyFont="1">
      <alignment vertical="bottom"/>
    </xf>
    <xf borderId="2" fillId="10" fontId="6" numFmtId="49" xfId="0" applyAlignment="1" applyBorder="1" applyFont="1" applyNumberFormat="1">
      <alignment horizontal="center" vertical="bottom"/>
    </xf>
    <xf borderId="2" fillId="2" fontId="6" numFmtId="49" xfId="0" applyAlignment="1" applyBorder="1" applyFont="1" applyNumberFormat="1">
      <alignment horizontal="center" vertical="bottom"/>
    </xf>
    <xf borderId="5" fillId="2" fontId="6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vertical="bottom"/>
    </xf>
    <xf borderId="1" fillId="6" fontId="7" numFmtId="1" xfId="0" applyAlignment="1" applyBorder="1" applyFont="1" applyNumberFormat="1">
      <alignment horizontal="center" vertical="bottom"/>
    </xf>
    <xf borderId="2" fillId="6" fontId="7" numFmtId="0" xfId="0" applyAlignment="1" applyBorder="1" applyFont="1">
      <alignment horizontal="center" vertical="bottom"/>
    </xf>
    <xf borderId="0" fillId="2" fontId="4" numFmtId="0" xfId="0" applyAlignment="1" applyFont="1">
      <alignment readingOrder="0"/>
    </xf>
    <xf borderId="2" fillId="7" fontId="6" numFmtId="0" xfId="0" applyAlignment="1" applyBorder="1" applyFont="1">
      <alignment horizontal="center" vertical="bottom"/>
    </xf>
    <xf borderId="1" fillId="6" fontId="15" numFmtId="1" xfId="0" applyAlignment="1" applyBorder="1" applyFont="1" applyNumberFormat="1">
      <alignment horizontal="center" readingOrder="0" shrinkToFit="0" vertical="bottom" wrapText="1"/>
    </xf>
    <xf borderId="0" fillId="10" fontId="20" numFmtId="0" xfId="0" applyAlignment="1" applyFont="1">
      <alignment readingOrder="0"/>
    </xf>
    <xf borderId="0" fillId="2" fontId="21" numFmtId="0" xfId="0" applyAlignment="1" applyFont="1">
      <alignment readingOrder="0"/>
    </xf>
    <xf borderId="0" fillId="10" fontId="4" numFmtId="0" xfId="0" applyAlignment="1" applyFont="1">
      <alignment horizontal="left" readingOrder="0"/>
    </xf>
    <xf borderId="0" fillId="2" fontId="22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2" fontId="4" numFmtId="164" xfId="0" applyAlignment="1" applyFont="1" applyNumberFormat="1">
      <alignment horizontal="center" vertical="bottom"/>
    </xf>
    <xf borderId="0" fillId="10" fontId="4" numFmtId="0" xfId="0" applyAlignment="1" applyFont="1">
      <alignment vertical="bottom"/>
    </xf>
    <xf borderId="0" fillId="10" fontId="24" numFmtId="0" xfId="0" applyAlignment="1" applyFont="1">
      <alignment vertical="bottom"/>
    </xf>
    <xf borderId="0" fillId="2" fontId="4" numFmtId="1" xfId="0" applyAlignment="1" applyFont="1" applyNumberFormat="1">
      <alignment horizontal="center" shrinkToFit="0" vertical="bottom" wrapText="1"/>
    </xf>
    <xf borderId="0" fillId="2" fontId="4" numFmtId="0" xfId="0" applyAlignment="1" applyFont="1">
      <alignment horizontal="center" shrinkToFit="0" vertical="bottom" wrapText="1"/>
    </xf>
    <xf borderId="0" fillId="2" fontId="4" numFmtId="0" xfId="0" applyAlignment="1" applyFont="1">
      <alignment horizontal="left" vertical="bottom"/>
    </xf>
    <xf borderId="0" fillId="2" fontId="4" numFmtId="166" xfId="0" applyAlignment="1" applyFont="1" applyNumberFormat="1">
      <alignment horizontal="center" vertical="bottom"/>
    </xf>
    <xf borderId="0" fillId="2" fontId="22" numFmtId="166" xfId="0" applyAlignment="1" applyFont="1" applyNumberFormat="1">
      <alignment horizontal="center" readingOrder="0" vertical="bottom"/>
    </xf>
    <xf borderId="0" fillId="2" fontId="25" numFmtId="0" xfId="0" applyAlignment="1" applyFont="1">
      <alignment horizontal="left" readingOrder="0" vertical="bottom"/>
    </xf>
    <xf borderId="0" fillId="2" fontId="4" numFmtId="0" xfId="0" applyFont="1"/>
    <xf borderId="0" fillId="10" fontId="26" numFmtId="0" xfId="0" applyAlignment="1" applyFont="1">
      <alignment horizontal="left" readingOrder="0"/>
    </xf>
    <xf borderId="0" fillId="2" fontId="17" numFmtId="164" xfId="0" applyAlignment="1" applyFont="1" applyNumberFormat="1">
      <alignment horizontal="center"/>
    </xf>
    <xf borderId="0" fillId="2" fontId="17" numFmtId="166" xfId="0" applyAlignment="1" applyFont="1" applyNumberFormat="1">
      <alignment horizontal="center" readingOrder="0"/>
    </xf>
    <xf borderId="0" fillId="10" fontId="22" numFmtId="0" xfId="0" applyAlignment="1" applyFont="1">
      <alignment vertical="bottom"/>
    </xf>
    <xf borderId="0" fillId="10" fontId="4" numFmtId="0" xfId="0" applyAlignment="1" applyFont="1">
      <alignment horizontal="left" readingOrder="0" vertical="bottom"/>
    </xf>
    <xf borderId="0" fillId="10" fontId="4" numFmtId="0" xfId="0" applyAlignment="1" applyFont="1">
      <alignment readingOrder="0" vertical="bottom"/>
    </xf>
    <xf borderId="0" fillId="10" fontId="4" numFmtId="0" xfId="0" applyAlignment="1" applyFont="1">
      <alignment horizontal="left" readingOrder="0"/>
    </xf>
    <xf borderId="0" fillId="10" fontId="27" numFmtId="0" xfId="0" applyAlignment="1" applyFont="1">
      <alignment horizontal="left" readingOrder="0"/>
    </xf>
    <xf borderId="0" fillId="2" fontId="27" numFmtId="0" xfId="0" applyAlignment="1" applyFont="1">
      <alignment horizontal="left" readingOrder="0"/>
    </xf>
    <xf borderId="0" fillId="10" fontId="4" numFmtId="0" xfId="0" applyAlignment="1" applyFont="1">
      <alignment horizontal="left" vertical="bottom"/>
    </xf>
    <xf borderId="0" fillId="10" fontId="22" numFmtId="0" xfId="0" applyAlignment="1" applyFont="1">
      <alignment horizontal="left" vertical="bottom"/>
    </xf>
    <xf borderId="0" fillId="2" fontId="22" numFmtId="0" xfId="0" applyAlignment="1" applyFont="1">
      <alignment horizontal="left" vertical="bottom"/>
    </xf>
    <xf borderId="0" fillId="2" fontId="22" numFmtId="0" xfId="0" applyAlignment="1" applyFont="1">
      <alignment horizontal="left" readingOrder="0" vertical="bottom"/>
    </xf>
    <xf borderId="0" fillId="2" fontId="4" numFmtId="0" xfId="0" applyAlignment="1" applyFont="1">
      <alignment horizontal="left" readingOrder="0" vertical="bottom"/>
    </xf>
    <xf borderId="0" fillId="2" fontId="2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left" readingOrder="0"/>
    </xf>
    <xf borderId="0" fillId="2" fontId="27" numFmtId="0" xfId="0" applyAlignment="1" applyFont="1">
      <alignment horizontal="left" readingOrder="0"/>
    </xf>
    <xf borderId="0" fillId="2" fontId="4" numFmtId="0" xfId="0" applyAlignment="1" applyFont="1">
      <alignment readingOrder="0" vertical="bottom"/>
    </xf>
    <xf borderId="1" fillId="2" fontId="4" numFmtId="1" xfId="0" applyAlignment="1" applyBorder="1" applyFont="1" applyNumberFormat="1">
      <alignment horizontal="center" readingOrder="0" shrinkToFit="0" vertical="bottom" wrapText="1"/>
    </xf>
    <xf borderId="2" fillId="2" fontId="4" numFmtId="0" xfId="0" applyAlignment="1" applyBorder="1" applyFont="1">
      <alignment horizontal="center" readingOrder="0" vertical="bottom"/>
    </xf>
    <xf borderId="2" fillId="2" fontId="4" numFmtId="0" xfId="0" applyAlignment="1" applyBorder="1" applyFont="1">
      <alignment horizontal="center" readingOrder="0" shrinkToFit="0" vertical="bottom" wrapText="1"/>
    </xf>
    <xf borderId="1" fillId="2" fontId="4" numFmtId="0" xfId="0" applyAlignment="1" applyBorder="1" applyFont="1">
      <alignment horizontal="center" readingOrder="0" vertical="bottom"/>
    </xf>
    <xf borderId="1" fillId="2" fontId="4" numFmtId="1" xfId="0" applyAlignment="1" applyBorder="1" applyFont="1" applyNumberFormat="1">
      <alignment horizontal="center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2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center" vertical="top"/>
    </xf>
    <xf borderId="2" fillId="2" fontId="28" numFmtId="0" xfId="0" applyAlignment="1" applyBorder="1" applyFont="1">
      <alignment horizontal="center" vertical="top"/>
    </xf>
    <xf borderId="4" fillId="2" fontId="4" numFmtId="0" xfId="0" applyAlignment="1" applyBorder="1" applyFont="1">
      <alignment vertical="bottom"/>
    </xf>
    <xf borderId="5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2" fillId="2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vertical="bottom"/>
    </xf>
    <xf borderId="1" fillId="2" fontId="4" numFmtId="1" xfId="0" applyAlignment="1" applyBorder="1" applyFont="1" applyNumberFormat="1">
      <alignment horizontal="center" vertical="bottom"/>
    </xf>
    <xf borderId="2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shrinkToFit="0" vertical="bottom" wrapText="1"/>
    </xf>
    <xf borderId="6" fillId="2" fontId="29" numFmtId="0" xfId="0" applyAlignment="1" applyBorder="1" applyFont="1">
      <alignment horizontal="center" vertical="bottom"/>
    </xf>
    <xf borderId="7" fillId="2" fontId="29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2" fillId="2" fontId="30" numFmtId="0" xfId="0" applyAlignment="1" applyBorder="1" applyFont="1">
      <alignment horizontal="center" shrinkToFit="0" vertical="bottom" wrapText="1"/>
    </xf>
    <xf borderId="0" fillId="0" fontId="31" numFmtId="0" xfId="0" applyFont="1"/>
    <xf borderId="0" fillId="0" fontId="31" numFmtId="164" xfId="0" applyFont="1" applyNumberFormat="1"/>
    <xf borderId="0" fillId="0" fontId="31" numFmtId="1" xfId="0" applyFont="1" applyNumberFormat="1"/>
    <xf borderId="0" fillId="0" fontId="2" numFmtId="10" xfId="0" applyFont="1" applyNumberFormat="1"/>
    <xf borderId="0" fillId="0" fontId="32" numFmtId="0" xfId="0" applyAlignment="1" applyFont="1">
      <alignment shrinkToFit="0" wrapText="1"/>
    </xf>
    <xf borderId="0" fillId="0" fontId="32" numFmtId="4" xfId="0" applyAlignment="1" applyFont="1" applyNumberFormat="1">
      <alignment shrinkToFit="0" wrapText="1"/>
    </xf>
    <xf borderId="0" fillId="0" fontId="32" numFmtId="4" xfId="0" applyAlignment="1" applyFont="1" applyNumberFormat="1">
      <alignment readingOrder="0" shrinkToFit="0" wrapText="1"/>
    </xf>
    <xf borderId="0" fillId="11" fontId="32" numFmtId="4" xfId="0" applyAlignment="1" applyFill="1" applyFont="1" applyNumberFormat="1">
      <alignment readingOrder="0" shrinkToFit="0" wrapText="1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horizontal="left" readingOrder="0" vertical="center"/>
    </xf>
    <xf borderId="0" fillId="0" fontId="33" numFmtId="4" xfId="0" applyAlignment="1" applyFont="1" applyNumberFormat="1">
      <alignment horizontal="left" readingOrder="0" vertical="center"/>
    </xf>
    <xf borderId="0" fillId="0" fontId="2" numFmtId="4" xfId="0" applyFont="1" applyNumberFormat="1"/>
    <xf borderId="0" fillId="11" fontId="33" numFmtId="4" xfId="0" applyAlignment="1" applyFont="1" applyNumberFormat="1">
      <alignment horizontal="left" readingOrder="0" vertical="center"/>
    </xf>
    <xf borderId="0" fillId="2" fontId="34" numFmtId="4" xfId="0" applyFont="1" applyNumberFormat="1"/>
    <xf borderId="0" fillId="2" fontId="34" numFmtId="0" xfId="0" applyFont="1"/>
    <xf borderId="0" fillId="2" fontId="35" numFmtId="4" xfId="0" applyFont="1" applyNumberFormat="1"/>
    <xf borderId="0" fillId="0" fontId="33" numFmtId="0" xfId="0" applyAlignment="1" applyFont="1">
      <alignment horizontal="left" vertical="center"/>
    </xf>
    <xf borderId="0" fillId="4" fontId="33" numFmtId="0" xfId="0" applyAlignment="1" applyFont="1">
      <alignment horizontal="left" vertical="center"/>
    </xf>
    <xf borderId="0" fillId="5" fontId="33" numFmtId="0" xfId="0" applyAlignment="1" applyFont="1">
      <alignment horizontal="left" vertical="center"/>
    </xf>
    <xf borderId="0" fillId="11" fontId="2" numFmtId="4" xfId="0" applyFont="1" applyNumberFormat="1"/>
    <xf borderId="0" fillId="11" fontId="2" numFmtId="167" xfId="0" applyAlignment="1" applyFont="1" applyNumberFormat="1">
      <alignment readingOrder="0"/>
    </xf>
    <xf borderId="0" fillId="11" fontId="2" numFmtId="14" xfId="0" applyFont="1" applyNumberFormat="1"/>
    <xf borderId="8" fillId="12" fontId="4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10" xfId="0" applyAlignment="1" applyFont="1" applyNumberFormat="1">
      <alignment shrinkToFit="0" vertical="center" wrapText="1"/>
    </xf>
    <xf borderId="0" fillId="8" fontId="10" numFmtId="0" xfId="0" applyAlignment="1" applyFont="1">
      <alignment shrinkToFit="0" vertical="center" wrapText="1"/>
    </xf>
    <xf borderId="0" fillId="11" fontId="10" numFmtId="0" xfId="0" applyAlignment="1" applyFont="1">
      <alignment shrinkToFit="0" vertical="center" wrapText="1"/>
    </xf>
    <xf borderId="0" fillId="11" fontId="10" numFmtId="0" xfId="0" applyAlignment="1" applyFont="1">
      <alignment readingOrder="0" shrinkToFit="0" vertical="center" wrapText="1"/>
    </xf>
    <xf borderId="0" fillId="11" fontId="4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11" fontId="4" numFmtId="167" xfId="0" applyAlignment="1" applyFont="1" applyNumberFormat="1">
      <alignment readingOrder="0"/>
    </xf>
    <xf borderId="0" fillId="11" fontId="4" numFmtId="14" xfId="0" applyFont="1" applyNumberFormat="1"/>
    <xf borderId="2" fillId="0" fontId="4" numFmtId="0" xfId="0" applyAlignment="1" applyBorder="1" applyFont="1">
      <alignment horizontal="center"/>
    </xf>
    <xf borderId="2" fillId="0" fontId="4" numFmtId="1" xfId="0" applyAlignment="1" applyBorder="1" applyFont="1" applyNumberFormat="1">
      <alignment horizontal="center"/>
    </xf>
    <xf borderId="2" fillId="0" fontId="4" numFmtId="10" xfId="0" applyAlignment="1" applyBorder="1" applyFont="1" applyNumberFormat="1">
      <alignment horizontal="center"/>
    </xf>
    <xf borderId="0" fillId="0" fontId="4" numFmtId="0" xfId="0" applyAlignment="1" applyFont="1">
      <alignment shrinkToFit="0" vertical="bottom" wrapText="0"/>
    </xf>
    <xf borderId="0" fillId="0" fontId="4" numFmtId="168" xfId="0" applyAlignment="1" applyFont="1" applyNumberFormat="1">
      <alignment vertical="bottom"/>
    </xf>
    <xf borderId="0" fillId="0" fontId="4" numFmtId="169" xfId="0" applyAlignment="1" applyFont="1" applyNumberFormat="1">
      <alignment vertical="bottom"/>
    </xf>
    <xf borderId="0" fillId="2" fontId="27" numFmtId="0" xfId="0" applyAlignment="1" applyFont="1">
      <alignment readingOrder="0"/>
    </xf>
    <xf borderId="0" fillId="2" fontId="27" numFmtId="0" xfId="0" applyFont="1"/>
    <xf borderId="0" fillId="0" fontId="4" numFmtId="168" xfId="0" applyAlignment="1" applyFont="1" applyNumberFormat="1">
      <alignment horizontal="right" vertical="bottom"/>
    </xf>
    <xf borderId="0" fillId="0" fontId="4" numFmtId="169" xfId="0" applyAlignment="1" applyFont="1" applyNumberFormat="1">
      <alignment horizontal="right" vertical="bottom"/>
    </xf>
    <xf borderId="0" fillId="0" fontId="17" numFmtId="0" xfId="0" applyAlignment="1" applyFont="1">
      <alignment readingOrder="0"/>
    </xf>
    <xf borderId="0" fillId="0" fontId="17" numFmtId="0" xfId="0" applyFont="1"/>
    <xf borderId="0" fillId="13" fontId="4" numFmtId="165" xfId="0" applyAlignment="1" applyFill="1" applyFont="1" applyNumberFormat="1">
      <alignment readingOrder="0"/>
    </xf>
    <xf borderId="0" fillId="2" fontId="3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2" fontId="37" numFmtId="0" xfId="0" applyFont="1"/>
    <xf borderId="0" fillId="0" fontId="4" numFmtId="165" xfId="0" applyAlignment="1" applyFont="1" applyNumberFormat="1">
      <alignment horizontal="right" readingOrder="0" vertical="bottom"/>
    </xf>
    <xf borderId="0" fillId="2" fontId="36" numFmtId="0" xfId="0" applyAlignment="1" applyFont="1">
      <alignment vertical="bottom"/>
    </xf>
    <xf borderId="2" fillId="2" fontId="36" numFmtId="0" xfId="0" applyAlignment="1" applyBorder="1" applyFont="1">
      <alignment shrinkToFit="0" vertical="bottom" wrapText="0"/>
    </xf>
    <xf borderId="0" fillId="0" fontId="4" numFmtId="168" xfId="0" applyFont="1" applyNumberFormat="1"/>
    <xf borderId="0" fillId="0" fontId="4" numFmtId="169" xfId="0" applyFont="1" applyNumberFormat="1"/>
    <xf borderId="8" fillId="12" fontId="4" numFmtId="0" xfId="0" applyAlignment="1" applyBorder="1" applyFont="1">
      <alignment vertical="bottom"/>
    </xf>
    <xf borderId="8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12" fontId="4" numFmtId="0" xfId="0" applyAlignment="1" applyFont="1">
      <alignment vertical="bottom"/>
    </xf>
    <xf borderId="0" fillId="0" fontId="38" numFmtId="0" xfId="0" applyFont="1"/>
    <xf borderId="0" fillId="0" fontId="38" numFmtId="170" xfId="0" applyFont="1" applyNumberFormat="1"/>
    <xf borderId="0" fillId="14" fontId="39" numFmtId="170" xfId="0" applyAlignment="1" applyFill="1" applyFont="1" applyNumberFormat="1">
      <alignment vertical="bottom"/>
    </xf>
    <xf borderId="0" fillId="15" fontId="38" numFmtId="170" xfId="0" applyAlignment="1" applyFill="1" applyFont="1" applyNumberFormat="1">
      <alignment vertical="bottom"/>
    </xf>
    <xf borderId="0" fillId="16" fontId="39" numFmtId="170" xfId="0" applyAlignment="1" applyFill="1" applyFont="1" applyNumberFormat="1">
      <alignment vertical="bottom"/>
    </xf>
    <xf borderId="0" fillId="15" fontId="39" numFmtId="170" xfId="0" applyAlignment="1" applyFont="1" applyNumberFormat="1">
      <alignment vertical="bottom"/>
    </xf>
    <xf borderId="0" fillId="15" fontId="39" numFmtId="0" xfId="0" applyAlignment="1" applyFont="1">
      <alignment vertical="bottom"/>
    </xf>
    <xf borderId="0" fillId="15" fontId="38" numFmtId="0" xfId="0" applyAlignment="1" applyFont="1">
      <alignment vertical="bottom"/>
    </xf>
    <xf borderId="0" fillId="17" fontId="38" numFmtId="0" xfId="0" applyAlignment="1" applyFill="1" applyFont="1">
      <alignment vertical="bottom"/>
    </xf>
    <xf borderId="0" fillId="14" fontId="38" numFmtId="0" xfId="0" applyAlignment="1" applyFont="1">
      <alignment vertical="bottom"/>
    </xf>
    <xf borderId="0" fillId="0" fontId="38" numFmtId="0" xfId="0" applyAlignment="1" applyFont="1">
      <alignment vertical="bottom"/>
    </xf>
    <xf borderId="0" fillId="16" fontId="38" numFmtId="0" xfId="0" applyAlignment="1" applyFont="1">
      <alignment vertical="bottom"/>
    </xf>
    <xf borderId="0" fillId="17" fontId="38" numFmtId="168" xfId="0" applyAlignment="1" applyFont="1" applyNumberFormat="1">
      <alignment vertical="bottom"/>
    </xf>
    <xf borderId="0" fillId="0" fontId="38" numFmtId="168" xfId="0" applyAlignment="1" applyFont="1" applyNumberFormat="1">
      <alignment horizontal="right" vertical="bottom"/>
    </xf>
    <xf borderId="0" fillId="0" fontId="38" numFmtId="169" xfId="0" applyAlignment="1" applyFont="1" applyNumberFormat="1">
      <alignment horizontal="right" vertical="bottom"/>
    </xf>
    <xf borderId="0" fillId="0" fontId="2" numFmtId="166" xfId="0" applyFont="1" applyNumberFormat="1"/>
    <xf borderId="0" fillId="0" fontId="2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2" pivot="0" name="horas x profesor-style">
      <tableStyleElement dxfId="1" type="firstRowStripe"/>
      <tableStyleElement dxfId="2" type="secondRowStripe"/>
    </tableStyle>
    <tableStyle count="2" pivot="0" name="Datos PUNTUAL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pivotCacheDefinition" Target="pivotCache/pivotCacheDefinition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AUSENCIA!$A$3:$A$43</c:f>
            </c:strRef>
          </c:cat>
          <c:val>
            <c:numRef>
              <c:f>AUSENCIA!$D$3:$D$8</c:f>
              <c:numCache/>
            </c:numRef>
          </c:val>
        </c:ser>
        <c:axId val="1229360880"/>
        <c:axId val="2048355696"/>
      </c:barChart>
      <c:catAx>
        <c:axId val="1229360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355696"/>
      </c:catAx>
      <c:valAx>
        <c:axId val="2048355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360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HORAS 
TOTALES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'Horas x dpto'!$A$3:$A$8</c:f>
            </c:strRef>
          </c:cat>
          <c:val>
            <c:numRef>
              <c:f>'Horas x dpto'!$B$3:$B$8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SUM de clases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'Horas x dpto'!$H$3:$H$8</c:f>
            </c:strRef>
          </c:cat>
          <c:val>
            <c:numRef>
              <c:f>'Horas x dpto'!$I$3:$I$8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3</xdr:row>
      <xdr:rowOff>161925</xdr:rowOff>
    </xdr:from>
    <xdr:ext cx="75628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12</xdr:row>
      <xdr:rowOff>123825</xdr:rowOff>
    </xdr:from>
    <xdr:ext cx="5229225" cy="4019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323850</xdr:colOff>
      <xdr:row>12</xdr:row>
      <xdr:rowOff>66675</xdr:rowOff>
    </xdr:from>
    <xdr:ext cx="6457950" cy="4019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M205" sheet="Inasistencias"/>
  </cacheSource>
  <cacheFields>
    <cacheField name="dia" numFmtId="164">
      <sharedItems containsDate="1" containsString="0" containsBlank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</sharedItems>
    </cacheField>
    <cacheField name="fecha">
      <sharedItems containsDate="1" containsString="0" containsBlank="1" containsMixedTypes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n v="45768.0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</sharedItems>
    </cacheField>
    <cacheField name="hora" numFmtId="0">
      <sharedItems containsString="0" containsBlank="1" containsNumber="1" containsInteger="1">
        <m/>
        <n v="2.0"/>
        <n v="3.0"/>
        <n v="4.0"/>
        <n v="5.0"/>
        <n v="6.0"/>
        <n v="7.0"/>
        <n v="8.0"/>
        <n v="1.0"/>
      </sharedItems>
    </cacheField>
    <cacheField name="Clase" numFmtId="1">
      <sharedItems containsBlank="1">
        <s v="5P"/>
        <s v="5O"/>
        <m/>
        <s v="4A"/>
        <s v="4B"/>
        <s v="2B"/>
        <s v="2A"/>
        <s v="6P"/>
        <s v="6O"/>
        <s v="1A"/>
        <s v="6 Basico"/>
        <s v="1B"/>
        <s v="3b"/>
        <s v="6to basico"/>
        <s v="4to Basico"/>
        <s v="4 SCIENCE"/>
        <s v="3A"/>
        <s v="5 O"/>
        <s v="5 P"/>
        <s v="6 O"/>
        <s v="5O FC"/>
        <s v="5P FC"/>
        <s v="60 FC"/>
        <s v="6P FC"/>
        <s v="FC 4O"/>
        <s v="FC 1A"/>
        <s v="FC 3A"/>
        <s v="1A "/>
        <s v="3A "/>
        <s v="4P"/>
      </sharedItems>
    </cacheField>
    <cacheField name="reemplaza" numFmtId="0">
      <sharedItems containsBlank="1">
        <s v="Facundo Laborde"/>
        <m/>
        <s v="Facundo Terrana"/>
        <s v="Mercedes Vitullo"/>
        <s v="Astrid Vanina Santa Maria"/>
        <s v="Carolina Ferrari Aldaz"/>
        <s v="Lucas Gerk"/>
        <s v="Alvarez"/>
        <s v="Aylén Junquet"/>
        <s v="Maria Guadalupe Reyes"/>
        <s v="Bárbara Cornejo"/>
        <s v="Ezequiel Beccar Varela"/>
        <s v="Cecilia Lund Petersen"/>
        <s v="Prefectura"/>
        <s v="Verónica Desivo"/>
        <s v="Maria del PIlar Fernandez"/>
        <s v="Juan Ignacio Cacciamano"/>
        <s v="Bentes"/>
        <s v="Eduardo Gabriel Rougier"/>
        <s v="Lucila Lago"/>
        <s v="Maria Soledad Arrambide"/>
        <s v="Marina Aberg Cobo"/>
        <s v="Luciana Natalia Cabrera"/>
        <s v="María Candelaria Roca González Del Solar"/>
        <s v="María Laura Loyola"/>
        <s v="Juan Bautista De Las Carreras"/>
        <s v="Agustina Bieule"/>
        <s v="María Guadalupe Blasco"/>
        <s v="Roberta Ludueña"/>
        <s v="Champaquí"/>
        <s v="Rocio Rey Metzler"/>
        <s v="María De Las Mercedes Pesado Riccardi"/>
        <s v="anika "/>
        <s v="Mica Carlino"/>
        <s v="Verónica María Bonadeo"/>
        <s v="Cecilia Moirano"/>
        <s v="María Gabriela Redolfi"/>
        <s v="Catalina Novo"/>
        <s v="Federico Ruiz"/>
        <s v="Marcos Berro García"/>
        <s v="Valeria Cerruti"/>
        <s v="Gabriel Aluzzo"/>
        <s v="Federico Martín Ruiz"/>
        <s v="Ana Camila Urbancic"/>
        <s v="Gonzalo Matheu"/>
      </sharedItems>
    </cacheField>
    <cacheField name="Se pago Adicional? (sin permanencia)" numFmtId="1">
      <sharedItems containsBlank="1">
        <s v="#"/>
        <m/>
      </sharedItems>
    </cacheField>
    <cacheField name="otro comentario" numFmtId="0">
      <sharedItems containsBlank="1">
        <m/>
        <s v="torneo"/>
        <s v="llego 830"/>
        <s v="profesores de 4to"/>
        <s v="Tiene 6to"/>
        <s v="Acuerdo"/>
        <s v="acuerdo "/>
        <s v="VER CON JB"/>
        <s v="Tiene acuerdo, hay otros q tienen horas que no se si pueden cubrir&#10;&#10;"/>
        <s v="5to año (RETIRO)"/>
        <s v="ENTREGA FE LA PALABRA DE UN HIJO"/>
        <s v="tutoria"/>
        <s v="COGNIA"/>
      </sharedItems>
    </cacheField>
    <cacheField name="Razon" numFmtId="0">
      <sharedItems containsBlank="1">
        <s v="Sin profesor"/>
        <s v="Enfermedad"/>
        <s v="Capacitacion"/>
        <s v="Preocupacional"/>
        <m/>
        <s v="Familiar a cargo"/>
        <s v="Tema Personal"/>
        <s v="VIaje Personal"/>
        <s v="Reciprocidad con el otro Colegio"/>
        <s v="Viaje Escolar"/>
        <s v="Problema Familiar"/>
        <s v="DEBATE"/>
        <s v="Evento Interno"/>
      </sharedItems>
    </cacheField>
    <cacheField name="Ausente" numFmtId="0">
      <sharedItems containsBlank="1">
        <s v="Maria del PIlar Fernandez"/>
        <s v="Maria Soledad Arrambide"/>
        <m/>
        <s v="Silvana Morel"/>
        <s v="Bentes"/>
        <s v="Juan Bautista De Las Carreras"/>
        <s v="Manuela Freire"/>
        <s v="Soledad Vilar"/>
        <s v="Facundo Terrana"/>
        <s v="Cecilia Lund Petersen"/>
        <s v="Luciana Natalia Cabrera"/>
        <s v="Rocio Rey Metzler"/>
        <s v="Marina Aberg Cobo"/>
        <s v="Cecilia Moirano"/>
        <s v="Ezequiel Beccar Varela"/>
        <s v="Valeria Denise Carmona"/>
        <s v="María Candelaria Roca González Del Solar"/>
        <s v="Catalina Novo"/>
        <s v="Sofia Salgado"/>
        <s v="Verónica Desivo"/>
        <s v="María Gabriela Redolfi"/>
        <s v="Mercedes Vitullo"/>
        <s v="Anechina"/>
        <s v="Agustina Bieule"/>
        <s v="María Guadalupe Blasco"/>
        <s v="Gabriel Aluzzo"/>
        <s v="Lucila Lago"/>
      </sharedItems>
    </cacheField>
    <cacheField name="comentario" numFmtId="1">
      <sharedItems containsBlank="1">
        <s v="NO ESTA REGISTRADO EN REMPLAZOS"/>
        <m/>
        <s v="Perdio el colectivo"/>
        <s v="04 abril 21-27"/>
        <s v="04 abril 28- 4/5 FERIADO 1de mayo "/>
        <s v="https://docs.google.com/spreadsheets/d/18UbEYkqr91lzz72jr6j7k6fIA8yPcMGBBE-dC8Ufbvk/edit?gid=0#gid=0"/>
        <s v="05 Mayo 05/5 - 11/5 "/>
        <s v="05 Mayo 12/5 - 18/5 "/>
        <s v="05 Mayo 19/5 - 23/5 "/>
      </sharedItems>
    </cacheField>
    <cacheField name="Trajo Certificado?" numFmtId="0">
      <sharedItems containsString="0" containsBlank="1">
        <m/>
      </sharedItems>
    </cacheField>
    <cacheField name="MES (AUTOMATICA)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578" sheet="Inasistencias"/>
  </cacheSource>
  <cacheFields>
    <cacheField name=" " numFmtId="0">
      <sharedItems containsString="0" containsBlank="1">
        <m/>
      </sharedItems>
    </cacheField>
    <cacheField name="dia" numFmtId="164">
      <sharedItems containsDate="1" containsString="0" containsBlank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fecha">
      <sharedItems containsDate="1" containsString="0" containsBlank="1" containsMixedTypes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n v="45768.0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hora">
      <sharedItems containsBlank="1" containsMixedTypes="1" containsNumber="1" containsInteger="1">
        <m/>
        <n v="2.0"/>
        <n v="3.0"/>
        <n v="4.0"/>
        <n v="5.0"/>
        <n v="6.0"/>
        <n v="7.0"/>
        <n v="8.0"/>
        <n v="1.0"/>
        <s v="ALMUERZO"/>
      </sharedItems>
    </cacheField>
    <cacheField name="Clase">
      <sharedItems containsBlank="1" containsMixedTypes="1" containsNumber="1" containsInteger="1">
        <s v="5P"/>
        <s v="5O"/>
        <m/>
        <s v="4A"/>
        <s v="4B"/>
        <s v="2B"/>
        <s v="2A"/>
        <s v="6P"/>
        <s v="6O"/>
        <s v="1A"/>
        <s v="6 Basico"/>
        <s v="1B"/>
        <s v="3b"/>
        <s v="6to basico"/>
        <s v="4to Basico"/>
        <s v="4 SCIENCE"/>
        <s v="3A"/>
        <s v="5 O"/>
        <s v="5 P"/>
        <s v="6 O"/>
        <s v="5O FC"/>
        <s v="5P FC"/>
        <s v="60 FC"/>
        <s v="6P FC"/>
        <s v="FC 4O"/>
        <s v="FC 1A"/>
        <s v="FC 3A"/>
        <s v="1A "/>
        <s v="3A "/>
        <s v="4P"/>
        <s v="6 avanzada"/>
        <s v="5 avanzada"/>
        <s v="4 avanzada"/>
        <s v="4O"/>
        <s v="4to"/>
        <s v="acuerdo"/>
        <s v="4B/A"/>
        <s v="5 adv"/>
        <s v="4adv"/>
        <s v="6TO O"/>
        <s v="1A LIDERAZGO"/>
        <s v="3A LIDER"/>
        <s v="2A LIDE"/>
        <n v="60.0"/>
        <n v="50.0"/>
        <s v="6P FILO"/>
        <s v="6O FILO"/>
        <s v="FILO 6O"/>
        <s v="L. al Servicio 1A"/>
        <s v="L. al Servicio 3A"/>
        <s v="L. al Servicio 2A"/>
        <s v="5P y O"/>
        <s v="articulación"/>
        <s v="FC 3B"/>
        <s v="FC 2B"/>
        <s v="LaS 1A"/>
        <s v="Las 3A"/>
        <s v="LaS 2A"/>
      </sharedItems>
    </cacheField>
    <cacheField name="reemplaza" numFmtId="0">
      <sharedItems containsBlank="1">
        <s v="Facundo Laborde"/>
        <m/>
        <s v="Facundo Terrana"/>
        <s v="Mercedes Vitullo"/>
        <s v="Astrid Vanina Santa Maria"/>
        <s v="Carolina Ferrari Aldaz"/>
        <s v="Lucas Gerk"/>
        <s v="Alvarez"/>
        <s v="Aylén Junquet"/>
        <s v="Maria Guadalupe Reyes"/>
        <s v="Bárbara Cornejo"/>
        <s v="Ezequiel Beccar Varela"/>
        <s v="Cecilia Lund Petersen"/>
        <s v="Prefectura"/>
        <s v="Verónica Desivo"/>
        <s v="Maria del PIlar Fernandez"/>
        <s v="Juan Ignacio Cacciamano"/>
        <s v="Bentes"/>
        <s v="Eduardo Gabriel Rougier"/>
        <s v="Lucila Lago"/>
        <s v="Maria Soledad Arrambide"/>
        <s v="Marina Aberg Cobo"/>
        <s v="Luciana Natalia Cabrera"/>
        <s v="María Candelaria Roca González Del Solar"/>
        <s v="María Laura Loyola"/>
        <s v="Juan Bautista De Las Carreras"/>
        <s v="Agustina Bieule"/>
        <s v="María Guadalupe Blasco"/>
        <s v="Roberta Ludueña"/>
        <s v="Champaquí"/>
        <s v="Rocio Rey Metzler"/>
        <s v="María De Las Mercedes Pesado Riccardi"/>
        <s v="anika "/>
        <s v="Mica Carlino"/>
        <s v="Verónica María Bonadeo"/>
        <s v="Cecilia Moirano"/>
        <s v="María Gabriela Redolfi"/>
        <s v="Catalina Novo"/>
        <s v="Federico Ruiz"/>
        <s v="Marcos Berro García"/>
        <s v="Valeria Cerruti"/>
        <s v="Gabriel Aluzzo"/>
        <s v="Federico Martín Ruiz"/>
        <s v="Ana Camila Urbancic"/>
        <s v="Gonzalo Matheu"/>
        <s v="Andrea Paez"/>
        <s v="Anika"/>
        <s v="Maryotti Vazquez"/>
        <s v="Clara Gobbée"/>
        <s v="Anechina"/>
        <s v="Consuelo Rodriguez Piola"/>
      </sharedItems>
    </cacheField>
    <cacheField name="Se pago Adicional? (sin permanencia)" numFmtId="1">
      <sharedItems containsBlank="1">
        <s v="#"/>
        <m/>
      </sharedItems>
    </cacheField>
    <cacheField name="otro comentario" numFmtId="0">
      <sharedItems containsBlank="1">
        <m/>
        <s v="torneo"/>
        <s v="llego 830"/>
        <s v="profesores de 4to"/>
        <s v="Tiene 6to"/>
        <s v="Acuerdo"/>
        <s v="acuerdo "/>
        <s v="VER CON JB"/>
        <s v="Tiene acuerdo, hay otros q tienen horas que no se si pueden cubrir&#10;&#10;"/>
        <s v="5to año (RETIRO)"/>
        <s v="ENTREGA FE LA PALABRA DE UN HIJO"/>
        <s v="tutoria"/>
        <s v="COGNIA"/>
        <s v="salida/ convivencia"/>
        <s v="Mai/Couma"/>
        <s v="prof de 6to x RETIRO"/>
        <s v="FH"/>
        <s v="IT"/>
        <s v="FH con JM"/>
        <s v="Actividad de arte"/>
        <s v="choque camino colehio"/>
        <s v="Campamento"/>
        <s v="Salida Apoyo escolar"/>
        <s v="NO INFORMA RAZON"/>
        <s v="Jura bancera del hijo"/>
        <s v="NO ESPECIFICA"/>
      </sharedItems>
    </cacheField>
    <cacheField name="Razon" numFmtId="0">
      <sharedItems containsBlank="1">
        <s v="Sin profesor"/>
        <s v="Enfermedad"/>
        <s v="Capacitacion"/>
        <s v="Preocupacional"/>
        <m/>
        <s v="Familiar a cargo"/>
        <s v="Tema Personal"/>
        <s v="VIaje Personal"/>
        <s v="Reciprocidad con el otro Colegio"/>
        <s v="Viaje Escolar"/>
        <s v="Problema Familiar"/>
        <s v="DEBATE"/>
        <s v="Evento Interno"/>
        <s v="Licencia académica (Facultad)"/>
        <s v="Reunión con padres "/>
        <s v="Turno/ Estudios Médicos"/>
        <s v="Trámite"/>
      </sharedItems>
    </cacheField>
    <cacheField name="Ausente" numFmtId="0">
      <sharedItems containsBlank="1">
        <s v="Maria del PIlar Fernandez"/>
        <s v="Maria Soledad Arrambide"/>
        <m/>
        <s v="Silvana Morel"/>
        <s v="Bentes"/>
        <s v="Juan Bautista De Las Carreras"/>
        <s v="Manuela Freire"/>
        <s v="Soledad Vilar"/>
        <s v="Facundo Terrana"/>
        <s v="Cecilia Lund Petersen"/>
        <s v="Luciana Natalia Cabrera"/>
        <s v="Rocio Rey Metzler"/>
        <s v="Marina Aberg Cobo"/>
        <s v="Cecilia Moirano"/>
        <s v="Ezequiel Beccar Varela"/>
        <s v="Valeria Denise Carmona"/>
        <s v="María Candelaria Roca González Del Solar"/>
        <s v="Catalina Novo"/>
        <s v="Sofia Salgado"/>
        <s v="Verónica Desivo"/>
        <s v="María Gabriela Redolfi"/>
        <s v="Mercedes Vitullo"/>
        <s v="Anechina"/>
        <s v="Agustina Bieule"/>
        <s v="María Guadalupe Blasco"/>
        <s v="Gabriel Aluzzo"/>
        <s v="Lucila Lago"/>
        <s v="Astrid Vanina Santa Maria"/>
        <s v="Valeria Cerruti"/>
        <s v="Clara Gobbée"/>
        <s v="URBANCIC, ANA CAMILA"/>
        <s v="Maria Guadalupe Reyes"/>
        <s v="Roberta Ludueña"/>
        <s v="María De Las Mercedes Pesado Riccardi"/>
        <s v="Verónica María Bonadeo"/>
        <s v="Helena Pérez Mendoza"/>
        <s v="Cecilia Garcia Reinoso"/>
        <s v="María Laura Loyola"/>
        <s v="Facundo Laborde"/>
      </sharedItems>
    </cacheField>
    <cacheField name="comentario" numFmtId="1">
      <sharedItems containsBlank="1">
        <s v="NO ESTA REGISTRADO EN REMPLAZOS"/>
        <m/>
        <s v="Perdio el colectivo"/>
        <s v="04 abril 21-27"/>
        <s v="04 abril 28- 4/5 FERIADO 1de mayo "/>
        <s v="https://docs.google.com/spreadsheets/d/18UbEYkqr91lzz72jr6j7k6fIA8yPcMGBBE-dC8Ufbvk/edit?gid=0#gid=0"/>
        <s v="05 Mayo 05/5 - 11/5 "/>
        <s v="05 Mayo 12/5 - 18/5 "/>
        <s v="05 Mayo 19/5 - 23/5 "/>
        <s v="05 Mayo 26/5 - 1/6 "/>
        <s v="06 junio  2/6 - 9/6 "/>
        <s v="06  JUNIO  9/6 - 15/6 "/>
        <s v="https://docs.google.com/spreadsheets/d/1DNSk79ZSCBo_yQHv8TFJPXZC6lrZCyDXcT-k62Z6CY0/edit"/>
        <s v="06  JUNIO  23/6 - 27/6 "/>
        <s v="07  JUN/JULIO  30/6 - 4/7 "/>
        <s v="07  JULIO  7/7 - 10/7"/>
        <s v="07  JULIO  14/7 - 19/7 "/>
        <s v="08  AGOSTO  4/8 - 8/8"/>
        <s v="08  AGOSTO  11/8 - 14/8"/>
        <s v="08  AGOSTO  18/8 - 22/8"/>
        <s v=" 08  AGOSTO  25/8 - 29/8"/>
        <s v="01  SEPTIEMBRE  1/9 - 7/9"/>
        <s v="02SEPTIEMBRE  15/9 - 19/9"/>
      </sharedItems>
    </cacheField>
    <cacheField name="Trajo Certificado?" numFmtId="0">
      <sharedItems containsString="0" containsBlank="1">
        <m/>
      </sharedItems>
    </cacheField>
    <cacheField name="MES (AUTOMATICA)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578" sheet="Inasistencias"/>
  </cacheSource>
  <cacheFields>
    <cacheField name="dia" numFmtId="164">
      <sharedItems containsDate="1" containsString="0" containsBlank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fecha">
      <sharedItems containsDate="1" containsString="0" containsBlank="1" containsMixedTypes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n v="45768.0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hora">
      <sharedItems containsBlank="1" containsMixedTypes="1" containsNumber="1" containsInteger="1">
        <m/>
        <n v="2.0"/>
        <n v="3.0"/>
        <n v="4.0"/>
        <n v="5.0"/>
        <n v="6.0"/>
        <n v="7.0"/>
        <n v="8.0"/>
        <n v="1.0"/>
        <s v="ALMUERZO"/>
      </sharedItems>
    </cacheField>
    <cacheField name="Clase">
      <sharedItems containsBlank="1" containsMixedTypes="1" containsNumber="1" containsInteger="1">
        <s v="5P"/>
        <s v="5O"/>
        <m/>
        <s v="4A"/>
        <s v="4B"/>
        <s v="2B"/>
        <s v="2A"/>
        <s v="6P"/>
        <s v="6O"/>
        <s v="1A"/>
        <s v="6 Basico"/>
        <s v="1B"/>
        <s v="3b"/>
        <s v="6to basico"/>
        <s v="4to Basico"/>
        <s v="4 SCIENCE"/>
        <s v="3A"/>
        <s v="5 O"/>
        <s v="5 P"/>
        <s v="6 O"/>
        <s v="5O FC"/>
        <s v="5P FC"/>
        <s v="60 FC"/>
        <s v="6P FC"/>
        <s v="FC 4O"/>
        <s v="FC 1A"/>
        <s v="FC 3A"/>
        <s v="1A "/>
        <s v="3A "/>
        <s v="4P"/>
        <s v="6 avanzada"/>
        <s v="5 avanzada"/>
        <s v="4 avanzada"/>
        <s v="4O"/>
        <s v="4to"/>
        <s v="acuerdo"/>
        <s v="4B/A"/>
        <s v="5 adv"/>
        <s v="4adv"/>
        <s v="6TO O"/>
        <s v="1A LIDERAZGO"/>
        <s v="3A LIDER"/>
        <s v="2A LIDE"/>
        <n v="60.0"/>
        <n v="50.0"/>
        <s v="6P FILO"/>
        <s v="6O FILO"/>
        <s v="FILO 6O"/>
        <s v="L. al Servicio 1A"/>
        <s v="L. al Servicio 3A"/>
        <s v="L. al Servicio 2A"/>
        <s v="5P y O"/>
        <s v="articulación"/>
        <s v="FC 3B"/>
        <s v="FC 2B"/>
        <s v="LaS 1A"/>
        <s v="Las 3A"/>
        <s v="LaS 2A"/>
      </sharedItems>
    </cacheField>
    <cacheField name="reemplaza" numFmtId="0">
      <sharedItems containsBlank="1">
        <s v="Facundo Laborde"/>
        <m/>
        <s v="Facundo Terrana"/>
        <s v="Mercedes Vitullo"/>
        <s v="Astrid Vanina Santa Maria"/>
        <s v="Carolina Ferrari Aldaz"/>
        <s v="Lucas Gerk"/>
        <s v="Alvarez"/>
        <s v="Aylén Junquet"/>
        <s v="Maria Guadalupe Reyes"/>
        <s v="Bárbara Cornejo"/>
        <s v="Ezequiel Beccar Varela"/>
        <s v="Cecilia Lund Petersen"/>
        <s v="Prefectura"/>
        <s v="Verónica Desivo"/>
        <s v="Maria del PIlar Fernandez"/>
        <s v="Juan Ignacio Cacciamano"/>
        <s v="Bentes"/>
        <s v="Eduardo Gabriel Rougier"/>
        <s v="Lucila Lago"/>
        <s v="Maria Soledad Arrambide"/>
        <s v="Marina Aberg Cobo"/>
        <s v="Luciana Natalia Cabrera"/>
        <s v="María Candelaria Roca González Del Solar"/>
        <s v="María Laura Loyola"/>
        <s v="Juan Bautista De Las Carreras"/>
        <s v="Agustina Bieule"/>
        <s v="María Guadalupe Blasco"/>
        <s v="Roberta Ludueña"/>
        <s v="Champaquí"/>
        <s v="Rocio Rey Metzler"/>
        <s v="María De Las Mercedes Pesado Riccardi"/>
        <s v="anika "/>
        <s v="Mica Carlino"/>
        <s v="Verónica María Bonadeo"/>
        <s v="Cecilia Moirano"/>
        <s v="María Gabriela Redolfi"/>
        <s v="Catalina Novo"/>
        <s v="Federico Ruiz"/>
        <s v="Marcos Berro García"/>
        <s v="Valeria Cerruti"/>
        <s v="Gabriel Aluzzo"/>
        <s v="Federico Martín Ruiz"/>
        <s v="Ana Camila Urbancic"/>
        <s v="Gonzalo Matheu"/>
        <s v="Andrea Paez"/>
        <s v="Anika"/>
        <s v="Maryotti Vazquez"/>
        <s v="Clara Gobbée"/>
        <s v="Anechina"/>
        <s v="Consuelo Rodriguez Piola"/>
      </sharedItems>
    </cacheField>
    <cacheField name="Se pago Adicional? (sin permanencia)" numFmtId="1">
      <sharedItems containsBlank="1">
        <s v="#"/>
        <m/>
      </sharedItems>
    </cacheField>
    <cacheField name="otro comentario" numFmtId="0">
      <sharedItems containsBlank="1">
        <m/>
        <s v="torneo"/>
        <s v="llego 830"/>
        <s v="profesores de 4to"/>
        <s v="Tiene 6to"/>
        <s v="Acuerdo"/>
        <s v="acuerdo "/>
        <s v="VER CON JB"/>
        <s v="Tiene acuerdo, hay otros q tienen horas que no se si pueden cubrir&#10;&#10;"/>
        <s v="5to año (RETIRO)"/>
        <s v="ENTREGA FE LA PALABRA DE UN HIJO"/>
        <s v="tutoria"/>
        <s v="COGNIA"/>
        <s v="salida/ convivencia"/>
        <s v="Mai/Couma"/>
        <s v="prof de 6to x RETIRO"/>
        <s v="FH"/>
        <s v="IT"/>
        <s v="FH con JM"/>
        <s v="Actividad de arte"/>
        <s v="choque camino colehio"/>
        <s v="Campamento"/>
        <s v="Salida Apoyo escolar"/>
        <s v="NO INFORMA RAZON"/>
        <s v="Jura bancera del hijo"/>
        <s v="NO ESPECIFICA"/>
      </sharedItems>
    </cacheField>
    <cacheField name="Razon" numFmtId="0">
      <sharedItems containsBlank="1">
        <s v="Sin profesor"/>
        <s v="Enfermedad"/>
        <s v="Capacitacion"/>
        <s v="Preocupacional"/>
        <m/>
        <s v="Familiar a cargo"/>
        <s v="Tema Personal"/>
        <s v="VIaje Personal"/>
        <s v="Reciprocidad con el otro Colegio"/>
        <s v="Viaje Escolar"/>
        <s v="Problema Familiar"/>
        <s v="DEBATE"/>
        <s v="Evento Interno"/>
        <s v="Licencia académica (Facultad)"/>
        <s v="Reunión con padres "/>
        <s v="Turno/ Estudios Médicos"/>
        <s v="Trámite"/>
      </sharedItems>
    </cacheField>
    <cacheField name="Ausente" numFmtId="0">
      <sharedItems containsBlank="1">
        <s v="Maria del PIlar Fernandez"/>
        <s v="Maria Soledad Arrambide"/>
        <m/>
        <s v="Silvana Morel"/>
        <s v="Bentes"/>
        <s v="Juan Bautista De Las Carreras"/>
        <s v="Manuela Freire"/>
        <s v="Soledad Vilar"/>
        <s v="Facundo Terrana"/>
        <s v="Cecilia Lund Petersen"/>
        <s v="Luciana Natalia Cabrera"/>
        <s v="Rocio Rey Metzler"/>
        <s v="Marina Aberg Cobo"/>
        <s v="Cecilia Moirano"/>
        <s v="Ezequiel Beccar Varela"/>
        <s v="Valeria Denise Carmona"/>
        <s v="María Candelaria Roca González Del Solar"/>
        <s v="Catalina Novo"/>
        <s v="Sofia Salgado"/>
        <s v="Verónica Desivo"/>
        <s v="María Gabriela Redolfi"/>
        <s v="Mercedes Vitullo"/>
        <s v="Anechina"/>
        <s v="Agustina Bieule"/>
        <s v="María Guadalupe Blasco"/>
        <s v="Gabriel Aluzzo"/>
        <s v="Lucila Lago"/>
        <s v="Astrid Vanina Santa Maria"/>
        <s v="Valeria Cerruti"/>
        <s v="Clara Gobbée"/>
        <s v="URBANCIC, ANA CAMILA"/>
        <s v="Maria Guadalupe Reyes"/>
        <s v="Roberta Ludueña"/>
        <s v="María De Las Mercedes Pesado Riccardi"/>
        <s v="Verónica María Bonadeo"/>
        <s v="Helena Pérez Mendoza"/>
        <s v="Cecilia Garcia Reinoso"/>
        <s v="María Laura Loyola"/>
        <s v="Facundo Laborde"/>
      </sharedItems>
    </cacheField>
    <cacheField name="comentario" numFmtId="1">
      <sharedItems containsBlank="1">
        <s v="NO ESTA REGISTRADO EN REMPLAZOS"/>
        <m/>
        <s v="Perdio el colectivo"/>
        <s v="04 abril 21-27"/>
        <s v="04 abril 28- 4/5 FERIADO 1de mayo "/>
        <s v="https://docs.google.com/spreadsheets/d/18UbEYkqr91lzz72jr6j7k6fIA8yPcMGBBE-dC8Ufbvk/edit?gid=0#gid=0"/>
        <s v="05 Mayo 05/5 - 11/5 "/>
        <s v="05 Mayo 12/5 - 18/5 "/>
        <s v="05 Mayo 19/5 - 23/5 "/>
        <s v="05 Mayo 26/5 - 1/6 "/>
        <s v="06 junio  2/6 - 9/6 "/>
        <s v="06  JUNIO  9/6 - 15/6 "/>
        <s v="https://docs.google.com/spreadsheets/d/1DNSk79ZSCBo_yQHv8TFJPXZC6lrZCyDXcT-k62Z6CY0/edit"/>
        <s v="06  JUNIO  23/6 - 27/6 "/>
        <s v="07  JUN/JULIO  30/6 - 4/7 "/>
        <s v="07  JULIO  7/7 - 10/7"/>
        <s v="07  JULIO  14/7 - 19/7 "/>
        <s v="08  AGOSTO  4/8 - 8/8"/>
        <s v="08  AGOSTO  11/8 - 14/8"/>
        <s v="08  AGOSTO  18/8 - 22/8"/>
        <s v=" 08  AGOSTO  25/8 - 29/8"/>
        <s v="01  SEPTIEMBRE  1/9 - 7/9"/>
        <s v="02SEPTIEMBRE  15/9 - 19/9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M1578" sheet="Inasistencias"/>
  </cacheSource>
  <cacheFields>
    <cacheField name="dia" numFmtId="164">
      <sharedItems containsDate="1" containsString="0" containsBlank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fecha">
      <sharedItems containsDate="1" containsString="0" containsBlank="1" containsMixedTypes="1">
        <d v="2025-03-14T00:00:00Z"/>
        <d v="2025-03-17T00:00:00Z"/>
        <d v="2025-03-18T00:00:00Z"/>
        <d v="2025-03-20T00:00:00Z"/>
        <d v="2025-03-21T00:00:00Z"/>
        <d v="2025-04-10T00:00:00Z"/>
        <d v="2025-04-21T00:00:00Z"/>
        <n v="45768.0"/>
        <d v="2025-04-22T00:00:00Z"/>
        <m/>
        <d v="2025-04-24T00:00:00Z"/>
        <d v="2025-04-25T00:00:00Z"/>
        <d v="2025-04-28T00:00:00Z"/>
        <d v="2025-04-29T00:00:00Z"/>
        <d v="2025-05-05T00:00:00Z"/>
        <d v="2025-05-06T00:00:00Z"/>
        <d v="2025-05-07T00:00:00Z"/>
        <d v="2025-05-08T00:00:00Z"/>
        <d v="2025-05-12T00:00:00Z"/>
        <d v="2025-05-13T00:00:00Z"/>
        <d v="2025-05-14T00:00:00Z"/>
        <d v="2025-05-15T00:00:00Z"/>
        <d v="2025-05-19T00:00:00Z"/>
        <d v="2025-05-20T00:00:00Z"/>
        <d v="2025-05-22T00:00:00Z"/>
        <d v="2025-05-23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9T00:00:00Z"/>
        <d v="2025-06-10T00:00:00Z"/>
        <d v="2025-06-11T00:00:00Z"/>
        <d v="2025-06-12T00:00:00Z"/>
        <d v="2025-06-17T00:00:00Z"/>
        <d v="2025-06-19T00:00:00Z"/>
        <d v="2025-06-24T00:00:00Z"/>
        <d v="2025-06-25T00:00:00Z"/>
        <d v="2025-06-26T00:00:00Z"/>
        <d v="2025-06-27T00:00:00Z"/>
        <d v="2025-06-30T00:00:00Z"/>
        <d v="2025-07-02T00:00:00Z"/>
        <d v="2025-07-07T00:00:00Z"/>
        <d v="2025-07-08T00:00:00Z"/>
        <d v="2025-07-10T00:00:00Z"/>
        <d v="2025-07-11T00:00:00Z"/>
        <d v="2025-07-14T00:00:00Z"/>
        <d v="2025-07-15T00:00:00Z"/>
        <d v="2025-07-16T00:00:00Z"/>
        <d v="2025-07-17T00:00:00Z"/>
        <d v="2025-07-18T00:00:00Z"/>
        <d v="2025-08-04T00:00:00Z"/>
        <d v="2025-08-05T00:00:00Z"/>
        <d v="2025-08-11T00:00:00Z"/>
        <d v="2025-08-12T00:00:00Z"/>
        <d v="2025-08-13T00:00:00Z"/>
        <d v="2025-08-14T00:00:00Z"/>
        <d v="2025-08-18T00:00:00Z"/>
        <d v="2025-08-20T00:00:00Z"/>
        <d v="2025-08-21T00:00:00Z"/>
        <d v="2025-08-25T00:00:00Z"/>
        <d v="2025-08-26T00:00:00Z"/>
        <d v="2025-08-28T00:00:00Z"/>
        <d v="2025-09-02T00:00:00Z"/>
        <d v="2025-09-03T00:00:00Z"/>
        <d v="2025-09-04T00:00:00Z"/>
        <d v="2025-09-05T00:00:00Z"/>
        <d v="2025-09-15T00:00:00Z"/>
        <d v="2025-09-16T00:00:00Z"/>
        <d v="2025-09-17T00:00:00Z"/>
        <d v="2025-09-18T00:00:00Z"/>
        <d v="2025-09-19T00:00:00Z"/>
      </sharedItems>
    </cacheField>
    <cacheField name="hora">
      <sharedItems containsBlank="1" containsMixedTypes="1" containsNumber="1" containsInteger="1">
        <m/>
        <n v="2.0"/>
        <n v="3.0"/>
        <n v="4.0"/>
        <n v="5.0"/>
        <n v="6.0"/>
        <n v="7.0"/>
        <n v="8.0"/>
        <n v="1.0"/>
        <s v="ALMUERZO"/>
      </sharedItems>
    </cacheField>
    <cacheField name="Clase">
      <sharedItems containsBlank="1" containsMixedTypes="1" containsNumber="1" containsInteger="1">
        <s v="5P"/>
        <s v="5O"/>
        <m/>
        <s v="4A"/>
        <s v="4B"/>
        <s v="2B"/>
        <s v="2A"/>
        <s v="6P"/>
        <s v="6O"/>
        <s v="1A"/>
        <s v="6 Basico"/>
        <s v="1B"/>
        <s v="3b"/>
        <s v="6to basico"/>
        <s v="4to Basico"/>
        <s v="4 SCIENCE"/>
        <s v="3A"/>
        <s v="5 O"/>
        <s v="5 P"/>
        <s v="6 O"/>
        <s v="5O FC"/>
        <s v="5P FC"/>
        <s v="60 FC"/>
        <s v="6P FC"/>
        <s v="FC 4O"/>
        <s v="FC 1A"/>
        <s v="FC 3A"/>
        <s v="1A "/>
        <s v="3A "/>
        <s v="4P"/>
        <s v="6 avanzada"/>
        <s v="5 avanzada"/>
        <s v="4 avanzada"/>
        <s v="4O"/>
        <s v="4to"/>
        <s v="acuerdo"/>
        <s v="4B/A"/>
        <s v="5 adv"/>
        <s v="4adv"/>
        <s v="6TO O"/>
        <s v="1A LIDERAZGO"/>
        <s v="3A LIDER"/>
        <s v="2A LIDE"/>
        <n v="60.0"/>
        <n v="50.0"/>
        <s v="6P FILO"/>
        <s v="6O FILO"/>
        <s v="FILO 6O"/>
        <s v="L. al Servicio 1A"/>
        <s v="L. al Servicio 3A"/>
        <s v="L. al Servicio 2A"/>
        <s v="5P y O"/>
        <s v="articulación"/>
        <s v="FC 3B"/>
        <s v="FC 2B"/>
        <s v="LaS 1A"/>
        <s v="Las 3A"/>
        <s v="LaS 2A"/>
      </sharedItems>
    </cacheField>
    <cacheField name="reemplaza" numFmtId="0">
      <sharedItems containsBlank="1">
        <s v="Facundo Laborde"/>
        <m/>
        <s v="Facundo Terrana"/>
        <s v="Mercedes Vitullo"/>
        <s v="Astrid Vanina Santa Maria"/>
        <s v="Carolina Ferrari Aldaz"/>
        <s v="Lucas Gerk"/>
        <s v="Alvarez"/>
        <s v="Aylén Junquet"/>
        <s v="Maria Guadalupe Reyes"/>
        <s v="Bárbara Cornejo"/>
        <s v="Ezequiel Beccar Varela"/>
        <s v="Cecilia Lund Petersen"/>
        <s v="Prefectura"/>
        <s v="Verónica Desivo"/>
        <s v="Maria del PIlar Fernandez"/>
        <s v="Juan Ignacio Cacciamano"/>
        <s v="Bentes"/>
        <s v="Eduardo Gabriel Rougier"/>
        <s v="Lucila Lago"/>
        <s v="Maria Soledad Arrambide"/>
        <s v="Marina Aberg Cobo"/>
        <s v="Luciana Natalia Cabrera"/>
        <s v="María Candelaria Roca González Del Solar"/>
        <s v="María Laura Loyola"/>
        <s v="Juan Bautista De Las Carreras"/>
        <s v="Agustina Bieule"/>
        <s v="María Guadalupe Blasco"/>
        <s v="Roberta Ludueña"/>
        <s v="Champaquí"/>
        <s v="Rocio Rey Metzler"/>
        <s v="María De Las Mercedes Pesado Riccardi"/>
        <s v="anika "/>
        <s v="Mica Carlino"/>
        <s v="Verónica María Bonadeo"/>
        <s v="Cecilia Moirano"/>
        <s v="María Gabriela Redolfi"/>
        <s v="Catalina Novo"/>
        <s v="Federico Ruiz"/>
        <s v="Marcos Berro García"/>
        <s v="Valeria Cerruti"/>
        <s v="Gabriel Aluzzo"/>
        <s v="Federico Martín Ruiz"/>
        <s v="Ana Camila Urbancic"/>
        <s v="Gonzalo Matheu"/>
        <s v="Andrea Paez"/>
        <s v="Anika"/>
        <s v="Maryotti Vazquez"/>
        <s v="Clara Gobbée"/>
        <s v="Anechina"/>
        <s v="Consuelo Rodriguez Piola"/>
      </sharedItems>
    </cacheField>
    <cacheField name="Se pago Adicional? (sin permanencia)" numFmtId="1">
      <sharedItems containsBlank="1">
        <s v="#"/>
        <m/>
      </sharedItems>
    </cacheField>
    <cacheField name="otro comentario" numFmtId="0">
      <sharedItems containsBlank="1">
        <m/>
        <s v="torneo"/>
        <s v="llego 830"/>
        <s v="profesores de 4to"/>
        <s v="Tiene 6to"/>
        <s v="Acuerdo"/>
        <s v="acuerdo "/>
        <s v="VER CON JB"/>
        <s v="Tiene acuerdo, hay otros q tienen horas que no se si pueden cubrir&#10;&#10;"/>
        <s v="5to año (RETIRO)"/>
        <s v="ENTREGA FE LA PALABRA DE UN HIJO"/>
        <s v="tutoria"/>
        <s v="COGNIA"/>
        <s v="salida/ convivencia"/>
        <s v="Mai/Couma"/>
        <s v="prof de 6to x RETIRO"/>
        <s v="FH"/>
        <s v="IT"/>
        <s v="FH con JM"/>
        <s v="Actividad de arte"/>
        <s v="choque camino colehio"/>
        <s v="Campamento"/>
        <s v="Salida Apoyo escolar"/>
        <s v="NO INFORMA RAZON"/>
        <s v="Jura bancera del hijo"/>
        <s v="NO ESPECIFICA"/>
      </sharedItems>
    </cacheField>
    <cacheField name="Razon" numFmtId="0">
      <sharedItems containsBlank="1">
        <s v="Sin profesor"/>
        <s v="Enfermedad"/>
        <s v="Capacitacion"/>
        <s v="Preocupacional"/>
        <m/>
        <s v="Familiar a cargo"/>
        <s v="Tema Personal"/>
        <s v="VIaje Personal"/>
        <s v="Reciprocidad con el otro Colegio"/>
        <s v="Viaje Escolar"/>
        <s v="Problema Familiar"/>
        <s v="DEBATE"/>
        <s v="Evento Interno"/>
        <s v="Licencia académica (Facultad)"/>
        <s v="Reunión con padres "/>
        <s v="Turno/ Estudios Médicos"/>
        <s v="Trámite"/>
      </sharedItems>
    </cacheField>
    <cacheField name="Ausente" numFmtId="0">
      <sharedItems containsBlank="1">
        <s v="Maria del PIlar Fernandez"/>
        <s v="Maria Soledad Arrambide"/>
        <m/>
        <s v="Silvana Morel"/>
        <s v="Bentes"/>
        <s v="Juan Bautista De Las Carreras"/>
        <s v="Manuela Freire"/>
        <s v="Soledad Vilar"/>
        <s v="Facundo Terrana"/>
        <s v="Cecilia Lund Petersen"/>
        <s v="Luciana Natalia Cabrera"/>
        <s v="Rocio Rey Metzler"/>
        <s v="Marina Aberg Cobo"/>
        <s v="Cecilia Moirano"/>
        <s v="Ezequiel Beccar Varela"/>
        <s v="Valeria Denise Carmona"/>
        <s v="María Candelaria Roca González Del Solar"/>
        <s v="Catalina Novo"/>
        <s v="Sofia Salgado"/>
        <s v="Verónica Desivo"/>
        <s v="María Gabriela Redolfi"/>
        <s v="Mercedes Vitullo"/>
        <s v="Anechina"/>
        <s v="Agustina Bieule"/>
        <s v="María Guadalupe Blasco"/>
        <s v="Gabriel Aluzzo"/>
        <s v="Lucila Lago"/>
        <s v="Astrid Vanina Santa Maria"/>
        <s v="Valeria Cerruti"/>
        <s v="Clara Gobbée"/>
        <s v="URBANCIC, ANA CAMILA"/>
        <s v="Maria Guadalupe Reyes"/>
        <s v="Roberta Ludueña"/>
        <s v="María De Las Mercedes Pesado Riccardi"/>
        <s v="Verónica María Bonadeo"/>
        <s v="Helena Pérez Mendoza"/>
        <s v="Cecilia Garcia Reinoso"/>
        <s v="María Laura Loyola"/>
        <s v="Facundo Laborde"/>
      </sharedItems>
    </cacheField>
    <cacheField name="comentario" numFmtId="1">
      <sharedItems containsBlank="1">
        <s v="NO ESTA REGISTRADO EN REMPLAZOS"/>
        <m/>
        <s v="Perdio el colectivo"/>
        <s v="04 abril 21-27"/>
        <s v="04 abril 28- 4/5 FERIADO 1de mayo "/>
        <s v="https://docs.google.com/spreadsheets/d/18UbEYkqr91lzz72jr6j7k6fIA8yPcMGBBE-dC8Ufbvk/edit?gid=0#gid=0"/>
        <s v="05 Mayo 05/5 - 11/5 "/>
        <s v="05 Mayo 12/5 - 18/5 "/>
        <s v="05 Mayo 19/5 - 23/5 "/>
        <s v="05 Mayo 26/5 - 1/6 "/>
        <s v="06 junio  2/6 - 9/6 "/>
        <s v="06  JUNIO  9/6 - 15/6 "/>
        <s v="https://docs.google.com/spreadsheets/d/1DNSk79ZSCBo_yQHv8TFJPXZC6lrZCyDXcT-k62Z6CY0/edit"/>
        <s v="06  JUNIO  23/6 - 27/6 "/>
        <s v="07  JUN/JULIO  30/6 - 4/7 "/>
        <s v="07  JULIO  7/7 - 10/7"/>
        <s v="07  JULIO  14/7 - 19/7 "/>
        <s v="08  AGOSTO  4/8 - 8/8"/>
        <s v="08  AGOSTO  11/8 - 14/8"/>
        <s v="08  AGOSTO  18/8 - 22/8"/>
        <s v=" 08  AGOSTO  25/8 - 29/8"/>
        <s v="01  SEPTIEMBRE  1/9 - 7/9"/>
        <s v="02SEPTIEMBRE  15/9 - 19/9"/>
      </sharedItems>
    </cacheField>
    <cacheField name="Trajo Certificado?" numFmtId="0">
      <sharedItems containsString="0" containsBlank="1">
        <m/>
      </sharedItems>
    </cacheField>
    <cacheField name="MES (AUTOMATICA)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azon" cacheId="0" dataCaption="" compact="0" compactData="0">
  <location ref="A2:C44" firstHeaderRow="0" firstDataRow="2" firstDataCol="0"/>
  <pivotFields>
    <pivotField name="d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empl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e pago Adicional? (sin permanencia)" compact="0" numFmtId="1" outline="0" multipleItemSelectionAllowed="1" showAll="0">
      <items>
        <item x="0"/>
        <item x="1"/>
        <item t="default"/>
      </items>
    </pivotField>
    <pivotField name="otro comentario" axis="axisRow" dataField="1" compact="0" outline="0" multipleItemSelectionAllowed="1" showAll="0" sortType="ascending">
      <items>
        <item x="0"/>
        <item x="9"/>
        <item x="5"/>
        <item x="6"/>
        <item x="12"/>
        <item x="10"/>
        <item x="2"/>
        <item x="3"/>
        <item x="4"/>
        <item x="8"/>
        <item x="1"/>
        <item x="11"/>
        <item x="7"/>
        <item t="default"/>
      </items>
    </pivotField>
    <pivotField name="Razon" axis="axisRow" compact="0" outline="0" multipleItemSelectionAllowed="1" showAll="0" sortType="ascending">
      <items>
        <item x="4"/>
        <item x="2"/>
        <item x="11"/>
        <item x="1"/>
        <item x="12"/>
        <item x="5"/>
        <item x="3"/>
        <item x="10"/>
        <item x="8"/>
        <item x="0"/>
        <item x="6"/>
        <item x="9"/>
        <item x="7"/>
        <item t="default"/>
      </items>
    </pivotField>
    <pivotField name="Aus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omentar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rajo Certificado?" compact="0" outline="0" multipleItemSelectionAllowed="1" showAll="0">
      <items>
        <item x="0"/>
        <item t="default"/>
      </items>
    </pivotField>
    <pivotField name="MES (AUTOMATICA)" compact="0" outline="0" multipleItemSelectionAllowed="1" showAll="0">
      <items>
        <item x="0"/>
        <item t="default"/>
      </items>
    </pivotField>
  </pivotFields>
  <rowFields>
    <field x="6"/>
    <field x="7"/>
  </rowFields>
  <dataFields>
    <dataField name="COUNTA of ausente" fld="6" subtotal="count" baseField="0"/>
  </dataFields>
</pivotTableDefinition>
</file>

<file path=xl/pivotTables/pivotTable2.xml><?xml version="1.0" encoding="utf-8"?>
<pivotTableDefinition xmlns="http://schemas.openxmlformats.org/spreadsheetml/2006/main" name="Tabla dinámica 7" cacheId="1" dataCaption="" compact="0" compactData="0">
  <location ref="A1:E245" firstHeaderRow="0" firstDataRow="4" firstDataCol="0"/>
  <pivotFields>
    <pivotField name=" " compact="0" outline="0" multipleItemSelectionAllowed="1" showAll="0">
      <items>
        <item x="0"/>
        <item t="default"/>
      </items>
    </pivotField>
    <pivotField name="dia" axis="axisRow" compact="0" numFmtId="164" outline="0" multipleItemSelectionAllowed="1" showAll="0" sortType="ascending">
      <items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fech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reempla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 pago Adicional? (sin permanencia)" compact="0" numFmtId="1" outline="0" multipleItemSelectionAllowed="1" showAll="0">
      <items>
        <item x="0"/>
        <item x="1"/>
        <item t="default"/>
      </items>
    </pivotField>
    <pivotField name="otro comentario" axis="axisRow" compact="0" outline="0" multipleItemSelectionAllowed="1" showAll="0" sortType="ascending" defaultSubtotal="0">
      <items>
        <item x="0"/>
        <item x="9"/>
        <item x="19"/>
        <item x="5"/>
        <item x="6"/>
        <item x="21"/>
        <item x="20"/>
        <item x="12"/>
        <item x="10"/>
        <item x="16"/>
        <item x="18"/>
        <item x="17"/>
        <item x="24"/>
        <item x="2"/>
        <item x="14"/>
        <item x="25"/>
        <item x="23"/>
        <item x="15"/>
        <item x="3"/>
        <item x="22"/>
        <item x="13"/>
        <item x="4"/>
        <item x="8"/>
        <item x="1"/>
        <item x="11"/>
        <item x="7"/>
      </items>
    </pivotField>
    <pivotField name="Razon" axis="axisRow" compact="0" outline="0" multipleItemSelectionAllowed="1" showAll="0" sortType="ascending">
      <items>
        <item x="4"/>
        <item x="2"/>
        <item x="11"/>
        <item x="1"/>
        <item x="12"/>
        <item x="5"/>
        <item x="13"/>
        <item x="3"/>
        <item x="10"/>
        <item x="8"/>
        <item x="14"/>
        <item x="0"/>
        <item x="6"/>
        <item x="16"/>
        <item x="15"/>
        <item x="9"/>
        <item x="7"/>
        <item t="default"/>
      </items>
    </pivotField>
    <pivotField name="Ausente" axis="axisRow" compact="0" outline="0" multipleItemSelectionAllowed="1" showAll="0" sortType="ascending" defaultSubtotal="0">
      <items>
        <item h="1" x="2"/>
        <item x="23"/>
        <item x="22"/>
        <item x="27"/>
        <item x="4"/>
        <item x="17"/>
        <item h="1" x="36"/>
        <item x="9"/>
        <item x="13"/>
        <item h="1" x="29"/>
        <item x="14"/>
        <item h="1" x="38"/>
        <item x="8"/>
        <item x="25"/>
        <item h="1" x="35"/>
        <item x="5"/>
        <item x="10"/>
        <item x="26"/>
        <item x="6"/>
        <item x="16"/>
        <item h="1" x="33"/>
        <item x="0"/>
        <item x="20"/>
        <item x="24"/>
        <item h="1" x="31"/>
        <item h="1" x="37"/>
        <item x="1"/>
        <item x="12"/>
        <item x="21"/>
        <item h="1" x="32"/>
        <item x="11"/>
        <item x="3"/>
        <item x="18"/>
        <item x="7"/>
        <item h="1" x="30"/>
        <item x="28"/>
        <item x="15"/>
        <item x="19"/>
        <item h="1" x="34"/>
      </items>
    </pivotField>
    <pivotField name="comentar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ajo Certificado?" compact="0" outline="0" multipleItemSelectionAllowed="1" showAll="0">
      <items>
        <item x="0"/>
        <item t="default"/>
      </items>
    </pivotField>
    <pivotField name="MES (AUTOMATICA)" compact="0" outline="0" multipleItemSelectionAllowed="1" showAll="0">
      <items>
        <item x="0"/>
        <item t="default"/>
      </items>
    </pivotField>
  </pivotFields>
  <rowFields>
    <field x="9"/>
    <field x="8"/>
    <field x="7"/>
    <field x="1"/>
  </rowFields>
  <dataFields>
    <dataField name="COUNTA of fecha" fld="2" subtotal="count" baseField="0"/>
  </dataFields>
</pivotTableDefinition>
</file>

<file path=xl/pivotTables/pivotTable3.xml><?xml version="1.0" encoding="utf-8"?>
<pivotTableDefinition xmlns="http://schemas.openxmlformats.org/spreadsheetml/2006/main" name="Tabla dinámica 3" cacheId="2" dataCaption="" compact="0" compactData="0">
  <location ref="A1:B12" firstHeaderRow="0" firstDataRow="1" firstDataCol="0"/>
  <pivotFields>
    <pivotField name="d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hora" axis="axisRow" compact="0" outline="0" multipleItemSelectionAllowed="1" showAll="0" sortType="ascending">
      <items>
        <item x="0"/>
        <item x="8"/>
        <item x="1"/>
        <item x="2"/>
        <item x="3"/>
        <item x="4"/>
        <item x="5"/>
        <item x="6"/>
        <item x="7"/>
        <item x="9"/>
        <item t="default"/>
      </items>
    </pivotField>
    <pivotField name="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reemplaz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 pago Adicional? (sin permanencia)" compact="0" numFmtId="1" outline="0" multipleItemSelectionAllowed="1" showAll="0">
      <items>
        <item x="0"/>
        <item x="1"/>
        <item t="default"/>
      </items>
    </pivotField>
    <pivotField name="otro comen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az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us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comentar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2"/>
  </rowFields>
  <dataFields>
    <dataField name="COUNTA of reemplaza" fld="4" subtotal="count" showDataAs="percentOfCol" baseField="0" numFmtId="10"/>
  </dataFields>
</pivotTableDefinition>
</file>

<file path=xl/pivotTables/pivotTable4.xml><?xml version="1.0" encoding="utf-8"?>
<pivotTableDefinition xmlns="http://schemas.openxmlformats.org/spreadsheetml/2006/main" name="AUSENCIA" cacheId="3" dataCaption="" rowGrandTotals="0" compact="0" compactData="0">
  <location ref="A3:B36" firstHeaderRow="0" firstDataRow="1" firstDataCol="0" rowPageCount="1" colPageCount="1"/>
  <pivotFields>
    <pivotField name="d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reemplaz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e pago Adicional? (sin permanencia)" compact="0" numFmtId="1" outline="0" multipleItemSelectionAllowed="1" showAll="0">
      <items>
        <item x="0"/>
        <item x="1"/>
        <item t="default"/>
      </items>
    </pivotField>
    <pivotField name="otro comen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azon" axis="axisPage" compact="0" outline="0" multipleItemSelectionAllowed="1" showAll="0">
      <items>
        <item h="1" x="0"/>
        <item x="1"/>
        <item x="2"/>
        <item x="3"/>
        <item h="1" x="4"/>
        <item x="5"/>
        <item x="6"/>
        <item x="7"/>
        <item x="8"/>
        <item h="1" x="9"/>
        <item x="10"/>
        <item h="1" x="11"/>
        <item h="1" x="12"/>
        <item x="13"/>
        <item h="1" x="14"/>
        <item x="15"/>
        <item x="16"/>
        <item t="default"/>
      </items>
    </pivotField>
    <pivotField name="Profesor ausente" axis="axisRow" compact="0" outline="0" multipleItemSelectionAllowed="1" showAll="0" sortType="ascending">
      <items>
        <item x="2"/>
        <item x="23"/>
        <item x="22"/>
        <item x="27"/>
        <item x="4"/>
        <item x="17"/>
        <item x="36"/>
        <item x="9"/>
        <item x="13"/>
        <item x="29"/>
        <item x="14"/>
        <item x="38"/>
        <item x="8"/>
        <item x="25"/>
        <item x="35"/>
        <item x="5"/>
        <item x="10"/>
        <item x="26"/>
        <item x="6"/>
        <item x="16"/>
        <item x="33"/>
        <item x="0"/>
        <item x="20"/>
        <item x="24"/>
        <item x="31"/>
        <item x="37"/>
        <item x="1"/>
        <item x="12"/>
        <item x="21"/>
        <item x="32"/>
        <item x="11"/>
        <item x="3"/>
        <item x="18"/>
        <item x="7"/>
        <item x="30"/>
        <item x="28"/>
        <item x="15"/>
        <item x="19"/>
        <item x="34"/>
        <item t="default"/>
      </items>
    </pivotField>
    <pivotField name="comentar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rajo Certificado?" compact="0" outline="0" multipleItemSelectionAllowed="1" showAll="0">
      <items>
        <item x="0"/>
        <item t="default"/>
      </items>
    </pivotField>
    <pivotField name="MES (AUTOMATICA)" compact="0" outline="0" multipleItemSelectionAllowed="1" showAll="0">
      <items>
        <item x="0"/>
        <item t="default"/>
      </items>
    </pivotField>
  </pivotFields>
  <rowFields>
    <field x="8"/>
  </rowFields>
  <pageFields>
    <pageField fld="7"/>
  </pageFields>
  <dataFields>
    <dataField name="Horas AUSENTES  (sin eventos convocados del colegio)" fld="4" subtotal="count" baseField="0"/>
  </dataFields>
</pivotTableDefinition>
</file>

<file path=xl/pivotTables/pivotTable5.xml><?xml version="1.0" encoding="utf-8"?>
<pivotTableDefinition xmlns="http://schemas.openxmlformats.org/spreadsheetml/2006/main" name="Reemplazos x profes" cacheId="0" dataCaption="" compact="0" compactData="0">
  <location ref="A2:C164" firstHeaderRow="0" firstDataRow="2" firstDataCol="0"/>
  <pivotFields>
    <pivotField name="d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fecha" axis="axisRow" compact="0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las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reemplaza" axis="axisRow" compact="0" outline="0" multipleItemSelectionAllowed="1" showAll="0" sortType="ascending">
      <items>
        <item x="1"/>
        <item x="26"/>
        <item x="7"/>
        <item x="43"/>
        <item x="32"/>
        <item x="4"/>
        <item x="8"/>
        <item x="10"/>
        <item x="17"/>
        <item x="5"/>
        <item x="37"/>
        <item x="12"/>
        <item x="35"/>
        <item x="29"/>
        <item x="18"/>
        <item x="11"/>
        <item x="0"/>
        <item x="2"/>
        <item x="42"/>
        <item x="38"/>
        <item x="41"/>
        <item x="44"/>
        <item x="25"/>
        <item x="16"/>
        <item x="6"/>
        <item x="22"/>
        <item x="19"/>
        <item x="39"/>
        <item x="23"/>
        <item x="31"/>
        <item x="15"/>
        <item x="36"/>
        <item x="27"/>
        <item x="9"/>
        <item x="24"/>
        <item x="20"/>
        <item x="21"/>
        <item x="3"/>
        <item x="33"/>
        <item x="13"/>
        <item x="28"/>
        <item x="30"/>
        <item x="40"/>
        <item x="14"/>
        <item x="34"/>
        <item t="default"/>
      </items>
    </pivotField>
    <pivotField name="Se pago Adicional? (sin permanencia)" compact="0" numFmtId="1" outline="0" multipleItemSelectionAllowed="1" showAll="0">
      <items>
        <item x="0"/>
        <item x="1"/>
        <item t="default"/>
      </items>
    </pivotField>
    <pivotField name="otro comen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z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us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omentario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rajo Certificado?" compact="0" outline="0" multipleItemSelectionAllowed="1" showAll="0">
      <items>
        <item x="0"/>
        <item t="default"/>
      </items>
    </pivotField>
    <pivotField name="MES (AUTOMATICA)" compact="0" outline="0" multipleItemSelectionAllowed="1" showAll="0">
      <items>
        <item x="0"/>
        <item t="default"/>
      </items>
    </pivotField>
  </pivotFields>
  <rowFields>
    <field x="4"/>
    <field x="1"/>
  </rowFields>
  <dataFields>
    <dataField name="COUNTA of Razon" fld="7" subtotal="count" baseField="0"/>
  </dataFields>
</pivotTableDefinition>
</file>

<file path=xl/tables/table1.xml><?xml version="1.0" encoding="utf-8"?>
<table xmlns="http://schemas.openxmlformats.org/spreadsheetml/2006/main" headerRowCount="0" ref="H5:H54" displayName="Table_1" name="Table_1" id="1">
  <tableColumns count="1">
    <tableColumn name="Column1" id="1"/>
  </tableColumns>
  <tableStyleInfo name="horas x profesor-style" showColumnStripes="0" showFirstColumn="1" showLastColumn="1" showRowStripes="1"/>
</table>
</file>

<file path=xl/tables/table2.xml><?xml version="1.0" encoding="utf-8"?>
<table xmlns="http://schemas.openxmlformats.org/spreadsheetml/2006/main" headerRowCount="0" ref="A10:B990" displayName="Table_2" name="Table_2" id="2">
  <tableColumns count="2">
    <tableColumn name="Column1" id="1"/>
    <tableColumn name="Column2" id="2"/>
  </tableColumns>
  <tableStyleInfo name="Datos PUNTU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jpRghQ7dRUq8-urxKF8BEGtZBh4hPqyd0mMf-jHQOY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1st2xaha4J5HQju-84bXAIbwnEr8HoLmo_Nh7gefwYrE/edit" TargetMode="External"/><Relationship Id="rId194" Type="http://schemas.openxmlformats.org/officeDocument/2006/relationships/hyperlink" Target="https://docs.google.com/spreadsheets/d/1st2xaha4J5HQju-84bXAIbwnEr8HoLmo_Nh7gefwYrE/edit" TargetMode="External"/><Relationship Id="rId193" Type="http://schemas.openxmlformats.org/officeDocument/2006/relationships/hyperlink" Target="https://docs.google.com/spreadsheets/d/1st2xaha4J5HQju-84bXAIbwnEr8HoLmo_Nh7gefwYrE/edit" TargetMode="External"/><Relationship Id="rId192" Type="http://schemas.openxmlformats.org/officeDocument/2006/relationships/hyperlink" Target="https://docs.google.com/spreadsheets/d/1st2xaha4J5HQju-84bXAIbwnEr8HoLmo_Nh7gefwYrE/edit" TargetMode="External"/><Relationship Id="rId191" Type="http://schemas.openxmlformats.org/officeDocument/2006/relationships/hyperlink" Target="https://docs.google.com/spreadsheets/d/1st2xaha4J5HQju-84bXAIbwnEr8HoLmo_Nh7gefwYrE/edit" TargetMode="External"/><Relationship Id="rId187" Type="http://schemas.openxmlformats.org/officeDocument/2006/relationships/hyperlink" Target="https://docs.google.com/spreadsheets/d/1st2xaha4J5HQju-84bXAIbwnEr8HoLmo_Nh7gefwYrE/edit" TargetMode="External"/><Relationship Id="rId186" Type="http://schemas.openxmlformats.org/officeDocument/2006/relationships/hyperlink" Target="https://docs.google.com/spreadsheets/d/1st2xaha4J5HQju-84bXAIbwnEr8HoLmo_Nh7gefwYrE/edit" TargetMode="External"/><Relationship Id="rId185" Type="http://schemas.openxmlformats.org/officeDocument/2006/relationships/hyperlink" Target="https://docs.google.com/spreadsheets/d/1st2xaha4J5HQju-84bXAIbwnEr8HoLmo_Nh7gefwYrE/edit" TargetMode="External"/><Relationship Id="rId184" Type="http://schemas.openxmlformats.org/officeDocument/2006/relationships/hyperlink" Target="https://docs.google.com/spreadsheets/d/1st2xaha4J5HQju-84bXAIbwnEr8HoLmo_Nh7gefwYrE/edit" TargetMode="External"/><Relationship Id="rId189" Type="http://schemas.openxmlformats.org/officeDocument/2006/relationships/hyperlink" Target="https://docs.google.com/spreadsheets/d/1st2xaha4J5HQju-84bXAIbwnEr8HoLmo_Nh7gefwYrE/edit" TargetMode="External"/><Relationship Id="rId188" Type="http://schemas.openxmlformats.org/officeDocument/2006/relationships/hyperlink" Target="https://docs.google.com/spreadsheets/d/1st2xaha4J5HQju-84bXAIbwnEr8HoLmo_Nh7gefwYrE/edit" TargetMode="External"/><Relationship Id="rId183" Type="http://schemas.openxmlformats.org/officeDocument/2006/relationships/hyperlink" Target="https://docs.google.com/spreadsheets/d/1st2xaha4J5HQju-84bXAIbwnEr8HoLmo_Nh7gefwYrE/edit" TargetMode="External"/><Relationship Id="rId182" Type="http://schemas.openxmlformats.org/officeDocument/2006/relationships/hyperlink" Target="https://docs.google.com/spreadsheets/d/1st2xaha4J5HQju-84bXAIbwnEr8HoLmo_Nh7gefwYrE/edit" TargetMode="External"/><Relationship Id="rId181" Type="http://schemas.openxmlformats.org/officeDocument/2006/relationships/hyperlink" Target="https://docs.google.com/spreadsheets/d/1st2xaha4J5HQju-84bXAIbwnEr8HoLmo_Nh7gefwYrE/edit" TargetMode="External"/><Relationship Id="rId180" Type="http://schemas.openxmlformats.org/officeDocument/2006/relationships/hyperlink" Target="https://docs.google.com/spreadsheets/d/1st2xaha4J5HQju-84bXAIbwnEr8HoLmo_Nh7gefwYrE/edit" TargetMode="External"/><Relationship Id="rId176" Type="http://schemas.openxmlformats.org/officeDocument/2006/relationships/hyperlink" Target="https://docs.google.com/spreadsheets/d/1st2xaha4J5HQju-84bXAIbwnEr8HoLmo_Nh7gefwYrE/edit" TargetMode="External"/><Relationship Id="rId297" Type="http://schemas.openxmlformats.org/officeDocument/2006/relationships/hyperlink" Target="https://docs.google.com/spreadsheets/d/1KDY7rvYzLh2AmEhetkSjjudQ5onW_BSStDqRLzO9h3I/edit?gid=0" TargetMode="External"/><Relationship Id="rId175" Type="http://schemas.openxmlformats.org/officeDocument/2006/relationships/hyperlink" Target="https://docs.google.com/spreadsheets/d/1st2xaha4J5HQju-84bXAIbwnEr8HoLmo_Nh7gefwYrE/edit" TargetMode="External"/><Relationship Id="rId296" Type="http://schemas.openxmlformats.org/officeDocument/2006/relationships/hyperlink" Target="https://docs.google.com/spreadsheets/d/1KDY7rvYzLh2AmEhetkSjjudQ5onW_BSStDqRLzO9h3I/edit?gid=0" TargetMode="External"/><Relationship Id="rId174" Type="http://schemas.openxmlformats.org/officeDocument/2006/relationships/hyperlink" Target="https://docs.google.com/spreadsheets/d/1st2xaha4J5HQju-84bXAIbwnEr8HoLmo_Nh7gefwYrE/edit" TargetMode="External"/><Relationship Id="rId295" Type="http://schemas.openxmlformats.org/officeDocument/2006/relationships/hyperlink" Target="https://docs.google.com/spreadsheets/d/1KDY7rvYzLh2AmEhetkSjjudQ5onW_BSStDqRLzO9h3I/edit?gid=0" TargetMode="External"/><Relationship Id="rId173" Type="http://schemas.openxmlformats.org/officeDocument/2006/relationships/hyperlink" Target="https://docs.google.com/spreadsheets/d/1st2xaha4J5HQju-84bXAIbwnEr8HoLmo_Nh7gefwYrE/edit" TargetMode="External"/><Relationship Id="rId294" Type="http://schemas.openxmlformats.org/officeDocument/2006/relationships/hyperlink" Target="https://docs.google.com/spreadsheets/d/1KDY7rvYzLh2AmEhetkSjjudQ5onW_BSStDqRLzO9h3I/edit?gid=0" TargetMode="External"/><Relationship Id="rId179" Type="http://schemas.openxmlformats.org/officeDocument/2006/relationships/hyperlink" Target="https://docs.google.com/spreadsheets/d/1st2xaha4J5HQju-84bXAIbwnEr8HoLmo_Nh7gefwYrE/edit" TargetMode="External"/><Relationship Id="rId178" Type="http://schemas.openxmlformats.org/officeDocument/2006/relationships/hyperlink" Target="https://docs.google.com/spreadsheets/d/1st2xaha4J5HQju-84bXAIbwnEr8HoLmo_Nh7gefwYrE/edit" TargetMode="External"/><Relationship Id="rId299" Type="http://schemas.openxmlformats.org/officeDocument/2006/relationships/hyperlink" Target="https://docs.google.com/spreadsheets/d/1KDY7rvYzLh2AmEhetkSjjudQ5onW_BSStDqRLzO9h3I/edit?gid=0" TargetMode="External"/><Relationship Id="rId177" Type="http://schemas.openxmlformats.org/officeDocument/2006/relationships/hyperlink" Target="https://docs.google.com/spreadsheets/d/1st2xaha4J5HQju-84bXAIbwnEr8HoLmo_Nh7gefwYrE/edit" TargetMode="External"/><Relationship Id="rId298" Type="http://schemas.openxmlformats.org/officeDocument/2006/relationships/hyperlink" Target="https://docs.google.com/spreadsheets/d/1KDY7rvYzLh2AmEhetkSjjudQ5onW_BSStDqRLzO9h3I/edit?gid=0" TargetMode="External"/><Relationship Id="rId198" Type="http://schemas.openxmlformats.org/officeDocument/2006/relationships/hyperlink" Target="https://docs.google.com/spreadsheets/d/1st2xaha4J5HQju-84bXAIbwnEr8HoLmo_Nh7gefwYrE/edit" TargetMode="External"/><Relationship Id="rId197" Type="http://schemas.openxmlformats.org/officeDocument/2006/relationships/hyperlink" Target="https://docs.google.com/spreadsheets/d/1st2xaha4J5HQju-84bXAIbwnEr8HoLmo_Nh7gefwYrE/edit" TargetMode="External"/><Relationship Id="rId196" Type="http://schemas.openxmlformats.org/officeDocument/2006/relationships/hyperlink" Target="https://docs.google.com/spreadsheets/d/1st2xaha4J5HQju-84bXAIbwnEr8HoLmo_Nh7gefwYrE/edit" TargetMode="External"/><Relationship Id="rId195" Type="http://schemas.openxmlformats.org/officeDocument/2006/relationships/hyperlink" Target="https://docs.google.com/spreadsheets/d/1st2xaha4J5HQju-84bXAIbwnEr8HoLmo_Nh7gefwYrE/edit" TargetMode="External"/><Relationship Id="rId199" Type="http://schemas.openxmlformats.org/officeDocument/2006/relationships/hyperlink" Target="https://docs.google.com/spreadsheets/d/1st2xaha4J5HQju-84bXAIbwnEr8HoLmo_Nh7gefwYrE/edit" TargetMode="External"/><Relationship Id="rId150" Type="http://schemas.openxmlformats.org/officeDocument/2006/relationships/hyperlink" Target="https://docs.google.com/spreadsheets/d/1st2xaha4J5HQju-84bXAIbwnEr8HoLmo_Nh7gefwYrE/edit" TargetMode="External"/><Relationship Id="rId271" Type="http://schemas.openxmlformats.org/officeDocument/2006/relationships/hyperlink" Target="https://docs.google.com/spreadsheets/d/1DNSk79ZSCBo_yQHv8TFJPXZC6lrZCyDXcT-k62Z6CY0/edit" TargetMode="External"/><Relationship Id="rId392" Type="http://schemas.openxmlformats.org/officeDocument/2006/relationships/hyperlink" Target="https://docs.google.com/spreadsheets/d/1-rDuDN6kJtf1Q_cmmTmT8A55PSX7yYIanp3P-doeHgA/edit" TargetMode="External"/><Relationship Id="rId270" Type="http://schemas.openxmlformats.org/officeDocument/2006/relationships/hyperlink" Target="https://docs.google.com/spreadsheets/d/1DNSk79ZSCBo_yQHv8TFJPXZC6lrZCyDXcT-k62Z6CY0/edit" TargetMode="External"/><Relationship Id="rId391" Type="http://schemas.openxmlformats.org/officeDocument/2006/relationships/hyperlink" Target="https://docs.google.com/spreadsheets/d/1-rDuDN6kJtf1Q_cmmTmT8A55PSX7yYIanp3P-doeHgA/edit" TargetMode="External"/><Relationship Id="rId390" Type="http://schemas.openxmlformats.org/officeDocument/2006/relationships/hyperlink" Target="https://docs.google.com/spreadsheets/d/1-rDuDN6kJtf1Q_cmmTmT8A55PSX7yYIanp3P-doeHgA/edit" TargetMode="External"/><Relationship Id="rId1" Type="http://schemas.openxmlformats.org/officeDocument/2006/relationships/hyperlink" Target="https://oakhill.handing.co/posts/1062846" TargetMode="External"/><Relationship Id="rId2" Type="http://schemas.openxmlformats.org/officeDocument/2006/relationships/hyperlink" Target="https://docs.google.com/spreadsheets/d/1TKiEi51RIqUfNa3qT0DnDmc7L_thfqhwcfrkKVXwdgg/edit?gid=0" TargetMode="External"/><Relationship Id="rId3" Type="http://schemas.openxmlformats.org/officeDocument/2006/relationships/hyperlink" Target="https://docs.google.com/spreadsheets/d/1TKiEi51RIqUfNa3qT0DnDmc7L_thfqhwcfrkKVXwdgg/edit?gid=0" TargetMode="External"/><Relationship Id="rId149" Type="http://schemas.openxmlformats.org/officeDocument/2006/relationships/hyperlink" Target="https://docs.google.com/spreadsheets/d/1st2xaha4J5HQju-84bXAIbwnEr8HoLmo_Nh7gefwYrE/edit" TargetMode="External"/><Relationship Id="rId4" Type="http://schemas.openxmlformats.org/officeDocument/2006/relationships/hyperlink" Target="https://docs.google.com/spreadsheets/d/1TKiEi51RIqUfNa3qT0DnDmc7L_thfqhwcfrkKVXwdgg/edit?gid=0" TargetMode="External"/><Relationship Id="rId148" Type="http://schemas.openxmlformats.org/officeDocument/2006/relationships/hyperlink" Target="https://docs.google.com/spreadsheets/d/1st2xaha4J5HQju-84bXAIbwnEr8HoLmo_Nh7gefwYrE/edit" TargetMode="External"/><Relationship Id="rId269" Type="http://schemas.openxmlformats.org/officeDocument/2006/relationships/hyperlink" Target="https://docs.google.com/spreadsheets/d/1DNSk79ZSCBo_yQHv8TFJPXZC6lrZCyDXcT-k62Z6CY0/edit" TargetMode="External"/><Relationship Id="rId9" Type="http://schemas.openxmlformats.org/officeDocument/2006/relationships/hyperlink" Target="https://docs.google.com/spreadsheets/d/1TKiEi51RIqUfNa3qT0DnDmc7L_thfqhwcfrkKVXwdgg/edit?gid=0" TargetMode="External"/><Relationship Id="rId143" Type="http://schemas.openxmlformats.org/officeDocument/2006/relationships/hyperlink" Target="https://docs.google.com/spreadsheets/d/1st2xaha4J5HQju-84bXAIbwnEr8HoLmo_Nh7gefwYrE/edit" TargetMode="External"/><Relationship Id="rId264" Type="http://schemas.openxmlformats.org/officeDocument/2006/relationships/hyperlink" Target="https://docs.google.com/spreadsheets/d/10LBFpVM7q3NB3-njdm6ibd1mTHI-zXPViJSaC2ytUIo/edit?gid=0" TargetMode="External"/><Relationship Id="rId385" Type="http://schemas.openxmlformats.org/officeDocument/2006/relationships/hyperlink" Target="https://docs.google.com/spreadsheets/d/1-rDuDN6kJtf1Q_cmmTmT8A55PSX7yYIanp3P-doeHgA/edit" TargetMode="External"/><Relationship Id="rId142" Type="http://schemas.openxmlformats.org/officeDocument/2006/relationships/hyperlink" Target="https://docs.google.com/spreadsheets/d/1st2xaha4J5HQju-84bXAIbwnEr8HoLmo_Nh7gefwYrE/edit" TargetMode="External"/><Relationship Id="rId263" Type="http://schemas.openxmlformats.org/officeDocument/2006/relationships/hyperlink" Target="https://docs.google.com/spreadsheets/d/10LBFpVM7q3NB3-njdm6ibd1mTHI-zXPViJSaC2ytUIo/edit?gid=0" TargetMode="External"/><Relationship Id="rId384" Type="http://schemas.openxmlformats.org/officeDocument/2006/relationships/hyperlink" Target="https://docs.google.com/spreadsheets/d/1-rDuDN6kJtf1Q_cmmTmT8A55PSX7yYIanp3P-doeHgA/edit" TargetMode="External"/><Relationship Id="rId141" Type="http://schemas.openxmlformats.org/officeDocument/2006/relationships/hyperlink" Target="https://docs.google.com/spreadsheets/d/1sWLb9C9Jfoo2BIZj1kw8p_vGxXYZC0T0IQCNq5VpHQI/edit?gid=0" TargetMode="External"/><Relationship Id="rId262" Type="http://schemas.openxmlformats.org/officeDocument/2006/relationships/hyperlink" Target="https://docs.google.com/spreadsheets/d/10LBFpVM7q3NB3-njdm6ibd1mTHI-zXPViJSaC2ytUIo/edit?gid=0" TargetMode="External"/><Relationship Id="rId383" Type="http://schemas.openxmlformats.org/officeDocument/2006/relationships/hyperlink" Target="https://docs.google.com/spreadsheets/d/1-rDuDN6kJtf1Q_cmmTmT8A55PSX7yYIanp3P-doeHgA/edit" TargetMode="External"/><Relationship Id="rId140" Type="http://schemas.openxmlformats.org/officeDocument/2006/relationships/hyperlink" Target="https://docs.google.com/spreadsheets/d/1sWLb9C9Jfoo2BIZj1kw8p_vGxXYZC0T0IQCNq5VpHQI/edit?gid=0" TargetMode="External"/><Relationship Id="rId261" Type="http://schemas.openxmlformats.org/officeDocument/2006/relationships/hyperlink" Target="https://docs.google.com/spreadsheets/d/10LBFpVM7q3NB3-njdm6ibd1mTHI-zXPViJSaC2ytUIo/edit?gid=0" TargetMode="External"/><Relationship Id="rId382" Type="http://schemas.openxmlformats.org/officeDocument/2006/relationships/hyperlink" Target="https://docs.google.com/spreadsheets/d/1-rDuDN6kJtf1Q_cmmTmT8A55PSX7yYIanp3P-doeHgA/edit" TargetMode="External"/><Relationship Id="rId5" Type="http://schemas.openxmlformats.org/officeDocument/2006/relationships/hyperlink" Target="https://docs.google.com/spreadsheets/d/1TKiEi51RIqUfNa3qT0DnDmc7L_thfqhwcfrkKVXwdgg/edit?gid=0" TargetMode="External"/><Relationship Id="rId147" Type="http://schemas.openxmlformats.org/officeDocument/2006/relationships/hyperlink" Target="https://docs.google.com/spreadsheets/d/1st2xaha4J5HQju-84bXAIbwnEr8HoLmo_Nh7gefwYrE/edit" TargetMode="External"/><Relationship Id="rId268" Type="http://schemas.openxmlformats.org/officeDocument/2006/relationships/hyperlink" Target="https://docs.google.com/spreadsheets/d/1DNSk79ZSCBo_yQHv8TFJPXZC6lrZCyDXcT-k62Z6CY0/edit" TargetMode="External"/><Relationship Id="rId389" Type="http://schemas.openxmlformats.org/officeDocument/2006/relationships/hyperlink" Target="https://docs.google.com/spreadsheets/d/1-rDuDN6kJtf1Q_cmmTmT8A55PSX7yYIanp3P-doeHgA/edit" TargetMode="External"/><Relationship Id="rId6" Type="http://schemas.openxmlformats.org/officeDocument/2006/relationships/hyperlink" Target="https://docs.google.com/spreadsheets/d/1TKiEi51RIqUfNa3qT0DnDmc7L_thfqhwcfrkKVXwdgg/edit?gid=0" TargetMode="External"/><Relationship Id="rId146" Type="http://schemas.openxmlformats.org/officeDocument/2006/relationships/hyperlink" Target="https://docs.google.com/spreadsheets/d/1st2xaha4J5HQju-84bXAIbwnEr8HoLmo_Nh7gefwYrE/edit" TargetMode="External"/><Relationship Id="rId267" Type="http://schemas.openxmlformats.org/officeDocument/2006/relationships/hyperlink" Target="https://docs.google.com/spreadsheets/d/1DNSk79ZSCBo_yQHv8TFJPXZC6lrZCyDXcT-k62Z6CY0/edit" TargetMode="External"/><Relationship Id="rId388" Type="http://schemas.openxmlformats.org/officeDocument/2006/relationships/hyperlink" Target="https://docs.google.com/spreadsheets/d/1-rDuDN6kJtf1Q_cmmTmT8A55PSX7yYIanp3P-doeHgA/edit" TargetMode="External"/><Relationship Id="rId7" Type="http://schemas.openxmlformats.org/officeDocument/2006/relationships/hyperlink" Target="https://docs.google.com/spreadsheets/d/1TKiEi51RIqUfNa3qT0DnDmc7L_thfqhwcfrkKVXwdgg/edit?gid=0" TargetMode="External"/><Relationship Id="rId145" Type="http://schemas.openxmlformats.org/officeDocument/2006/relationships/hyperlink" Target="https://docs.google.com/spreadsheets/d/1st2xaha4J5HQju-84bXAIbwnEr8HoLmo_Nh7gefwYrE/edit" TargetMode="External"/><Relationship Id="rId266" Type="http://schemas.openxmlformats.org/officeDocument/2006/relationships/hyperlink" Target="https://docs.google.com/spreadsheets/d/10LBFpVM7q3NB3-njdm6ibd1mTHI-zXPViJSaC2ytUIo/edit?gid=0" TargetMode="External"/><Relationship Id="rId387" Type="http://schemas.openxmlformats.org/officeDocument/2006/relationships/hyperlink" Target="https://docs.google.com/spreadsheets/d/1-rDuDN6kJtf1Q_cmmTmT8A55PSX7yYIanp3P-doeHgA/edit" TargetMode="External"/><Relationship Id="rId8" Type="http://schemas.openxmlformats.org/officeDocument/2006/relationships/hyperlink" Target="https://docs.google.com/spreadsheets/d/1TKiEi51RIqUfNa3qT0DnDmc7L_thfqhwcfrkKVXwdgg/edit?gid=0" TargetMode="External"/><Relationship Id="rId144" Type="http://schemas.openxmlformats.org/officeDocument/2006/relationships/hyperlink" Target="https://docs.google.com/spreadsheets/d/1st2xaha4J5HQju-84bXAIbwnEr8HoLmo_Nh7gefwYrE/edit" TargetMode="External"/><Relationship Id="rId265" Type="http://schemas.openxmlformats.org/officeDocument/2006/relationships/hyperlink" Target="https://docs.google.com/spreadsheets/d/10LBFpVM7q3NB3-njdm6ibd1mTHI-zXPViJSaC2ytUIo/edit?gid=0" TargetMode="External"/><Relationship Id="rId386" Type="http://schemas.openxmlformats.org/officeDocument/2006/relationships/hyperlink" Target="https://docs.google.com/spreadsheets/d/1-rDuDN6kJtf1Q_cmmTmT8A55PSX7yYIanp3P-doeHgA/edit" TargetMode="External"/><Relationship Id="rId260" Type="http://schemas.openxmlformats.org/officeDocument/2006/relationships/hyperlink" Target="https://docs.google.com/spreadsheets/d/10LBFpVM7q3NB3-njdm6ibd1mTHI-zXPViJSaC2ytUIo/edit?gid=0" TargetMode="External"/><Relationship Id="rId381" Type="http://schemas.openxmlformats.org/officeDocument/2006/relationships/hyperlink" Target="https://docs.google.com/spreadsheets/d/1-rDuDN6kJtf1Q_cmmTmT8A55PSX7yYIanp3P-doeHgA/edit" TargetMode="External"/><Relationship Id="rId380" Type="http://schemas.openxmlformats.org/officeDocument/2006/relationships/hyperlink" Target="https://docs.google.com/spreadsheets/d/1-rDuDN6kJtf1Q_cmmTmT8A55PSX7yYIanp3P-doeHgA/edit" TargetMode="External"/><Relationship Id="rId139" Type="http://schemas.openxmlformats.org/officeDocument/2006/relationships/hyperlink" Target="https://docs.google.com/spreadsheets/d/1sWLb9C9Jfoo2BIZj1kw8p_vGxXYZC0T0IQCNq5VpHQI/edit?gid=0" TargetMode="External"/><Relationship Id="rId138" Type="http://schemas.openxmlformats.org/officeDocument/2006/relationships/hyperlink" Target="https://docs.google.com/spreadsheets/d/1sWLb9C9Jfoo2BIZj1kw8p_vGxXYZC0T0IQCNq5VpHQI/edit?gid=0" TargetMode="External"/><Relationship Id="rId259" Type="http://schemas.openxmlformats.org/officeDocument/2006/relationships/hyperlink" Target="https://docs.google.com/spreadsheets/d/10LBFpVM7q3NB3-njdm6ibd1mTHI-zXPViJSaC2ytUIo/edit?gid=0" TargetMode="External"/><Relationship Id="rId137" Type="http://schemas.openxmlformats.org/officeDocument/2006/relationships/hyperlink" Target="https://docs.google.com/spreadsheets/d/1sWLb9C9Jfoo2BIZj1kw8p_vGxXYZC0T0IQCNq5VpHQI/edit?gid=0" TargetMode="External"/><Relationship Id="rId258" Type="http://schemas.openxmlformats.org/officeDocument/2006/relationships/hyperlink" Target="https://docs.google.com/spreadsheets/d/10LBFpVM7q3NB3-njdm6ibd1mTHI-zXPViJSaC2ytUIo/edit?gid=0" TargetMode="External"/><Relationship Id="rId379" Type="http://schemas.openxmlformats.org/officeDocument/2006/relationships/hyperlink" Target="https://docs.google.com/spreadsheets/d/1-rDuDN6kJtf1Q_cmmTmT8A55PSX7yYIanp3P-doeHgA/edit" TargetMode="External"/><Relationship Id="rId132" Type="http://schemas.openxmlformats.org/officeDocument/2006/relationships/hyperlink" Target="https://docs.google.com/spreadsheets/d/1sWLb9C9Jfoo2BIZj1kw8p_vGxXYZC0T0IQCNq5VpHQI/edit?gid=0" TargetMode="External"/><Relationship Id="rId253" Type="http://schemas.openxmlformats.org/officeDocument/2006/relationships/hyperlink" Target="https://docs.google.com/spreadsheets/d/10LBFpVM7q3NB3-njdm6ibd1mTHI-zXPViJSaC2ytUIo/edit?gid=0" TargetMode="External"/><Relationship Id="rId374" Type="http://schemas.openxmlformats.org/officeDocument/2006/relationships/hyperlink" Target="https://docs.google.com/spreadsheets/d/1-rDuDN6kJtf1Q_cmmTmT8A55PSX7yYIanp3P-doeHgA/edit" TargetMode="External"/><Relationship Id="rId495" Type="http://schemas.openxmlformats.org/officeDocument/2006/relationships/hyperlink" Target="https://docs.google.com/spreadsheets/d/1OkyvF97_tP1trFNqpnK51IP-g1CoQZ53GueewINSIkE/edit?gid=0" TargetMode="External"/><Relationship Id="rId131" Type="http://schemas.openxmlformats.org/officeDocument/2006/relationships/hyperlink" Target="https://docs.google.com/spreadsheets/d/1sWLb9C9Jfoo2BIZj1kw8p_vGxXYZC0T0IQCNq5VpHQI/edit?gid=0" TargetMode="External"/><Relationship Id="rId252" Type="http://schemas.openxmlformats.org/officeDocument/2006/relationships/hyperlink" Target="https://docs.google.com/spreadsheets/d/10LBFpVM7q3NB3-njdm6ibd1mTHI-zXPViJSaC2ytUIo/edit?gid=0" TargetMode="External"/><Relationship Id="rId373" Type="http://schemas.openxmlformats.org/officeDocument/2006/relationships/hyperlink" Target="https://docs.google.com/spreadsheets/d/1-rDuDN6kJtf1Q_cmmTmT8A55PSX7yYIanp3P-doeHgA/edit" TargetMode="External"/><Relationship Id="rId494" Type="http://schemas.openxmlformats.org/officeDocument/2006/relationships/hyperlink" Target="https://docs.google.com/spreadsheets/d/1OkyvF97_tP1trFNqpnK51IP-g1CoQZ53GueewINSIkE/edit?gid=0" TargetMode="External"/><Relationship Id="rId130" Type="http://schemas.openxmlformats.org/officeDocument/2006/relationships/hyperlink" Target="https://docs.google.com/spreadsheets/d/1sWLb9C9Jfoo2BIZj1kw8p_vGxXYZC0T0IQCNq5VpHQI/edit?gid=0" TargetMode="External"/><Relationship Id="rId251" Type="http://schemas.openxmlformats.org/officeDocument/2006/relationships/hyperlink" Target="https://docs.google.com/spreadsheets/d/10LBFpVM7q3NB3-njdm6ibd1mTHI-zXPViJSaC2ytUIo/edit?gid=0" TargetMode="External"/><Relationship Id="rId372" Type="http://schemas.openxmlformats.org/officeDocument/2006/relationships/hyperlink" Target="https://docs.google.com/spreadsheets/d/1-rDuDN6kJtf1Q_cmmTmT8A55PSX7yYIanp3P-doeHgA/edit" TargetMode="External"/><Relationship Id="rId493" Type="http://schemas.openxmlformats.org/officeDocument/2006/relationships/hyperlink" Target="https://docs.google.com/spreadsheets/d/1OkyvF97_tP1trFNqpnK51IP-g1CoQZ53GueewINSIkE/edit?gid=0" TargetMode="External"/><Relationship Id="rId250" Type="http://schemas.openxmlformats.org/officeDocument/2006/relationships/hyperlink" Target="https://docs.google.com/spreadsheets/d/10LBFpVM7q3NB3-njdm6ibd1mTHI-zXPViJSaC2ytUIo/edit?gid=0" TargetMode="External"/><Relationship Id="rId371" Type="http://schemas.openxmlformats.org/officeDocument/2006/relationships/hyperlink" Target="https://docs.google.com/spreadsheets/d/1-rDuDN6kJtf1Q_cmmTmT8A55PSX7yYIanp3P-doeHgA/edit" TargetMode="External"/><Relationship Id="rId492" Type="http://schemas.openxmlformats.org/officeDocument/2006/relationships/hyperlink" Target="https://docs.google.com/spreadsheets/d/1OkyvF97_tP1trFNqpnK51IP-g1CoQZ53GueewINSIkE/edit?gid=0" TargetMode="External"/><Relationship Id="rId136" Type="http://schemas.openxmlformats.org/officeDocument/2006/relationships/hyperlink" Target="https://docs.google.com/spreadsheets/d/1sWLb9C9Jfoo2BIZj1kw8p_vGxXYZC0T0IQCNq5VpHQI/edit?gid=0" TargetMode="External"/><Relationship Id="rId257" Type="http://schemas.openxmlformats.org/officeDocument/2006/relationships/hyperlink" Target="https://docs.google.com/spreadsheets/d/10LBFpVM7q3NB3-njdm6ibd1mTHI-zXPViJSaC2ytUIo/edit?gid=0" TargetMode="External"/><Relationship Id="rId378" Type="http://schemas.openxmlformats.org/officeDocument/2006/relationships/hyperlink" Target="https://docs.google.com/spreadsheets/d/1-rDuDN6kJtf1Q_cmmTmT8A55PSX7yYIanp3P-doeHgA/edit" TargetMode="External"/><Relationship Id="rId499" Type="http://schemas.openxmlformats.org/officeDocument/2006/relationships/hyperlink" Target="https://docs.google.com/spreadsheets/d/1OkyvF97_tP1trFNqpnK51IP-g1CoQZ53GueewINSIkE/edit?gid=0" TargetMode="External"/><Relationship Id="rId135" Type="http://schemas.openxmlformats.org/officeDocument/2006/relationships/hyperlink" Target="https://docs.google.com/spreadsheets/d/1sWLb9C9Jfoo2BIZj1kw8p_vGxXYZC0T0IQCNq5VpHQI/edit?gid=0" TargetMode="External"/><Relationship Id="rId256" Type="http://schemas.openxmlformats.org/officeDocument/2006/relationships/hyperlink" Target="https://docs.google.com/spreadsheets/d/10LBFpVM7q3NB3-njdm6ibd1mTHI-zXPViJSaC2ytUIo/edit?gid=0" TargetMode="External"/><Relationship Id="rId377" Type="http://schemas.openxmlformats.org/officeDocument/2006/relationships/hyperlink" Target="https://docs.google.com/spreadsheets/d/1-rDuDN6kJtf1Q_cmmTmT8A55PSX7yYIanp3P-doeHgA/edit" TargetMode="External"/><Relationship Id="rId498" Type="http://schemas.openxmlformats.org/officeDocument/2006/relationships/hyperlink" Target="https://docs.google.com/spreadsheets/d/1OkyvF97_tP1trFNqpnK51IP-g1CoQZ53GueewINSIkE/edit?gid=0" TargetMode="External"/><Relationship Id="rId134" Type="http://schemas.openxmlformats.org/officeDocument/2006/relationships/hyperlink" Target="https://docs.google.com/spreadsheets/d/1sWLb9C9Jfoo2BIZj1kw8p_vGxXYZC0T0IQCNq5VpHQI/edit?gid=0" TargetMode="External"/><Relationship Id="rId255" Type="http://schemas.openxmlformats.org/officeDocument/2006/relationships/hyperlink" Target="https://docs.google.com/spreadsheets/d/10LBFpVM7q3NB3-njdm6ibd1mTHI-zXPViJSaC2ytUIo/edit?gid=0" TargetMode="External"/><Relationship Id="rId376" Type="http://schemas.openxmlformats.org/officeDocument/2006/relationships/hyperlink" Target="https://docs.google.com/spreadsheets/d/1-rDuDN6kJtf1Q_cmmTmT8A55PSX7yYIanp3P-doeHgA/edit" TargetMode="External"/><Relationship Id="rId497" Type="http://schemas.openxmlformats.org/officeDocument/2006/relationships/hyperlink" Target="https://docs.google.com/spreadsheets/d/1OkyvF97_tP1trFNqpnK51IP-g1CoQZ53GueewINSIkE/edit?gid=0" TargetMode="External"/><Relationship Id="rId133" Type="http://schemas.openxmlformats.org/officeDocument/2006/relationships/hyperlink" Target="https://docs.google.com/spreadsheets/d/1sWLb9C9Jfoo2BIZj1kw8p_vGxXYZC0T0IQCNq5VpHQI/edit?gid=0" TargetMode="External"/><Relationship Id="rId254" Type="http://schemas.openxmlformats.org/officeDocument/2006/relationships/hyperlink" Target="https://docs.google.com/spreadsheets/d/10LBFpVM7q3NB3-njdm6ibd1mTHI-zXPViJSaC2ytUIo/edit?gid=0" TargetMode="External"/><Relationship Id="rId375" Type="http://schemas.openxmlformats.org/officeDocument/2006/relationships/hyperlink" Target="https://docs.google.com/spreadsheets/d/1-rDuDN6kJtf1Q_cmmTmT8A55PSX7yYIanp3P-doeHgA/edit" TargetMode="External"/><Relationship Id="rId496" Type="http://schemas.openxmlformats.org/officeDocument/2006/relationships/hyperlink" Target="https://docs.google.com/spreadsheets/d/1OkyvF97_tP1trFNqpnK51IP-g1CoQZ53GueewINSIkE/edit?gid=0" TargetMode="External"/><Relationship Id="rId172" Type="http://schemas.openxmlformats.org/officeDocument/2006/relationships/hyperlink" Target="https://docs.google.com/spreadsheets/d/1st2xaha4J5HQju-84bXAIbwnEr8HoLmo_Nh7gefwYrE/edit" TargetMode="External"/><Relationship Id="rId293" Type="http://schemas.openxmlformats.org/officeDocument/2006/relationships/hyperlink" Target="https://docs.google.com/spreadsheets/d/1KDY7rvYzLh2AmEhetkSjjudQ5onW_BSStDqRLzO9h3I/edit?gid=0" TargetMode="External"/><Relationship Id="rId171" Type="http://schemas.openxmlformats.org/officeDocument/2006/relationships/hyperlink" Target="https://docs.google.com/spreadsheets/d/1st2xaha4J5HQju-84bXAIbwnEr8HoLmo_Nh7gefwYrE/edit" TargetMode="External"/><Relationship Id="rId292" Type="http://schemas.openxmlformats.org/officeDocument/2006/relationships/hyperlink" Target="https://docs.google.com/spreadsheets/d/1KDY7rvYzLh2AmEhetkSjjudQ5onW_BSStDqRLzO9h3I/edit?gid=0" TargetMode="External"/><Relationship Id="rId170" Type="http://schemas.openxmlformats.org/officeDocument/2006/relationships/hyperlink" Target="https://docs.google.com/spreadsheets/d/1st2xaha4J5HQju-84bXAIbwnEr8HoLmo_Nh7gefwYrE/edit" TargetMode="External"/><Relationship Id="rId291" Type="http://schemas.openxmlformats.org/officeDocument/2006/relationships/hyperlink" Target="https://docs.google.com/spreadsheets/d/1KDY7rvYzLh2AmEhetkSjjudQ5onW_BSStDqRLzO9h3I/edit?gid=0" TargetMode="External"/><Relationship Id="rId290" Type="http://schemas.openxmlformats.org/officeDocument/2006/relationships/hyperlink" Target="https://docs.google.com/spreadsheets/d/1KDY7rvYzLh2AmEhetkSjjudQ5onW_BSStDqRLzO9h3I/edit?gid=0" TargetMode="External"/><Relationship Id="rId165" Type="http://schemas.openxmlformats.org/officeDocument/2006/relationships/hyperlink" Target="https://docs.google.com/spreadsheets/d/1st2xaha4J5HQju-84bXAIbwnEr8HoLmo_Nh7gefwYrE/edit" TargetMode="External"/><Relationship Id="rId286" Type="http://schemas.openxmlformats.org/officeDocument/2006/relationships/hyperlink" Target="https://docs.google.com/spreadsheets/d/1DNSk79ZSCBo_yQHv8TFJPXZC6lrZCyDXcT-k62Z6CY0/edit" TargetMode="External"/><Relationship Id="rId164" Type="http://schemas.openxmlformats.org/officeDocument/2006/relationships/hyperlink" Target="https://docs.google.com/spreadsheets/d/1st2xaha4J5HQju-84bXAIbwnEr8HoLmo_Nh7gefwYrE/edit" TargetMode="External"/><Relationship Id="rId285" Type="http://schemas.openxmlformats.org/officeDocument/2006/relationships/hyperlink" Target="https://docs.google.com/spreadsheets/d/1DNSk79ZSCBo_yQHv8TFJPXZC6lrZCyDXcT-k62Z6CY0/edit" TargetMode="External"/><Relationship Id="rId163" Type="http://schemas.openxmlformats.org/officeDocument/2006/relationships/hyperlink" Target="https://docs.google.com/spreadsheets/d/1st2xaha4J5HQju-84bXAIbwnEr8HoLmo_Nh7gefwYrE/edit" TargetMode="External"/><Relationship Id="rId284" Type="http://schemas.openxmlformats.org/officeDocument/2006/relationships/hyperlink" Target="https://docs.google.com/spreadsheets/d/1DNSk79ZSCBo_yQHv8TFJPXZC6lrZCyDXcT-k62Z6CY0/edit" TargetMode="External"/><Relationship Id="rId162" Type="http://schemas.openxmlformats.org/officeDocument/2006/relationships/hyperlink" Target="https://docs.google.com/spreadsheets/d/1st2xaha4J5HQju-84bXAIbwnEr8HoLmo_Nh7gefwYrE/edit" TargetMode="External"/><Relationship Id="rId283" Type="http://schemas.openxmlformats.org/officeDocument/2006/relationships/hyperlink" Target="https://docs.google.com/spreadsheets/d/1DNSk79ZSCBo_yQHv8TFJPXZC6lrZCyDXcT-k62Z6CY0/edit" TargetMode="External"/><Relationship Id="rId169" Type="http://schemas.openxmlformats.org/officeDocument/2006/relationships/hyperlink" Target="https://docs.google.com/spreadsheets/d/1st2xaha4J5HQju-84bXAIbwnEr8HoLmo_Nh7gefwYrE/edit" TargetMode="External"/><Relationship Id="rId168" Type="http://schemas.openxmlformats.org/officeDocument/2006/relationships/hyperlink" Target="https://docs.google.com/spreadsheets/d/1st2xaha4J5HQju-84bXAIbwnEr8HoLmo_Nh7gefwYrE/edit" TargetMode="External"/><Relationship Id="rId289" Type="http://schemas.openxmlformats.org/officeDocument/2006/relationships/hyperlink" Target="https://docs.google.com/spreadsheets/d/1KDY7rvYzLh2AmEhetkSjjudQ5onW_BSStDqRLzO9h3I/edit?gid=0" TargetMode="External"/><Relationship Id="rId167" Type="http://schemas.openxmlformats.org/officeDocument/2006/relationships/hyperlink" Target="https://docs.google.com/spreadsheets/d/1st2xaha4J5HQju-84bXAIbwnEr8HoLmo_Nh7gefwYrE/edit" TargetMode="External"/><Relationship Id="rId288" Type="http://schemas.openxmlformats.org/officeDocument/2006/relationships/hyperlink" Target="https://docs.google.com/spreadsheets/d/1KDY7rvYzLh2AmEhetkSjjudQ5onW_BSStDqRLzO9h3I/edit?gid=0" TargetMode="External"/><Relationship Id="rId166" Type="http://schemas.openxmlformats.org/officeDocument/2006/relationships/hyperlink" Target="https://docs.google.com/spreadsheets/d/1st2xaha4J5HQju-84bXAIbwnEr8HoLmo_Nh7gefwYrE/edit" TargetMode="External"/><Relationship Id="rId287" Type="http://schemas.openxmlformats.org/officeDocument/2006/relationships/hyperlink" Target="https://docs.google.com/spreadsheets/d/1DNSk79ZSCBo_yQHv8TFJPXZC6lrZCyDXcT-k62Z6CY0/edit" TargetMode="External"/><Relationship Id="rId161" Type="http://schemas.openxmlformats.org/officeDocument/2006/relationships/hyperlink" Target="https://docs.google.com/spreadsheets/d/1st2xaha4J5HQju-84bXAIbwnEr8HoLmo_Nh7gefwYrE/edit" TargetMode="External"/><Relationship Id="rId282" Type="http://schemas.openxmlformats.org/officeDocument/2006/relationships/hyperlink" Target="https://docs.google.com/spreadsheets/d/1DNSk79ZSCBo_yQHv8TFJPXZC6lrZCyDXcT-k62Z6CY0/edit" TargetMode="External"/><Relationship Id="rId160" Type="http://schemas.openxmlformats.org/officeDocument/2006/relationships/hyperlink" Target="https://docs.google.com/spreadsheets/d/1st2xaha4J5HQju-84bXAIbwnEr8HoLmo_Nh7gefwYrE/edit" TargetMode="External"/><Relationship Id="rId281" Type="http://schemas.openxmlformats.org/officeDocument/2006/relationships/hyperlink" Target="https://docs.google.com/spreadsheets/d/1DNSk79ZSCBo_yQHv8TFJPXZC6lrZCyDXcT-k62Z6CY0/edit" TargetMode="External"/><Relationship Id="rId280" Type="http://schemas.openxmlformats.org/officeDocument/2006/relationships/hyperlink" Target="https://docs.google.com/spreadsheets/d/1DNSk79ZSCBo_yQHv8TFJPXZC6lrZCyDXcT-k62Z6CY0/edit" TargetMode="External"/><Relationship Id="rId159" Type="http://schemas.openxmlformats.org/officeDocument/2006/relationships/hyperlink" Target="https://docs.google.com/spreadsheets/d/1st2xaha4J5HQju-84bXAIbwnEr8HoLmo_Nh7gefwYrE/edit" TargetMode="External"/><Relationship Id="rId154" Type="http://schemas.openxmlformats.org/officeDocument/2006/relationships/hyperlink" Target="https://docs.google.com/spreadsheets/d/1st2xaha4J5HQju-84bXAIbwnEr8HoLmo_Nh7gefwYrE/edit" TargetMode="External"/><Relationship Id="rId275" Type="http://schemas.openxmlformats.org/officeDocument/2006/relationships/hyperlink" Target="https://docs.google.com/spreadsheets/d/1DNSk79ZSCBo_yQHv8TFJPXZC6lrZCyDXcT-k62Z6CY0/edit" TargetMode="External"/><Relationship Id="rId396" Type="http://schemas.openxmlformats.org/officeDocument/2006/relationships/hyperlink" Target="https://docs.google.com/spreadsheets/d/1-rDuDN6kJtf1Q_cmmTmT8A55PSX7yYIanp3P-doeHgA/edit" TargetMode="External"/><Relationship Id="rId153" Type="http://schemas.openxmlformats.org/officeDocument/2006/relationships/hyperlink" Target="https://docs.google.com/spreadsheets/d/1st2xaha4J5HQju-84bXAIbwnEr8HoLmo_Nh7gefwYrE/edit" TargetMode="External"/><Relationship Id="rId274" Type="http://schemas.openxmlformats.org/officeDocument/2006/relationships/hyperlink" Target="https://docs.google.com/spreadsheets/d/1DNSk79ZSCBo_yQHv8TFJPXZC6lrZCyDXcT-k62Z6CY0/edit" TargetMode="External"/><Relationship Id="rId395" Type="http://schemas.openxmlformats.org/officeDocument/2006/relationships/hyperlink" Target="https://docs.google.com/spreadsheets/d/1-rDuDN6kJtf1Q_cmmTmT8A55PSX7yYIanp3P-doeHgA/edit" TargetMode="External"/><Relationship Id="rId152" Type="http://schemas.openxmlformats.org/officeDocument/2006/relationships/hyperlink" Target="https://docs.google.com/spreadsheets/d/1st2xaha4J5HQju-84bXAIbwnEr8HoLmo_Nh7gefwYrE/edit" TargetMode="External"/><Relationship Id="rId273" Type="http://schemas.openxmlformats.org/officeDocument/2006/relationships/hyperlink" Target="https://docs.google.com/spreadsheets/d/1DNSk79ZSCBo_yQHv8TFJPXZC6lrZCyDXcT-k62Z6CY0/edit" TargetMode="External"/><Relationship Id="rId394" Type="http://schemas.openxmlformats.org/officeDocument/2006/relationships/hyperlink" Target="https://docs.google.com/spreadsheets/d/1-rDuDN6kJtf1Q_cmmTmT8A55PSX7yYIanp3P-doeHgA/edit" TargetMode="External"/><Relationship Id="rId151" Type="http://schemas.openxmlformats.org/officeDocument/2006/relationships/hyperlink" Target="https://docs.google.com/spreadsheets/d/1st2xaha4J5HQju-84bXAIbwnEr8HoLmo_Nh7gefwYrE/edit" TargetMode="External"/><Relationship Id="rId272" Type="http://schemas.openxmlformats.org/officeDocument/2006/relationships/hyperlink" Target="https://docs.google.com/spreadsheets/d/1DNSk79ZSCBo_yQHv8TFJPXZC6lrZCyDXcT-k62Z6CY0/edit" TargetMode="External"/><Relationship Id="rId393" Type="http://schemas.openxmlformats.org/officeDocument/2006/relationships/hyperlink" Target="https://docs.google.com/spreadsheets/d/1-rDuDN6kJtf1Q_cmmTmT8A55PSX7yYIanp3P-doeHgA/edit" TargetMode="External"/><Relationship Id="rId158" Type="http://schemas.openxmlformats.org/officeDocument/2006/relationships/hyperlink" Target="https://docs.google.com/spreadsheets/d/1st2xaha4J5HQju-84bXAIbwnEr8HoLmo_Nh7gefwYrE/edit" TargetMode="External"/><Relationship Id="rId279" Type="http://schemas.openxmlformats.org/officeDocument/2006/relationships/hyperlink" Target="https://docs.google.com/spreadsheets/d/1DNSk79ZSCBo_yQHv8TFJPXZC6lrZCyDXcT-k62Z6CY0/edit" TargetMode="External"/><Relationship Id="rId157" Type="http://schemas.openxmlformats.org/officeDocument/2006/relationships/hyperlink" Target="https://docs.google.com/spreadsheets/d/1st2xaha4J5HQju-84bXAIbwnEr8HoLmo_Nh7gefwYrE/edit" TargetMode="External"/><Relationship Id="rId278" Type="http://schemas.openxmlformats.org/officeDocument/2006/relationships/hyperlink" Target="https://docs.google.com/spreadsheets/d/1DNSk79ZSCBo_yQHv8TFJPXZC6lrZCyDXcT-k62Z6CY0/edit" TargetMode="External"/><Relationship Id="rId399" Type="http://schemas.openxmlformats.org/officeDocument/2006/relationships/hyperlink" Target="https://docs.google.com/spreadsheets/d/1-rDuDN6kJtf1Q_cmmTmT8A55PSX7yYIanp3P-doeHgA/edit" TargetMode="External"/><Relationship Id="rId156" Type="http://schemas.openxmlformats.org/officeDocument/2006/relationships/hyperlink" Target="https://docs.google.com/spreadsheets/d/1st2xaha4J5HQju-84bXAIbwnEr8HoLmo_Nh7gefwYrE/edit" TargetMode="External"/><Relationship Id="rId277" Type="http://schemas.openxmlformats.org/officeDocument/2006/relationships/hyperlink" Target="https://docs.google.com/spreadsheets/d/1DNSk79ZSCBo_yQHv8TFJPXZC6lrZCyDXcT-k62Z6CY0/edit" TargetMode="External"/><Relationship Id="rId398" Type="http://schemas.openxmlformats.org/officeDocument/2006/relationships/hyperlink" Target="https://docs.google.com/spreadsheets/d/1-rDuDN6kJtf1Q_cmmTmT8A55PSX7yYIanp3P-doeHgA/edit" TargetMode="External"/><Relationship Id="rId155" Type="http://schemas.openxmlformats.org/officeDocument/2006/relationships/hyperlink" Target="https://docs.google.com/spreadsheets/d/1st2xaha4J5HQju-84bXAIbwnEr8HoLmo_Nh7gefwYrE/edit" TargetMode="External"/><Relationship Id="rId276" Type="http://schemas.openxmlformats.org/officeDocument/2006/relationships/hyperlink" Target="https://docs.google.com/spreadsheets/d/1DNSk79ZSCBo_yQHv8TFJPXZC6lrZCyDXcT-k62Z6CY0/edit" TargetMode="External"/><Relationship Id="rId397" Type="http://schemas.openxmlformats.org/officeDocument/2006/relationships/hyperlink" Target="https://docs.google.com/spreadsheets/d/1-rDuDN6kJtf1Q_cmmTmT8A55PSX7yYIanp3P-doeHgA/edit" TargetMode="External"/><Relationship Id="rId40" Type="http://schemas.openxmlformats.org/officeDocument/2006/relationships/hyperlink" Target="https://docs.google.com/spreadsheets/d/1TKiEi51RIqUfNa3qT0DnDmc7L_thfqhwcfrkKVXwdgg/edit?gid=0" TargetMode="External"/><Relationship Id="rId42" Type="http://schemas.openxmlformats.org/officeDocument/2006/relationships/hyperlink" Target="https://docs.google.com/spreadsheets/d/1TKiEi51RIqUfNa3qT0DnDmc7L_thfqhwcfrkKVXwdgg/edit?gid=0" TargetMode="External"/><Relationship Id="rId41" Type="http://schemas.openxmlformats.org/officeDocument/2006/relationships/hyperlink" Target="https://docs.google.com/spreadsheets/d/1TKiEi51RIqUfNa3qT0DnDmc7L_thfqhwcfrkKVXwdgg/edit?gid=0" TargetMode="External"/><Relationship Id="rId44" Type="http://schemas.openxmlformats.org/officeDocument/2006/relationships/hyperlink" Target="https://docs.google.com/spreadsheets/d/1TKiEi51RIqUfNa3qT0DnDmc7L_thfqhwcfrkKVXwdgg/edit?gid=0" TargetMode="External"/><Relationship Id="rId43" Type="http://schemas.openxmlformats.org/officeDocument/2006/relationships/hyperlink" Target="https://docs.google.com/spreadsheets/d/1TKiEi51RIqUfNa3qT0DnDmc7L_thfqhwcfrkKVXwdgg/edit?gid=0" TargetMode="External"/><Relationship Id="rId46" Type="http://schemas.openxmlformats.org/officeDocument/2006/relationships/hyperlink" Target="https://docs.google.com/spreadsheets/d/1TKiEi51RIqUfNa3qT0DnDmc7L_thfqhwcfrkKVXwdgg/edit?gid=0" TargetMode="External"/><Relationship Id="rId45" Type="http://schemas.openxmlformats.org/officeDocument/2006/relationships/hyperlink" Target="https://docs.google.com/spreadsheets/d/1TKiEi51RIqUfNa3qT0DnDmc7L_thfqhwcfrkKVXwdgg/edit?gid=0" TargetMode="External"/><Relationship Id="rId509" Type="http://schemas.openxmlformats.org/officeDocument/2006/relationships/hyperlink" Target="https://docs.google.com/spreadsheets/d/1q2r2cEyzSuPLc4YHXX2wCz8XM0xwNJOeZ0KVUyiyfzU/edit?gid=372291483" TargetMode="External"/><Relationship Id="rId508" Type="http://schemas.openxmlformats.org/officeDocument/2006/relationships/hyperlink" Target="https://docs.google.com/spreadsheets/d/1OkyvF97_tP1trFNqpnK51IP-g1CoQZ53GueewINSIkE/edit?gid=0" TargetMode="External"/><Relationship Id="rId503" Type="http://schemas.openxmlformats.org/officeDocument/2006/relationships/hyperlink" Target="https://docs.google.com/spreadsheets/d/1OkyvF97_tP1trFNqpnK51IP-g1CoQZ53GueewINSIkE/edit?gid=0" TargetMode="External"/><Relationship Id="rId502" Type="http://schemas.openxmlformats.org/officeDocument/2006/relationships/hyperlink" Target="https://docs.google.com/spreadsheets/d/1OkyvF97_tP1trFNqpnK51IP-g1CoQZ53GueewINSIkE/edit?gid=0" TargetMode="External"/><Relationship Id="rId501" Type="http://schemas.openxmlformats.org/officeDocument/2006/relationships/hyperlink" Target="https://docs.google.com/spreadsheets/d/1OkyvF97_tP1trFNqpnK51IP-g1CoQZ53GueewINSIkE/edit?gid=0" TargetMode="External"/><Relationship Id="rId500" Type="http://schemas.openxmlformats.org/officeDocument/2006/relationships/hyperlink" Target="https://docs.google.com/spreadsheets/d/1OkyvF97_tP1trFNqpnK51IP-g1CoQZ53GueewINSIkE/edit?gid=0" TargetMode="External"/><Relationship Id="rId507" Type="http://schemas.openxmlformats.org/officeDocument/2006/relationships/hyperlink" Target="https://docs.google.com/spreadsheets/d/1OkyvF97_tP1trFNqpnK51IP-g1CoQZ53GueewINSIkE/edit?gid=0" TargetMode="External"/><Relationship Id="rId506" Type="http://schemas.openxmlformats.org/officeDocument/2006/relationships/hyperlink" Target="https://docs.google.com/spreadsheets/d/1OkyvF97_tP1trFNqpnK51IP-g1CoQZ53GueewINSIkE/edit?gid=0" TargetMode="External"/><Relationship Id="rId505" Type="http://schemas.openxmlformats.org/officeDocument/2006/relationships/hyperlink" Target="https://docs.google.com/spreadsheets/d/1OkyvF97_tP1trFNqpnK51IP-g1CoQZ53GueewINSIkE/edit?gid=0" TargetMode="External"/><Relationship Id="rId504" Type="http://schemas.openxmlformats.org/officeDocument/2006/relationships/hyperlink" Target="https://docs.google.com/spreadsheets/d/1OkyvF97_tP1trFNqpnK51IP-g1CoQZ53GueewINSIkE/edit?gid=0" TargetMode="External"/><Relationship Id="rId48" Type="http://schemas.openxmlformats.org/officeDocument/2006/relationships/hyperlink" Target="https://docs.google.com/spreadsheets/d/1TKiEi51RIqUfNa3qT0DnDmc7L_thfqhwcfrkKVXwdgg/edit?gid=0" TargetMode="External"/><Relationship Id="rId47" Type="http://schemas.openxmlformats.org/officeDocument/2006/relationships/hyperlink" Target="https://docs.google.com/spreadsheets/d/1TKiEi51RIqUfNa3qT0DnDmc7L_thfqhwcfrkKVXwdgg/edit?gid=0" TargetMode="External"/><Relationship Id="rId49" Type="http://schemas.openxmlformats.org/officeDocument/2006/relationships/hyperlink" Target="https://docs.google.com/spreadsheets/d/1TKiEi51RIqUfNa3qT0DnDmc7L_thfqhwcfrkKVXwdgg/edit?gid=0" TargetMode="External"/><Relationship Id="rId31" Type="http://schemas.openxmlformats.org/officeDocument/2006/relationships/hyperlink" Target="https://docs.google.com/spreadsheets/d/1TKiEi51RIqUfNa3qT0DnDmc7L_thfqhwcfrkKVXwdgg/edit?gid=0" TargetMode="External"/><Relationship Id="rId30" Type="http://schemas.openxmlformats.org/officeDocument/2006/relationships/hyperlink" Target="https://docs.google.com/spreadsheets/d/1TKiEi51RIqUfNa3qT0DnDmc7L_thfqhwcfrkKVXwdgg/edit?gid=0" TargetMode="External"/><Relationship Id="rId33" Type="http://schemas.openxmlformats.org/officeDocument/2006/relationships/hyperlink" Target="https://docs.google.com/spreadsheets/d/1TKiEi51RIqUfNa3qT0DnDmc7L_thfqhwcfrkKVXwdgg/edit?gid=0" TargetMode="External"/><Relationship Id="rId32" Type="http://schemas.openxmlformats.org/officeDocument/2006/relationships/hyperlink" Target="https://docs.google.com/spreadsheets/d/1TKiEi51RIqUfNa3qT0DnDmc7L_thfqhwcfrkKVXwdgg/edit?gid=0" TargetMode="External"/><Relationship Id="rId35" Type="http://schemas.openxmlformats.org/officeDocument/2006/relationships/hyperlink" Target="https://docs.google.com/spreadsheets/d/1TKiEi51RIqUfNa3qT0DnDmc7L_thfqhwcfrkKVXwdgg/edit?gid=0" TargetMode="External"/><Relationship Id="rId34" Type="http://schemas.openxmlformats.org/officeDocument/2006/relationships/hyperlink" Target="https://docs.google.com/spreadsheets/d/1TKiEi51RIqUfNa3qT0DnDmc7L_thfqhwcfrkKVXwdgg/edit?gid=0" TargetMode="External"/><Relationship Id="rId37" Type="http://schemas.openxmlformats.org/officeDocument/2006/relationships/hyperlink" Target="https://docs.google.com/spreadsheets/d/1TKiEi51RIqUfNa3qT0DnDmc7L_thfqhwcfrkKVXwdgg/edit?gid=0" TargetMode="External"/><Relationship Id="rId36" Type="http://schemas.openxmlformats.org/officeDocument/2006/relationships/hyperlink" Target="https://docs.google.com/spreadsheets/d/1TKiEi51RIqUfNa3qT0DnDmc7L_thfqhwcfrkKVXwdgg/edit?gid=0" TargetMode="External"/><Relationship Id="rId39" Type="http://schemas.openxmlformats.org/officeDocument/2006/relationships/hyperlink" Target="https://docs.google.com/spreadsheets/d/1TKiEi51RIqUfNa3qT0DnDmc7L_thfqhwcfrkKVXwdgg/edit?gid=0" TargetMode="External"/><Relationship Id="rId38" Type="http://schemas.openxmlformats.org/officeDocument/2006/relationships/hyperlink" Target="https://docs.google.com/spreadsheets/d/1TKiEi51RIqUfNa3qT0DnDmc7L_thfqhwcfrkKVXwdgg/edit?gid=0" TargetMode="External"/><Relationship Id="rId20" Type="http://schemas.openxmlformats.org/officeDocument/2006/relationships/hyperlink" Target="https://docs.google.com/spreadsheets/d/1TKiEi51RIqUfNa3qT0DnDmc7L_thfqhwcfrkKVXwdgg/edit?gid=0" TargetMode="External"/><Relationship Id="rId22" Type="http://schemas.openxmlformats.org/officeDocument/2006/relationships/hyperlink" Target="https://docs.google.com/spreadsheets/d/1TKiEi51RIqUfNa3qT0DnDmc7L_thfqhwcfrkKVXwdgg/edit?gid=0" TargetMode="External"/><Relationship Id="rId21" Type="http://schemas.openxmlformats.org/officeDocument/2006/relationships/hyperlink" Target="https://docs.google.com/spreadsheets/d/1TKiEi51RIqUfNa3qT0DnDmc7L_thfqhwcfrkKVXwdgg/edit?gid=0" TargetMode="External"/><Relationship Id="rId24" Type="http://schemas.openxmlformats.org/officeDocument/2006/relationships/hyperlink" Target="https://docs.google.com/spreadsheets/d/1TKiEi51RIqUfNa3qT0DnDmc7L_thfqhwcfrkKVXwdgg/edit?gid=0" TargetMode="External"/><Relationship Id="rId23" Type="http://schemas.openxmlformats.org/officeDocument/2006/relationships/hyperlink" Target="https://docs.google.com/spreadsheets/d/1TKiEi51RIqUfNa3qT0DnDmc7L_thfqhwcfrkKVXwdgg/edit?gid=0" TargetMode="External"/><Relationship Id="rId409" Type="http://schemas.openxmlformats.org/officeDocument/2006/relationships/hyperlink" Target="https://docs.google.com/spreadsheets/d/1bgQIuU_qPkg2atbEejkZoTP5Nlx4jbONCIOc_VnfUkM/edit?gid=0" TargetMode="External"/><Relationship Id="rId404" Type="http://schemas.openxmlformats.org/officeDocument/2006/relationships/hyperlink" Target="https://docs.google.com/spreadsheets/d/1bgQIuU_qPkg2atbEejkZoTP5Nlx4jbONCIOc_VnfUkM/edit?gid=0" TargetMode="External"/><Relationship Id="rId525" Type="http://schemas.openxmlformats.org/officeDocument/2006/relationships/hyperlink" Target="https://docs.google.com/spreadsheets/d/1q2r2cEyzSuPLc4YHXX2wCz8XM0xwNJOeZ0KVUyiyfzU/edit?gid=372291483" TargetMode="External"/><Relationship Id="rId403" Type="http://schemas.openxmlformats.org/officeDocument/2006/relationships/hyperlink" Target="https://docs.google.com/spreadsheets/d/1-rDuDN6kJtf1Q_cmmTmT8A55PSX7yYIanp3P-doeHgA/edit" TargetMode="External"/><Relationship Id="rId524" Type="http://schemas.openxmlformats.org/officeDocument/2006/relationships/hyperlink" Target="https://docs.google.com/spreadsheets/d/1q2r2cEyzSuPLc4YHXX2wCz8XM0xwNJOeZ0KVUyiyfzU/edit?gid=372291483" TargetMode="External"/><Relationship Id="rId402" Type="http://schemas.openxmlformats.org/officeDocument/2006/relationships/hyperlink" Target="https://docs.google.com/spreadsheets/d/1-rDuDN6kJtf1Q_cmmTmT8A55PSX7yYIanp3P-doeHgA/edit" TargetMode="External"/><Relationship Id="rId523" Type="http://schemas.openxmlformats.org/officeDocument/2006/relationships/hyperlink" Target="https://docs.google.com/spreadsheets/d/1q2r2cEyzSuPLc4YHXX2wCz8XM0xwNJOeZ0KVUyiyfzU/edit?gid=372291483" TargetMode="External"/><Relationship Id="rId401" Type="http://schemas.openxmlformats.org/officeDocument/2006/relationships/hyperlink" Target="https://docs.google.com/spreadsheets/d/1-rDuDN6kJtf1Q_cmmTmT8A55PSX7yYIanp3P-doeHgA/edit" TargetMode="External"/><Relationship Id="rId522" Type="http://schemas.openxmlformats.org/officeDocument/2006/relationships/hyperlink" Target="https://docs.google.com/spreadsheets/d/1q2r2cEyzSuPLc4YHXX2wCz8XM0xwNJOeZ0KVUyiyfzU/edit?gid=372291483" TargetMode="External"/><Relationship Id="rId408" Type="http://schemas.openxmlformats.org/officeDocument/2006/relationships/hyperlink" Target="https://docs.google.com/spreadsheets/d/1bgQIuU_qPkg2atbEejkZoTP5Nlx4jbONCIOc_VnfUkM/edit?gid=0" TargetMode="External"/><Relationship Id="rId529" Type="http://schemas.openxmlformats.org/officeDocument/2006/relationships/hyperlink" Target="https://docs.google.com/spreadsheets/d/1q2r2cEyzSuPLc4YHXX2wCz8XM0xwNJOeZ0KVUyiyfzU/edit?gid=372291483" TargetMode="External"/><Relationship Id="rId407" Type="http://schemas.openxmlformats.org/officeDocument/2006/relationships/hyperlink" Target="https://docs.google.com/spreadsheets/d/1bgQIuU_qPkg2atbEejkZoTP5Nlx4jbONCIOc_VnfUkM/edit?gid=0" TargetMode="External"/><Relationship Id="rId528" Type="http://schemas.openxmlformats.org/officeDocument/2006/relationships/hyperlink" Target="https://docs.google.com/spreadsheets/d/1q2r2cEyzSuPLc4YHXX2wCz8XM0xwNJOeZ0KVUyiyfzU/edit?gid=372291483" TargetMode="External"/><Relationship Id="rId406" Type="http://schemas.openxmlformats.org/officeDocument/2006/relationships/hyperlink" Target="https://docs.google.com/spreadsheets/d/1bgQIuU_qPkg2atbEejkZoTP5Nlx4jbONCIOc_VnfUkM/edit?gid=0" TargetMode="External"/><Relationship Id="rId527" Type="http://schemas.openxmlformats.org/officeDocument/2006/relationships/hyperlink" Target="https://docs.google.com/spreadsheets/d/1q2r2cEyzSuPLc4YHXX2wCz8XM0xwNJOeZ0KVUyiyfzU/edit?gid=372291483" TargetMode="External"/><Relationship Id="rId405" Type="http://schemas.openxmlformats.org/officeDocument/2006/relationships/hyperlink" Target="https://docs.google.com/spreadsheets/d/1bgQIuU_qPkg2atbEejkZoTP5Nlx4jbONCIOc_VnfUkM/edit?gid=0" TargetMode="External"/><Relationship Id="rId526" Type="http://schemas.openxmlformats.org/officeDocument/2006/relationships/hyperlink" Target="https://docs.google.com/spreadsheets/d/1q2r2cEyzSuPLc4YHXX2wCz8XM0xwNJOeZ0KVUyiyfzU/edit?gid=372291483" TargetMode="External"/><Relationship Id="rId26" Type="http://schemas.openxmlformats.org/officeDocument/2006/relationships/hyperlink" Target="https://docs.google.com/spreadsheets/d/1TKiEi51RIqUfNa3qT0DnDmc7L_thfqhwcfrkKVXwdgg/edit?gid=0" TargetMode="External"/><Relationship Id="rId25" Type="http://schemas.openxmlformats.org/officeDocument/2006/relationships/hyperlink" Target="https://docs.google.com/spreadsheets/d/1TKiEi51RIqUfNa3qT0DnDmc7L_thfqhwcfrkKVXwdgg/edit?gid=0" TargetMode="External"/><Relationship Id="rId28" Type="http://schemas.openxmlformats.org/officeDocument/2006/relationships/hyperlink" Target="https://docs.google.com/spreadsheets/d/1TKiEi51RIqUfNa3qT0DnDmc7L_thfqhwcfrkKVXwdgg/edit?gid=0" TargetMode="External"/><Relationship Id="rId27" Type="http://schemas.openxmlformats.org/officeDocument/2006/relationships/hyperlink" Target="https://docs.google.com/spreadsheets/d/1TKiEi51RIqUfNa3qT0DnDmc7L_thfqhwcfrkKVXwdgg/edit?gid=0" TargetMode="External"/><Relationship Id="rId400" Type="http://schemas.openxmlformats.org/officeDocument/2006/relationships/hyperlink" Target="https://docs.google.com/spreadsheets/d/1-rDuDN6kJtf1Q_cmmTmT8A55PSX7yYIanp3P-doeHgA/edit" TargetMode="External"/><Relationship Id="rId521" Type="http://schemas.openxmlformats.org/officeDocument/2006/relationships/hyperlink" Target="https://docs.google.com/spreadsheets/d/1q2r2cEyzSuPLc4YHXX2wCz8XM0xwNJOeZ0KVUyiyfzU/edit?gid=372291483" TargetMode="External"/><Relationship Id="rId29" Type="http://schemas.openxmlformats.org/officeDocument/2006/relationships/hyperlink" Target="https://docs.google.com/spreadsheets/d/1TKiEi51RIqUfNa3qT0DnDmc7L_thfqhwcfrkKVXwdgg/edit?gid=0" TargetMode="External"/><Relationship Id="rId520" Type="http://schemas.openxmlformats.org/officeDocument/2006/relationships/hyperlink" Target="https://docs.google.com/spreadsheets/d/1q2r2cEyzSuPLc4YHXX2wCz8XM0xwNJOeZ0KVUyiyfzU/edit?gid=372291483" TargetMode="External"/><Relationship Id="rId11" Type="http://schemas.openxmlformats.org/officeDocument/2006/relationships/hyperlink" Target="https://docs.google.com/spreadsheets/d/1TKiEi51RIqUfNa3qT0DnDmc7L_thfqhwcfrkKVXwdgg/edit?gid=0" TargetMode="External"/><Relationship Id="rId10" Type="http://schemas.openxmlformats.org/officeDocument/2006/relationships/hyperlink" Target="https://docs.google.com/spreadsheets/d/1TKiEi51RIqUfNa3qT0DnDmc7L_thfqhwcfrkKVXwdgg/edit?gid=0" TargetMode="External"/><Relationship Id="rId13" Type="http://schemas.openxmlformats.org/officeDocument/2006/relationships/hyperlink" Target="https://docs.google.com/spreadsheets/d/1TKiEi51RIqUfNa3qT0DnDmc7L_thfqhwcfrkKVXwdgg/edit?gid=0" TargetMode="External"/><Relationship Id="rId12" Type="http://schemas.openxmlformats.org/officeDocument/2006/relationships/hyperlink" Target="https://docs.google.com/spreadsheets/d/1TKiEi51RIqUfNa3qT0DnDmc7L_thfqhwcfrkKVXwdgg/edit?gid=0" TargetMode="External"/><Relationship Id="rId519" Type="http://schemas.openxmlformats.org/officeDocument/2006/relationships/hyperlink" Target="https://docs.google.com/spreadsheets/d/1q2r2cEyzSuPLc4YHXX2wCz8XM0xwNJOeZ0KVUyiyfzU/edit?gid=372291483" TargetMode="External"/><Relationship Id="rId514" Type="http://schemas.openxmlformats.org/officeDocument/2006/relationships/hyperlink" Target="https://docs.google.com/spreadsheets/d/1q2r2cEyzSuPLc4YHXX2wCz8XM0xwNJOeZ0KVUyiyfzU/edit?gid=372291483" TargetMode="External"/><Relationship Id="rId513" Type="http://schemas.openxmlformats.org/officeDocument/2006/relationships/hyperlink" Target="https://docs.google.com/spreadsheets/d/1q2r2cEyzSuPLc4YHXX2wCz8XM0xwNJOeZ0KVUyiyfzU/edit?gid=372291483" TargetMode="External"/><Relationship Id="rId512" Type="http://schemas.openxmlformats.org/officeDocument/2006/relationships/hyperlink" Target="https://docs.google.com/spreadsheets/d/1q2r2cEyzSuPLc4YHXX2wCz8XM0xwNJOeZ0KVUyiyfzU/edit?gid=372291483" TargetMode="External"/><Relationship Id="rId511" Type="http://schemas.openxmlformats.org/officeDocument/2006/relationships/hyperlink" Target="https://docs.google.com/spreadsheets/d/1q2r2cEyzSuPLc4YHXX2wCz8XM0xwNJOeZ0KVUyiyfzU/edit?gid=372291483" TargetMode="External"/><Relationship Id="rId518" Type="http://schemas.openxmlformats.org/officeDocument/2006/relationships/hyperlink" Target="https://docs.google.com/spreadsheets/d/1q2r2cEyzSuPLc4YHXX2wCz8XM0xwNJOeZ0KVUyiyfzU/edit?gid=372291483" TargetMode="External"/><Relationship Id="rId517" Type="http://schemas.openxmlformats.org/officeDocument/2006/relationships/hyperlink" Target="https://docs.google.com/spreadsheets/d/1q2r2cEyzSuPLc4YHXX2wCz8XM0xwNJOeZ0KVUyiyfzU/edit?gid=372291483" TargetMode="External"/><Relationship Id="rId516" Type="http://schemas.openxmlformats.org/officeDocument/2006/relationships/hyperlink" Target="https://docs.google.com/spreadsheets/d/1q2r2cEyzSuPLc4YHXX2wCz8XM0xwNJOeZ0KVUyiyfzU/edit?gid=372291483" TargetMode="External"/><Relationship Id="rId515" Type="http://schemas.openxmlformats.org/officeDocument/2006/relationships/hyperlink" Target="https://docs.google.com/spreadsheets/d/1q2r2cEyzSuPLc4YHXX2wCz8XM0xwNJOeZ0KVUyiyfzU/edit?gid=372291483" TargetMode="External"/><Relationship Id="rId15" Type="http://schemas.openxmlformats.org/officeDocument/2006/relationships/hyperlink" Target="https://docs.google.com/spreadsheets/d/1TKiEi51RIqUfNa3qT0DnDmc7L_thfqhwcfrkKVXwdgg/edit?gid=0" TargetMode="External"/><Relationship Id="rId14" Type="http://schemas.openxmlformats.org/officeDocument/2006/relationships/hyperlink" Target="https://docs.google.com/spreadsheets/d/1TKiEi51RIqUfNa3qT0DnDmc7L_thfqhwcfrkKVXwdgg/edit?gid=0" TargetMode="External"/><Relationship Id="rId17" Type="http://schemas.openxmlformats.org/officeDocument/2006/relationships/hyperlink" Target="https://docs.google.com/spreadsheets/d/1TKiEi51RIqUfNa3qT0DnDmc7L_thfqhwcfrkKVXwdgg/edit?gid=0" TargetMode="External"/><Relationship Id="rId16" Type="http://schemas.openxmlformats.org/officeDocument/2006/relationships/hyperlink" Target="https://docs.google.com/spreadsheets/d/1TKiEi51RIqUfNa3qT0DnDmc7L_thfqhwcfrkKVXwdgg/edit?gid=0" TargetMode="External"/><Relationship Id="rId19" Type="http://schemas.openxmlformats.org/officeDocument/2006/relationships/hyperlink" Target="https://docs.google.com/spreadsheets/d/1TKiEi51RIqUfNa3qT0DnDmc7L_thfqhwcfrkKVXwdgg/edit?gid=0" TargetMode="External"/><Relationship Id="rId510" Type="http://schemas.openxmlformats.org/officeDocument/2006/relationships/hyperlink" Target="https://docs.google.com/spreadsheets/d/1q2r2cEyzSuPLc4YHXX2wCz8XM0xwNJOeZ0KVUyiyfzU/edit?gid=372291483" TargetMode="External"/><Relationship Id="rId18" Type="http://schemas.openxmlformats.org/officeDocument/2006/relationships/hyperlink" Target="https://docs.google.com/spreadsheets/d/1TKiEi51RIqUfNa3qT0DnDmc7L_thfqhwcfrkKVXwdgg/edit?gid=0" TargetMode="External"/><Relationship Id="rId84" Type="http://schemas.openxmlformats.org/officeDocument/2006/relationships/hyperlink" Target="https://docs.google.com/spreadsheets/d/18UbEYkqr91lzz72jr6j7k6fIA8yPcMGBBE-dC8Ufbvk/edit?gid=0" TargetMode="External"/><Relationship Id="rId83" Type="http://schemas.openxmlformats.org/officeDocument/2006/relationships/hyperlink" Target="https://docs.google.com/spreadsheets/d/18UbEYkqr91lzz72jr6j7k6fIA8yPcMGBBE-dC8Ufbvk/edit?gid=0" TargetMode="External"/><Relationship Id="rId86" Type="http://schemas.openxmlformats.org/officeDocument/2006/relationships/hyperlink" Target="https://docs.google.com/spreadsheets/d/18UbEYkqr91lzz72jr6j7k6fIA8yPcMGBBE-dC8Ufbvk/edit?gid=0" TargetMode="External"/><Relationship Id="rId85" Type="http://schemas.openxmlformats.org/officeDocument/2006/relationships/hyperlink" Target="https://docs.google.com/spreadsheets/d/18UbEYkqr91lzz72jr6j7k6fIA8yPcMGBBE-dC8Ufbvk/edit?gid=0" TargetMode="External"/><Relationship Id="rId88" Type="http://schemas.openxmlformats.org/officeDocument/2006/relationships/hyperlink" Target="https://docs.google.com/spreadsheets/d/18UbEYkqr91lzz72jr6j7k6fIA8yPcMGBBE-dC8Ufbvk/edit?gid=0" TargetMode="External"/><Relationship Id="rId87" Type="http://schemas.openxmlformats.org/officeDocument/2006/relationships/hyperlink" Target="https://docs.google.com/spreadsheets/d/18UbEYkqr91lzz72jr6j7k6fIA8yPcMGBBE-dC8Ufbvk/edit?gid=0" TargetMode="External"/><Relationship Id="rId89" Type="http://schemas.openxmlformats.org/officeDocument/2006/relationships/hyperlink" Target="https://docs.google.com/spreadsheets/d/18UbEYkqr91lzz72jr6j7k6fIA8yPcMGBBE-dC8Ufbvk/edit?gid=0" TargetMode="External"/><Relationship Id="rId80" Type="http://schemas.openxmlformats.org/officeDocument/2006/relationships/hyperlink" Target="https://docs.google.com/spreadsheets/d/18UbEYkqr91lzz72jr6j7k6fIA8yPcMGBBE-dC8Ufbvk/edit?gid=0" TargetMode="External"/><Relationship Id="rId82" Type="http://schemas.openxmlformats.org/officeDocument/2006/relationships/hyperlink" Target="https://docs.google.com/spreadsheets/d/18UbEYkqr91lzz72jr6j7k6fIA8yPcMGBBE-dC8Ufbvk/edit?gid=0" TargetMode="External"/><Relationship Id="rId81" Type="http://schemas.openxmlformats.org/officeDocument/2006/relationships/hyperlink" Target="https://docs.google.com/spreadsheets/d/18UbEYkqr91lzz72jr6j7k6fIA8yPcMGBBE-dC8Ufbvk/edit?gid=0" TargetMode="External"/><Relationship Id="rId73" Type="http://schemas.openxmlformats.org/officeDocument/2006/relationships/hyperlink" Target="https://docs.google.com/spreadsheets/d/1SvyUZO3N8anT8fJBDi7fSjdh7b-ASv0xlfqQ6ez5CFU/edit?gid=1592941197" TargetMode="External"/><Relationship Id="rId72" Type="http://schemas.openxmlformats.org/officeDocument/2006/relationships/hyperlink" Target="https://docs.google.com/spreadsheets/d/1SvyUZO3N8anT8fJBDi7fSjdh7b-ASv0xlfqQ6ez5CFU/edit?gid=1592941197" TargetMode="External"/><Relationship Id="rId75" Type="http://schemas.openxmlformats.org/officeDocument/2006/relationships/hyperlink" Target="https://docs.google.com/spreadsheets/d/1SvyUZO3N8anT8fJBDi7fSjdh7b-ASv0xlfqQ6ez5CFU/edit?gid=1592941197" TargetMode="External"/><Relationship Id="rId74" Type="http://schemas.openxmlformats.org/officeDocument/2006/relationships/hyperlink" Target="https://docs.google.com/spreadsheets/d/1SvyUZO3N8anT8fJBDi7fSjdh7b-ASv0xlfqQ6ez5CFU/edit?gid=1592941197" TargetMode="External"/><Relationship Id="rId77" Type="http://schemas.openxmlformats.org/officeDocument/2006/relationships/hyperlink" Target="https://docs.google.com/spreadsheets/d/1SvyUZO3N8anT8fJBDi7fSjdh7b-ASv0xlfqQ6ez5CFU/edit?gid=1592941197" TargetMode="External"/><Relationship Id="rId76" Type="http://schemas.openxmlformats.org/officeDocument/2006/relationships/hyperlink" Target="https://docs.google.com/spreadsheets/d/1SvyUZO3N8anT8fJBDi7fSjdh7b-ASv0xlfqQ6ez5CFU/edit?gid=1592941197" TargetMode="External"/><Relationship Id="rId79" Type="http://schemas.openxmlformats.org/officeDocument/2006/relationships/hyperlink" Target="https://docs.google.com/spreadsheets/d/18UbEYkqr91lzz72jr6j7k6fIA8yPcMGBBE-dC8Ufbvk/edit?gid=0" TargetMode="External"/><Relationship Id="rId78" Type="http://schemas.openxmlformats.org/officeDocument/2006/relationships/hyperlink" Target="https://docs.google.com/spreadsheets/d/1SvyUZO3N8anT8fJBDi7fSjdh7b-ASv0xlfqQ6ez5CFU/edit?gid=1592941197" TargetMode="External"/><Relationship Id="rId71" Type="http://schemas.openxmlformats.org/officeDocument/2006/relationships/hyperlink" Target="https://docs.google.com/spreadsheets/d/1SvyUZO3N8anT8fJBDi7fSjdh7b-ASv0xlfqQ6ez5CFU/edit?gid=1592941197" TargetMode="External"/><Relationship Id="rId70" Type="http://schemas.openxmlformats.org/officeDocument/2006/relationships/hyperlink" Target="https://docs.google.com/spreadsheets/d/1SvyUZO3N8anT8fJBDi7fSjdh7b-ASv0xlfqQ6ez5CFU/edit?gid=1592941197" TargetMode="External"/><Relationship Id="rId62" Type="http://schemas.openxmlformats.org/officeDocument/2006/relationships/hyperlink" Target="https://docs.google.com/spreadsheets/d/1SvyUZO3N8anT8fJBDi7fSjdh7b-ASv0xlfqQ6ez5CFU/edit?gid=1592941197" TargetMode="External"/><Relationship Id="rId61" Type="http://schemas.openxmlformats.org/officeDocument/2006/relationships/hyperlink" Target="https://docs.google.com/spreadsheets/d/1SvyUZO3N8anT8fJBDi7fSjdh7b-ASv0xlfqQ6ez5CFU/edit?gid=1592941197" TargetMode="External"/><Relationship Id="rId64" Type="http://schemas.openxmlformats.org/officeDocument/2006/relationships/hyperlink" Target="https://docs.google.com/spreadsheets/d/1SvyUZO3N8anT8fJBDi7fSjdh7b-ASv0xlfqQ6ez5CFU/edit?gid=1592941197" TargetMode="External"/><Relationship Id="rId63" Type="http://schemas.openxmlformats.org/officeDocument/2006/relationships/hyperlink" Target="https://docs.google.com/spreadsheets/d/1SvyUZO3N8anT8fJBDi7fSjdh7b-ASv0xlfqQ6ez5CFU/edit?gid=1592941197" TargetMode="External"/><Relationship Id="rId66" Type="http://schemas.openxmlformats.org/officeDocument/2006/relationships/hyperlink" Target="https://docs.google.com/spreadsheets/d/1SvyUZO3N8anT8fJBDi7fSjdh7b-ASv0xlfqQ6ez5CFU/edit?gid=1592941197" TargetMode="External"/><Relationship Id="rId65" Type="http://schemas.openxmlformats.org/officeDocument/2006/relationships/hyperlink" Target="https://docs.google.com/spreadsheets/d/1SvyUZO3N8anT8fJBDi7fSjdh7b-ASv0xlfqQ6ez5CFU/edit?gid=1592941197" TargetMode="External"/><Relationship Id="rId68" Type="http://schemas.openxmlformats.org/officeDocument/2006/relationships/hyperlink" Target="https://docs.google.com/spreadsheets/d/1SvyUZO3N8anT8fJBDi7fSjdh7b-ASv0xlfqQ6ez5CFU/edit?gid=1592941197" TargetMode="External"/><Relationship Id="rId67" Type="http://schemas.openxmlformats.org/officeDocument/2006/relationships/hyperlink" Target="https://docs.google.com/spreadsheets/d/1SvyUZO3N8anT8fJBDi7fSjdh7b-ASv0xlfqQ6ez5CFU/edit?gid=1592941197" TargetMode="External"/><Relationship Id="rId60" Type="http://schemas.openxmlformats.org/officeDocument/2006/relationships/hyperlink" Target="https://docs.google.com/spreadsheets/d/1SvyUZO3N8anT8fJBDi7fSjdh7b-ASv0xlfqQ6ez5CFU/edit?gid=1592941197" TargetMode="External"/><Relationship Id="rId69" Type="http://schemas.openxmlformats.org/officeDocument/2006/relationships/hyperlink" Target="https://docs.google.com/spreadsheets/d/1SvyUZO3N8anT8fJBDi7fSjdh7b-ASv0xlfqQ6ez5CFU/edit?gid=1592941197" TargetMode="External"/><Relationship Id="rId51" Type="http://schemas.openxmlformats.org/officeDocument/2006/relationships/hyperlink" Target="https://docs.google.com/spreadsheets/d/1TKiEi51RIqUfNa3qT0DnDmc7L_thfqhwcfrkKVXwdgg/edit?gid=0" TargetMode="External"/><Relationship Id="rId50" Type="http://schemas.openxmlformats.org/officeDocument/2006/relationships/hyperlink" Target="https://docs.google.com/spreadsheets/d/1TKiEi51RIqUfNa3qT0DnDmc7L_thfqhwcfrkKVXwdgg/edit?gid=0" TargetMode="External"/><Relationship Id="rId53" Type="http://schemas.openxmlformats.org/officeDocument/2006/relationships/hyperlink" Target="https://docs.google.com/spreadsheets/d/1TKiEi51RIqUfNa3qT0DnDmc7L_thfqhwcfrkKVXwdgg/edit?gid=0" TargetMode="External"/><Relationship Id="rId52" Type="http://schemas.openxmlformats.org/officeDocument/2006/relationships/hyperlink" Target="https://docs.google.com/spreadsheets/d/1TKiEi51RIqUfNa3qT0DnDmc7L_thfqhwcfrkKVXwdgg/edit?gid=0" TargetMode="External"/><Relationship Id="rId55" Type="http://schemas.openxmlformats.org/officeDocument/2006/relationships/hyperlink" Target="https://docs.google.com/spreadsheets/d/1SvyUZO3N8anT8fJBDi7fSjdh7b-ASv0xlfqQ6ez5CFU/edit?gid=1592941197" TargetMode="External"/><Relationship Id="rId54" Type="http://schemas.openxmlformats.org/officeDocument/2006/relationships/hyperlink" Target="https://docs.google.com/spreadsheets/d/1SvyUZO3N8anT8fJBDi7fSjdh7b-ASv0xlfqQ6ez5CFU/edit?gid=1592941197" TargetMode="External"/><Relationship Id="rId57" Type="http://schemas.openxmlformats.org/officeDocument/2006/relationships/hyperlink" Target="https://docs.google.com/spreadsheets/d/1SvyUZO3N8anT8fJBDi7fSjdh7b-ASv0xlfqQ6ez5CFU/edit?gid=1592941197" TargetMode="External"/><Relationship Id="rId56" Type="http://schemas.openxmlformats.org/officeDocument/2006/relationships/hyperlink" Target="https://docs.google.com/spreadsheets/d/1SvyUZO3N8anT8fJBDi7fSjdh7b-ASv0xlfqQ6ez5CFU/edit?gid=1592941197" TargetMode="External"/><Relationship Id="rId59" Type="http://schemas.openxmlformats.org/officeDocument/2006/relationships/hyperlink" Target="https://docs.google.com/spreadsheets/d/1SvyUZO3N8anT8fJBDi7fSjdh7b-ASv0xlfqQ6ez5CFU/edit?gid=1592941197" TargetMode="External"/><Relationship Id="rId58" Type="http://schemas.openxmlformats.org/officeDocument/2006/relationships/hyperlink" Target="https://docs.google.com/spreadsheets/d/1SvyUZO3N8anT8fJBDi7fSjdh7b-ASv0xlfqQ6ez5CFU/edit?gid=1592941197" TargetMode="External"/><Relationship Id="rId107" Type="http://schemas.openxmlformats.org/officeDocument/2006/relationships/hyperlink" Target="https://docs.google.com/spreadsheets/d/18UbEYkqr91lzz72jr6j7k6fIA8yPcMGBBE-dC8Ufbvk/edit?gid=1592941197" TargetMode="External"/><Relationship Id="rId228" Type="http://schemas.openxmlformats.org/officeDocument/2006/relationships/hyperlink" Target="https://docs.google.com/spreadsheets/d/11xey1kDgHVJ3wqxPdDd_Me52kF6lZKZjSWbChA6HdGg/edit?usp=drive_link" TargetMode="External"/><Relationship Id="rId349" Type="http://schemas.openxmlformats.org/officeDocument/2006/relationships/hyperlink" Target="https://docs.google.com/spreadsheets/d/1GqrGuSGjizGblZ0rh0hIQXMpIxzeIU-DWM5qlKNIgqw/edit" TargetMode="External"/><Relationship Id="rId106" Type="http://schemas.openxmlformats.org/officeDocument/2006/relationships/hyperlink" Target="https://docs.google.com/spreadsheets/d/18UbEYkqr91lzz72jr6j7k6fIA8yPcMGBBE-dC8Ufbvk/edit?gid=1592941197" TargetMode="External"/><Relationship Id="rId227" Type="http://schemas.openxmlformats.org/officeDocument/2006/relationships/hyperlink" Target="https://docs.google.com/spreadsheets/d/1Ls9_EVcoDPWo7WZE_t7eLIKMu-WF3FCCPubN6FOieGQ/edit" TargetMode="External"/><Relationship Id="rId348" Type="http://schemas.openxmlformats.org/officeDocument/2006/relationships/hyperlink" Target="https://docs.google.com/spreadsheets/d/1GqrGuSGjizGblZ0rh0hIQXMpIxzeIU-DWM5qlKNIgqw/edit" TargetMode="External"/><Relationship Id="rId469" Type="http://schemas.openxmlformats.org/officeDocument/2006/relationships/hyperlink" Target="https://docs.google.com/spreadsheets/d/1OkyvF97_tP1trFNqpnK51IP-g1CoQZ53GueewINSIkE/edit?gid=0" TargetMode="External"/><Relationship Id="rId105" Type="http://schemas.openxmlformats.org/officeDocument/2006/relationships/hyperlink" Target="https://docs.google.com/spreadsheets/d/18UbEYkqr91lzz72jr6j7k6fIA8yPcMGBBE-dC8Ufbvk/edit?gid=1592941197" TargetMode="External"/><Relationship Id="rId226" Type="http://schemas.openxmlformats.org/officeDocument/2006/relationships/hyperlink" Target="https://docs.google.com/spreadsheets/d/1Ls9_EVcoDPWo7WZE_t7eLIKMu-WF3FCCPubN6FOieGQ/edit" TargetMode="External"/><Relationship Id="rId347" Type="http://schemas.openxmlformats.org/officeDocument/2006/relationships/hyperlink" Target="https://docs.google.com/spreadsheets/d/1GqrGuSGjizGblZ0rh0hIQXMpIxzeIU-DWM5qlKNIgqw/edit" TargetMode="External"/><Relationship Id="rId468" Type="http://schemas.openxmlformats.org/officeDocument/2006/relationships/hyperlink" Target="https://docs.google.com/spreadsheets/d/1OkyvF97_tP1trFNqpnK51IP-g1CoQZ53GueewINSIkE/edit?gid=0" TargetMode="External"/><Relationship Id="rId104" Type="http://schemas.openxmlformats.org/officeDocument/2006/relationships/hyperlink" Target="https://docs.google.com/spreadsheets/d/18UbEYkqr91lzz72jr6j7k6fIA8yPcMGBBE-dC8Ufbvk/edit?gid=1592941197" TargetMode="External"/><Relationship Id="rId225" Type="http://schemas.openxmlformats.org/officeDocument/2006/relationships/hyperlink" Target="https://docs.google.com/spreadsheets/d/1Ls9_EVcoDPWo7WZE_t7eLIKMu-WF3FCCPubN6FOieGQ/edit" TargetMode="External"/><Relationship Id="rId346" Type="http://schemas.openxmlformats.org/officeDocument/2006/relationships/hyperlink" Target="https://docs.google.com/spreadsheets/d/1GqrGuSGjizGblZ0rh0hIQXMpIxzeIU-DWM5qlKNIgqw/edit" TargetMode="External"/><Relationship Id="rId467" Type="http://schemas.openxmlformats.org/officeDocument/2006/relationships/hyperlink" Target="https://docs.google.com/spreadsheets/d/1OkyvF97_tP1trFNqpnK51IP-g1CoQZ53GueewINSIkE/edit?gid=0" TargetMode="External"/><Relationship Id="rId109" Type="http://schemas.openxmlformats.org/officeDocument/2006/relationships/hyperlink" Target="https://docs.google.com/spreadsheets/d/1sWLb9C9Jfoo2BIZj1kw8p_vGxXYZC0T0IQCNq5VpHQI/edit?gid=0" TargetMode="External"/><Relationship Id="rId108" Type="http://schemas.openxmlformats.org/officeDocument/2006/relationships/hyperlink" Target="https://docs.google.com/spreadsheets/d/18UbEYkqr91lzz72jr6j7k6fIA8yPcMGBBE-dC8Ufbvk/edit?gid=1592941197" TargetMode="External"/><Relationship Id="rId229" Type="http://schemas.openxmlformats.org/officeDocument/2006/relationships/hyperlink" Target="https://docs.google.com/spreadsheets/d/11xey1kDgHVJ3wqxPdDd_Me52kF6lZKZjSWbChA6HdGg/edit?usp=drive_link" TargetMode="External"/><Relationship Id="rId220" Type="http://schemas.openxmlformats.org/officeDocument/2006/relationships/hyperlink" Target="https://docs.google.com/spreadsheets/d/1Ls9_EVcoDPWo7WZE_t7eLIKMu-WF3FCCPubN6FOieGQ/edit" TargetMode="External"/><Relationship Id="rId341" Type="http://schemas.openxmlformats.org/officeDocument/2006/relationships/hyperlink" Target="https://docs.google.com/spreadsheets/d/1GqrGuSGjizGblZ0rh0hIQXMpIxzeIU-DWM5qlKNIgqw/edit" TargetMode="External"/><Relationship Id="rId462" Type="http://schemas.openxmlformats.org/officeDocument/2006/relationships/hyperlink" Target="https://docs.google.com/spreadsheets/d/1misMTk2lUTVNYS1dD2HmsHTualxp80w24XJKulurDME/edit?gid=0" TargetMode="External"/><Relationship Id="rId340" Type="http://schemas.openxmlformats.org/officeDocument/2006/relationships/hyperlink" Target="https://docs.google.com/spreadsheets/d/1GqrGuSGjizGblZ0rh0hIQXMpIxzeIU-DWM5qlKNIgqw/edit" TargetMode="External"/><Relationship Id="rId461" Type="http://schemas.openxmlformats.org/officeDocument/2006/relationships/hyperlink" Target="https://docs.google.com/spreadsheets/d/1misMTk2lUTVNYS1dD2HmsHTualxp80w24XJKulurDME/edit?gid=0" TargetMode="External"/><Relationship Id="rId460" Type="http://schemas.openxmlformats.org/officeDocument/2006/relationships/hyperlink" Target="https://docs.google.com/spreadsheets/d/1misMTk2lUTVNYS1dD2HmsHTualxp80w24XJKulurDME/edit?gid=0" TargetMode="External"/><Relationship Id="rId103" Type="http://schemas.openxmlformats.org/officeDocument/2006/relationships/hyperlink" Target="https://docs.google.com/spreadsheets/d/18UbEYkqr91lzz72jr6j7k6fIA8yPcMGBBE-dC8Ufbvk/edit?gid=1592941197" TargetMode="External"/><Relationship Id="rId224" Type="http://schemas.openxmlformats.org/officeDocument/2006/relationships/hyperlink" Target="https://docs.google.com/spreadsheets/d/1Ls9_EVcoDPWo7WZE_t7eLIKMu-WF3FCCPubN6FOieGQ/edit" TargetMode="External"/><Relationship Id="rId345" Type="http://schemas.openxmlformats.org/officeDocument/2006/relationships/hyperlink" Target="https://docs.google.com/spreadsheets/d/1GqrGuSGjizGblZ0rh0hIQXMpIxzeIU-DWM5qlKNIgqw/edit" TargetMode="External"/><Relationship Id="rId466" Type="http://schemas.openxmlformats.org/officeDocument/2006/relationships/hyperlink" Target="https://docs.google.com/spreadsheets/d/1OkyvF97_tP1trFNqpnK51IP-g1CoQZ53GueewINSIkE/edit?gid=0" TargetMode="External"/><Relationship Id="rId102" Type="http://schemas.openxmlformats.org/officeDocument/2006/relationships/hyperlink" Target="https://docs.google.com/spreadsheets/d/18UbEYkqr91lzz72jr6j7k6fIA8yPcMGBBE-dC8Ufbvk/edit?gid=1592941197" TargetMode="External"/><Relationship Id="rId223" Type="http://schemas.openxmlformats.org/officeDocument/2006/relationships/hyperlink" Target="https://docs.google.com/spreadsheets/d/1Ls9_EVcoDPWo7WZE_t7eLIKMu-WF3FCCPubN6FOieGQ/edit" TargetMode="External"/><Relationship Id="rId344" Type="http://schemas.openxmlformats.org/officeDocument/2006/relationships/hyperlink" Target="https://docs.google.com/spreadsheets/d/1GqrGuSGjizGblZ0rh0hIQXMpIxzeIU-DWM5qlKNIgqw/edit" TargetMode="External"/><Relationship Id="rId465" Type="http://schemas.openxmlformats.org/officeDocument/2006/relationships/hyperlink" Target="https://docs.google.com/spreadsheets/d/1OkyvF97_tP1trFNqpnK51IP-g1CoQZ53GueewINSIkE/edit?gid=0" TargetMode="External"/><Relationship Id="rId101" Type="http://schemas.openxmlformats.org/officeDocument/2006/relationships/hyperlink" Target="https://docs.google.com/spreadsheets/d/18UbEYkqr91lzz72jr6j7k6fIA8yPcMGBBE-dC8Ufbvk/edit?gid=1592941197" TargetMode="External"/><Relationship Id="rId222" Type="http://schemas.openxmlformats.org/officeDocument/2006/relationships/hyperlink" Target="https://docs.google.com/spreadsheets/d/1Ls9_EVcoDPWo7WZE_t7eLIKMu-WF3FCCPubN6FOieGQ/edit" TargetMode="External"/><Relationship Id="rId343" Type="http://schemas.openxmlformats.org/officeDocument/2006/relationships/hyperlink" Target="https://docs.google.com/spreadsheets/d/1GqrGuSGjizGblZ0rh0hIQXMpIxzeIU-DWM5qlKNIgqw/edit" TargetMode="External"/><Relationship Id="rId464" Type="http://schemas.openxmlformats.org/officeDocument/2006/relationships/hyperlink" Target="https://docs.google.com/spreadsheets/d/1misMTk2lUTVNYS1dD2HmsHTualxp80w24XJKulurDME/edit?gid=0" TargetMode="External"/><Relationship Id="rId100" Type="http://schemas.openxmlformats.org/officeDocument/2006/relationships/hyperlink" Target="https://docs.google.com/spreadsheets/d/18UbEYkqr91lzz72jr6j7k6fIA8yPcMGBBE-dC8Ufbvk/edit?gid=1592941197" TargetMode="External"/><Relationship Id="rId221" Type="http://schemas.openxmlformats.org/officeDocument/2006/relationships/hyperlink" Target="https://docs.google.com/spreadsheets/d/1Ls9_EVcoDPWo7WZE_t7eLIKMu-WF3FCCPubN6FOieGQ/edit" TargetMode="External"/><Relationship Id="rId342" Type="http://schemas.openxmlformats.org/officeDocument/2006/relationships/hyperlink" Target="https://docs.google.com/spreadsheets/d/1GqrGuSGjizGblZ0rh0hIQXMpIxzeIU-DWM5qlKNIgqw/edit" TargetMode="External"/><Relationship Id="rId463" Type="http://schemas.openxmlformats.org/officeDocument/2006/relationships/hyperlink" Target="https://docs.google.com/spreadsheets/d/1misMTk2lUTVNYS1dD2HmsHTualxp80w24XJKulurDME/edit?gid=0" TargetMode="External"/><Relationship Id="rId217" Type="http://schemas.openxmlformats.org/officeDocument/2006/relationships/hyperlink" Target="https://docs.google.com/spreadsheets/d/1Ls9_EVcoDPWo7WZE_t7eLIKMu-WF3FCCPubN6FOieGQ/edit" TargetMode="External"/><Relationship Id="rId338" Type="http://schemas.openxmlformats.org/officeDocument/2006/relationships/hyperlink" Target="https://docs.google.com/spreadsheets/d/16364A5vQj6zzXW9hxKKRWkjC8cshErw0DcvJe9bSI5s/edit?gid=0" TargetMode="External"/><Relationship Id="rId459" Type="http://schemas.openxmlformats.org/officeDocument/2006/relationships/hyperlink" Target="https://docs.google.com/spreadsheets/d/1misMTk2lUTVNYS1dD2HmsHTualxp80w24XJKulurDME/edit?gid=0" TargetMode="External"/><Relationship Id="rId216" Type="http://schemas.openxmlformats.org/officeDocument/2006/relationships/hyperlink" Target="https://docs.google.com/spreadsheets/d/1Ls9_EVcoDPWo7WZE_t7eLIKMu-WF3FCCPubN6FOieGQ/edit" TargetMode="External"/><Relationship Id="rId337" Type="http://schemas.openxmlformats.org/officeDocument/2006/relationships/hyperlink" Target="https://docs.google.com/spreadsheets/d/16364A5vQj6zzXW9hxKKRWkjC8cshErw0DcvJe9bSI5s/edit?gid=0" TargetMode="External"/><Relationship Id="rId458" Type="http://schemas.openxmlformats.org/officeDocument/2006/relationships/hyperlink" Target="https://docs.google.com/spreadsheets/d/1misMTk2lUTVNYS1dD2HmsHTualxp80w24XJKulurDME/edit?gid=0" TargetMode="External"/><Relationship Id="rId215" Type="http://schemas.openxmlformats.org/officeDocument/2006/relationships/hyperlink" Target="https://docs.google.com/spreadsheets/d/1Ls9_EVcoDPWo7WZE_t7eLIKMu-WF3FCCPubN6FOieGQ/edit" TargetMode="External"/><Relationship Id="rId336" Type="http://schemas.openxmlformats.org/officeDocument/2006/relationships/hyperlink" Target="https://docs.google.com/spreadsheets/d/16364A5vQj6zzXW9hxKKRWkjC8cshErw0DcvJe9bSI5s/edit?gid=0" TargetMode="External"/><Relationship Id="rId457" Type="http://schemas.openxmlformats.org/officeDocument/2006/relationships/hyperlink" Target="https://docs.google.com/spreadsheets/d/1misMTk2lUTVNYS1dD2HmsHTualxp80w24XJKulurDME/edit?gid=0" TargetMode="External"/><Relationship Id="rId214" Type="http://schemas.openxmlformats.org/officeDocument/2006/relationships/hyperlink" Target="https://docs.google.com/spreadsheets/d/1Ls9_EVcoDPWo7WZE_t7eLIKMu-WF3FCCPubN6FOieGQ/edit" TargetMode="External"/><Relationship Id="rId335" Type="http://schemas.openxmlformats.org/officeDocument/2006/relationships/hyperlink" Target="https://docs.google.com/spreadsheets/d/16364A5vQj6zzXW9hxKKRWkjC8cshErw0DcvJe9bSI5s/edit?gid=0" TargetMode="External"/><Relationship Id="rId456" Type="http://schemas.openxmlformats.org/officeDocument/2006/relationships/hyperlink" Target="https://docs.google.com/spreadsheets/d/1misMTk2lUTVNYS1dD2HmsHTualxp80w24XJKulurDME/edit?gid=0" TargetMode="External"/><Relationship Id="rId219" Type="http://schemas.openxmlformats.org/officeDocument/2006/relationships/hyperlink" Target="https://docs.google.com/spreadsheets/d/1Ls9_EVcoDPWo7WZE_t7eLIKMu-WF3FCCPubN6FOieGQ/edit" TargetMode="External"/><Relationship Id="rId218" Type="http://schemas.openxmlformats.org/officeDocument/2006/relationships/hyperlink" Target="https://docs.google.com/spreadsheets/d/1Ls9_EVcoDPWo7WZE_t7eLIKMu-WF3FCCPubN6FOieGQ/edit" TargetMode="External"/><Relationship Id="rId339" Type="http://schemas.openxmlformats.org/officeDocument/2006/relationships/hyperlink" Target="https://docs.google.com/spreadsheets/d/1GqrGuSGjizGblZ0rh0hIQXMpIxzeIU-DWM5qlKNIgqw/edit" TargetMode="External"/><Relationship Id="rId330" Type="http://schemas.openxmlformats.org/officeDocument/2006/relationships/hyperlink" Target="https://docs.google.com/spreadsheets/d/1KDY7rvYzLh2AmEhetkSjjudQ5onW_BSStDqRLzO9h3I/edit?gid=869132682" TargetMode="External"/><Relationship Id="rId451" Type="http://schemas.openxmlformats.org/officeDocument/2006/relationships/hyperlink" Target="https://docs.google.com/spreadsheets/d/1misMTk2lUTVNYS1dD2HmsHTualxp80w24XJKulurDME/edit?gid=0" TargetMode="External"/><Relationship Id="rId572" Type="http://schemas.openxmlformats.org/officeDocument/2006/relationships/hyperlink" Target="https://docs.google.com/spreadsheets/d/18TD2qCqJZr2v6T3jZt5l2KGGpnXROzGo6xWUbsulvok/edit?gid=0" TargetMode="External"/><Relationship Id="rId450" Type="http://schemas.openxmlformats.org/officeDocument/2006/relationships/hyperlink" Target="https://docs.google.com/spreadsheets/d/1misMTk2lUTVNYS1dD2HmsHTualxp80w24XJKulurDME/edit?gid=0" TargetMode="External"/><Relationship Id="rId571" Type="http://schemas.openxmlformats.org/officeDocument/2006/relationships/hyperlink" Target="https://docs.google.com/spreadsheets/d/18TD2qCqJZr2v6T3jZt5l2KGGpnXROzGo6xWUbsulvok/edit?gid=0" TargetMode="External"/><Relationship Id="rId570" Type="http://schemas.openxmlformats.org/officeDocument/2006/relationships/hyperlink" Target="https://docs.google.com/spreadsheets/d/18TD2qCqJZr2v6T3jZt5l2KGGpnXROzGo6xWUbsulvok/edit?gid=0" TargetMode="External"/><Relationship Id="rId213" Type="http://schemas.openxmlformats.org/officeDocument/2006/relationships/hyperlink" Target="https://docs.google.com/spreadsheets/d/1Ls9_EVcoDPWo7WZE_t7eLIKMu-WF3FCCPubN6FOieGQ/edit" TargetMode="External"/><Relationship Id="rId334" Type="http://schemas.openxmlformats.org/officeDocument/2006/relationships/hyperlink" Target="https://docs.google.com/spreadsheets/d/16364A5vQj6zzXW9hxKKRWkjC8cshErw0DcvJe9bSI5s/edit?gid=0" TargetMode="External"/><Relationship Id="rId455" Type="http://schemas.openxmlformats.org/officeDocument/2006/relationships/hyperlink" Target="https://docs.google.com/spreadsheets/d/1misMTk2lUTVNYS1dD2HmsHTualxp80w24XJKulurDME/edit?gid=0" TargetMode="External"/><Relationship Id="rId576" Type="http://schemas.openxmlformats.org/officeDocument/2006/relationships/drawing" Target="../drawings/drawing3.xml"/><Relationship Id="rId212" Type="http://schemas.openxmlformats.org/officeDocument/2006/relationships/hyperlink" Target="https://docs.google.com/spreadsheets/d/1st2xaha4J5HQju-84bXAIbwnEr8HoLmo_Nh7gefwYrE/edit" TargetMode="External"/><Relationship Id="rId333" Type="http://schemas.openxmlformats.org/officeDocument/2006/relationships/hyperlink" Target="https://docs.google.com/spreadsheets/d/16364A5vQj6zzXW9hxKKRWkjC8cshErw0DcvJe9bSI5s/edit?gid=0" TargetMode="External"/><Relationship Id="rId454" Type="http://schemas.openxmlformats.org/officeDocument/2006/relationships/hyperlink" Target="https://docs.google.com/spreadsheets/d/1misMTk2lUTVNYS1dD2HmsHTualxp80w24XJKulurDME/edit?gid=0" TargetMode="External"/><Relationship Id="rId575" Type="http://schemas.openxmlformats.org/officeDocument/2006/relationships/hyperlink" Target="https://docs.google.com/spreadsheets/d/18TD2qCqJZr2v6T3jZt5l2KGGpnXROzGo6xWUbsulvok/edit?gid=0" TargetMode="External"/><Relationship Id="rId211" Type="http://schemas.openxmlformats.org/officeDocument/2006/relationships/hyperlink" Target="https://docs.google.com/spreadsheets/d/1st2xaha4J5HQju-84bXAIbwnEr8HoLmo_Nh7gefwYrE/edit" TargetMode="External"/><Relationship Id="rId332" Type="http://schemas.openxmlformats.org/officeDocument/2006/relationships/hyperlink" Target="https://docs.google.com/spreadsheets/d/16364A5vQj6zzXW9hxKKRWkjC8cshErw0DcvJe9bSI5s/edit?gid=0" TargetMode="External"/><Relationship Id="rId453" Type="http://schemas.openxmlformats.org/officeDocument/2006/relationships/hyperlink" Target="https://docs.google.com/spreadsheets/d/1misMTk2lUTVNYS1dD2HmsHTualxp80w24XJKulurDME/edit?gid=0" TargetMode="External"/><Relationship Id="rId574" Type="http://schemas.openxmlformats.org/officeDocument/2006/relationships/hyperlink" Target="https://docs.google.com/spreadsheets/d/18TD2qCqJZr2v6T3jZt5l2KGGpnXROzGo6xWUbsulvok/edit?gid=0" TargetMode="External"/><Relationship Id="rId210" Type="http://schemas.openxmlformats.org/officeDocument/2006/relationships/hyperlink" Target="https://docs.google.com/spreadsheets/d/1st2xaha4J5HQju-84bXAIbwnEr8HoLmo_Nh7gefwYrE/edit" TargetMode="External"/><Relationship Id="rId331" Type="http://schemas.openxmlformats.org/officeDocument/2006/relationships/hyperlink" Target="https://docs.google.com/spreadsheets/d/16364A5vQj6zzXW9hxKKRWkjC8cshErw0DcvJe9bSI5s/edit?gid=0" TargetMode="External"/><Relationship Id="rId452" Type="http://schemas.openxmlformats.org/officeDocument/2006/relationships/hyperlink" Target="https://docs.google.com/spreadsheets/d/1misMTk2lUTVNYS1dD2HmsHTualxp80w24XJKulurDME/edit?gid=0" TargetMode="External"/><Relationship Id="rId573" Type="http://schemas.openxmlformats.org/officeDocument/2006/relationships/hyperlink" Target="https://docs.google.com/spreadsheets/d/18TD2qCqJZr2v6T3jZt5l2KGGpnXROzGo6xWUbsulvok/edit?gid=0" TargetMode="External"/><Relationship Id="rId370" Type="http://schemas.openxmlformats.org/officeDocument/2006/relationships/hyperlink" Target="https://docs.google.com/spreadsheets/d/1-rDuDN6kJtf1Q_cmmTmT8A55PSX7yYIanp3P-doeHgA/edit" TargetMode="External"/><Relationship Id="rId491" Type="http://schemas.openxmlformats.org/officeDocument/2006/relationships/hyperlink" Target="https://docs.google.com/spreadsheets/d/1OkyvF97_tP1trFNqpnK51IP-g1CoQZ53GueewINSIkE/edit?gid=0" TargetMode="External"/><Relationship Id="rId490" Type="http://schemas.openxmlformats.org/officeDocument/2006/relationships/hyperlink" Target="https://docs.google.com/spreadsheets/d/1OkyvF97_tP1trFNqpnK51IP-g1CoQZ53GueewINSIkE/edit?gid=0" TargetMode="External"/><Relationship Id="rId129" Type="http://schemas.openxmlformats.org/officeDocument/2006/relationships/hyperlink" Target="https://docs.google.com/spreadsheets/d/1sWLb9C9Jfoo2BIZj1kw8p_vGxXYZC0T0IQCNq5VpHQI/edit?gid=0" TargetMode="External"/><Relationship Id="rId128" Type="http://schemas.openxmlformats.org/officeDocument/2006/relationships/hyperlink" Target="https://docs.google.com/spreadsheets/d/1sWLb9C9Jfoo2BIZj1kw8p_vGxXYZC0T0IQCNq5VpHQI/edit?gid=0" TargetMode="External"/><Relationship Id="rId249" Type="http://schemas.openxmlformats.org/officeDocument/2006/relationships/hyperlink" Target="https://docs.google.com/spreadsheets/d/11xey1kDgHVJ3wqxPdDd_Me52kF6lZKZjSWbChA6HdGg/edit?usp=drive_link" TargetMode="External"/><Relationship Id="rId127" Type="http://schemas.openxmlformats.org/officeDocument/2006/relationships/hyperlink" Target="https://docs.google.com/spreadsheets/d/1sWLb9C9Jfoo2BIZj1kw8p_vGxXYZC0T0IQCNq5VpHQI/edit?gid=0" TargetMode="External"/><Relationship Id="rId248" Type="http://schemas.openxmlformats.org/officeDocument/2006/relationships/hyperlink" Target="https://docs.google.com/spreadsheets/d/11xey1kDgHVJ3wqxPdDd_Me52kF6lZKZjSWbChA6HdGg/edit?usp=drive_link" TargetMode="External"/><Relationship Id="rId369" Type="http://schemas.openxmlformats.org/officeDocument/2006/relationships/hyperlink" Target="https://docs.google.com/spreadsheets/d/1-rDuDN6kJtf1Q_cmmTmT8A55PSX7yYIanp3P-doeHgA/edit" TargetMode="External"/><Relationship Id="rId126" Type="http://schemas.openxmlformats.org/officeDocument/2006/relationships/hyperlink" Target="https://docs.google.com/spreadsheets/d/1sWLb9C9Jfoo2BIZj1kw8p_vGxXYZC0T0IQCNq5VpHQI/edit?gid=0" TargetMode="External"/><Relationship Id="rId247" Type="http://schemas.openxmlformats.org/officeDocument/2006/relationships/hyperlink" Target="https://docs.google.com/spreadsheets/d/11xey1kDgHVJ3wqxPdDd_Me52kF6lZKZjSWbChA6HdGg/edit?usp=drive_link" TargetMode="External"/><Relationship Id="rId368" Type="http://schemas.openxmlformats.org/officeDocument/2006/relationships/hyperlink" Target="https://docs.google.com/spreadsheets/d/1-rDuDN6kJtf1Q_cmmTmT8A55PSX7yYIanp3P-doeHgA/edit" TargetMode="External"/><Relationship Id="rId489" Type="http://schemas.openxmlformats.org/officeDocument/2006/relationships/hyperlink" Target="https://docs.google.com/spreadsheets/d/1OkyvF97_tP1trFNqpnK51IP-g1CoQZ53GueewINSIkE/edit?gid=0" TargetMode="External"/><Relationship Id="rId121" Type="http://schemas.openxmlformats.org/officeDocument/2006/relationships/hyperlink" Target="https://docs.google.com/spreadsheets/d/1sWLb9C9Jfoo2BIZj1kw8p_vGxXYZC0T0IQCNq5VpHQI/edit?gid=0" TargetMode="External"/><Relationship Id="rId242" Type="http://schemas.openxmlformats.org/officeDocument/2006/relationships/hyperlink" Target="https://docs.google.com/spreadsheets/d/11xey1kDgHVJ3wqxPdDd_Me52kF6lZKZjSWbChA6HdGg/edit?usp=drive_link" TargetMode="External"/><Relationship Id="rId363" Type="http://schemas.openxmlformats.org/officeDocument/2006/relationships/hyperlink" Target="https://docs.google.com/spreadsheets/d/1-rDuDN6kJtf1Q_cmmTmT8A55PSX7yYIanp3P-doeHgA/edit" TargetMode="External"/><Relationship Id="rId484" Type="http://schemas.openxmlformats.org/officeDocument/2006/relationships/hyperlink" Target="https://docs.google.com/spreadsheets/d/1OkyvF97_tP1trFNqpnK51IP-g1CoQZ53GueewINSIkE/edit?gid=0" TargetMode="External"/><Relationship Id="rId120" Type="http://schemas.openxmlformats.org/officeDocument/2006/relationships/hyperlink" Target="https://docs.google.com/spreadsheets/d/1sWLb9C9Jfoo2BIZj1kw8p_vGxXYZC0T0IQCNq5VpHQI/edit?gid=0" TargetMode="External"/><Relationship Id="rId241" Type="http://schemas.openxmlformats.org/officeDocument/2006/relationships/hyperlink" Target="https://docs.google.com/spreadsheets/d/11xey1kDgHVJ3wqxPdDd_Me52kF6lZKZjSWbChA6HdGg/edit?usp=drive_link" TargetMode="External"/><Relationship Id="rId362" Type="http://schemas.openxmlformats.org/officeDocument/2006/relationships/hyperlink" Target="https://docs.google.com/spreadsheets/d/1-rDuDN6kJtf1Q_cmmTmT8A55PSX7yYIanp3P-doeHgA/edit" TargetMode="External"/><Relationship Id="rId483" Type="http://schemas.openxmlformats.org/officeDocument/2006/relationships/hyperlink" Target="https://docs.google.com/spreadsheets/d/1OkyvF97_tP1trFNqpnK51IP-g1CoQZ53GueewINSIkE/edit?gid=0" TargetMode="External"/><Relationship Id="rId240" Type="http://schemas.openxmlformats.org/officeDocument/2006/relationships/hyperlink" Target="https://docs.google.com/spreadsheets/d/11xey1kDgHVJ3wqxPdDd_Me52kF6lZKZjSWbChA6HdGg/edit?usp=drive_link" TargetMode="External"/><Relationship Id="rId361" Type="http://schemas.openxmlformats.org/officeDocument/2006/relationships/hyperlink" Target="https://docs.google.com/spreadsheets/d/1-rDuDN6kJtf1Q_cmmTmT8A55PSX7yYIanp3P-doeHgA/edit" TargetMode="External"/><Relationship Id="rId482" Type="http://schemas.openxmlformats.org/officeDocument/2006/relationships/hyperlink" Target="https://docs.google.com/spreadsheets/d/1OkyvF97_tP1trFNqpnK51IP-g1CoQZ53GueewINSIkE/edit?gid=0" TargetMode="External"/><Relationship Id="rId360" Type="http://schemas.openxmlformats.org/officeDocument/2006/relationships/hyperlink" Target="https://docs.google.com/spreadsheets/d/1-rDuDN6kJtf1Q_cmmTmT8A55PSX7yYIanp3P-doeHgA/edit" TargetMode="External"/><Relationship Id="rId481" Type="http://schemas.openxmlformats.org/officeDocument/2006/relationships/hyperlink" Target="https://docs.google.com/spreadsheets/d/1OkyvF97_tP1trFNqpnK51IP-g1CoQZ53GueewINSIkE/edit?gid=0" TargetMode="External"/><Relationship Id="rId125" Type="http://schemas.openxmlformats.org/officeDocument/2006/relationships/hyperlink" Target="https://docs.google.com/spreadsheets/d/1sWLb9C9Jfoo2BIZj1kw8p_vGxXYZC0T0IQCNq5VpHQI/edit?gid=0" TargetMode="External"/><Relationship Id="rId246" Type="http://schemas.openxmlformats.org/officeDocument/2006/relationships/hyperlink" Target="https://docs.google.com/spreadsheets/d/11xey1kDgHVJ3wqxPdDd_Me52kF6lZKZjSWbChA6HdGg/edit?usp=drive_link" TargetMode="External"/><Relationship Id="rId367" Type="http://schemas.openxmlformats.org/officeDocument/2006/relationships/hyperlink" Target="https://docs.google.com/spreadsheets/d/1-rDuDN6kJtf1Q_cmmTmT8A55PSX7yYIanp3P-doeHgA/edit" TargetMode="External"/><Relationship Id="rId488" Type="http://schemas.openxmlformats.org/officeDocument/2006/relationships/hyperlink" Target="https://docs.google.com/spreadsheets/d/1OkyvF97_tP1trFNqpnK51IP-g1CoQZ53GueewINSIkE/edit?gid=0" TargetMode="External"/><Relationship Id="rId124" Type="http://schemas.openxmlformats.org/officeDocument/2006/relationships/hyperlink" Target="https://docs.google.com/spreadsheets/d/1sWLb9C9Jfoo2BIZj1kw8p_vGxXYZC0T0IQCNq5VpHQI/edit?gid=0" TargetMode="External"/><Relationship Id="rId245" Type="http://schemas.openxmlformats.org/officeDocument/2006/relationships/hyperlink" Target="https://docs.google.com/spreadsheets/d/11xey1kDgHVJ3wqxPdDd_Me52kF6lZKZjSWbChA6HdGg/edit?usp=drive_link" TargetMode="External"/><Relationship Id="rId366" Type="http://schemas.openxmlformats.org/officeDocument/2006/relationships/hyperlink" Target="https://docs.google.com/spreadsheets/d/1-rDuDN6kJtf1Q_cmmTmT8A55PSX7yYIanp3P-doeHgA/edit" TargetMode="External"/><Relationship Id="rId487" Type="http://schemas.openxmlformats.org/officeDocument/2006/relationships/hyperlink" Target="https://docs.google.com/spreadsheets/d/1OkyvF97_tP1trFNqpnK51IP-g1CoQZ53GueewINSIkE/edit?gid=0" TargetMode="External"/><Relationship Id="rId123" Type="http://schemas.openxmlformats.org/officeDocument/2006/relationships/hyperlink" Target="https://docs.google.com/spreadsheets/d/1sWLb9C9Jfoo2BIZj1kw8p_vGxXYZC0T0IQCNq5VpHQI/edit?gid=0" TargetMode="External"/><Relationship Id="rId244" Type="http://schemas.openxmlformats.org/officeDocument/2006/relationships/hyperlink" Target="https://docs.google.com/spreadsheets/d/11xey1kDgHVJ3wqxPdDd_Me52kF6lZKZjSWbChA6HdGg/edit?usp=drive_link" TargetMode="External"/><Relationship Id="rId365" Type="http://schemas.openxmlformats.org/officeDocument/2006/relationships/hyperlink" Target="https://docs.google.com/spreadsheets/d/1-rDuDN6kJtf1Q_cmmTmT8A55PSX7yYIanp3P-doeHgA/edit" TargetMode="External"/><Relationship Id="rId486" Type="http://schemas.openxmlformats.org/officeDocument/2006/relationships/hyperlink" Target="https://docs.google.com/spreadsheets/d/1OkyvF97_tP1trFNqpnK51IP-g1CoQZ53GueewINSIkE/edit?gid=0" TargetMode="External"/><Relationship Id="rId122" Type="http://schemas.openxmlformats.org/officeDocument/2006/relationships/hyperlink" Target="https://docs.google.com/spreadsheets/d/1sWLb9C9Jfoo2BIZj1kw8p_vGxXYZC0T0IQCNq5VpHQI/edit?gid=0" TargetMode="External"/><Relationship Id="rId243" Type="http://schemas.openxmlformats.org/officeDocument/2006/relationships/hyperlink" Target="https://docs.google.com/spreadsheets/d/11xey1kDgHVJ3wqxPdDd_Me52kF6lZKZjSWbChA6HdGg/edit?usp=drive_link" TargetMode="External"/><Relationship Id="rId364" Type="http://schemas.openxmlformats.org/officeDocument/2006/relationships/hyperlink" Target="https://docs.google.com/spreadsheets/d/1-rDuDN6kJtf1Q_cmmTmT8A55PSX7yYIanp3P-doeHgA/edit" TargetMode="External"/><Relationship Id="rId485" Type="http://schemas.openxmlformats.org/officeDocument/2006/relationships/hyperlink" Target="https://docs.google.com/spreadsheets/d/1OkyvF97_tP1trFNqpnK51IP-g1CoQZ53GueewINSIkE/edit?gid=0" TargetMode="External"/><Relationship Id="rId95" Type="http://schemas.openxmlformats.org/officeDocument/2006/relationships/hyperlink" Target="https://docs.google.com/spreadsheets/d/18UbEYkqr91lzz72jr6j7k6fIA8yPcMGBBE-dC8Ufbvk/edit?gid=1592941197" TargetMode="External"/><Relationship Id="rId94" Type="http://schemas.openxmlformats.org/officeDocument/2006/relationships/hyperlink" Target="https://docs.google.com/spreadsheets/d/18UbEYkqr91lzz72jr6j7k6fIA8yPcMGBBE-dC8Ufbvk/edit?gid=0" TargetMode="External"/><Relationship Id="rId97" Type="http://schemas.openxmlformats.org/officeDocument/2006/relationships/hyperlink" Target="https://docs.google.com/spreadsheets/d/18UbEYkqr91lzz72jr6j7k6fIA8yPcMGBBE-dC8Ufbvk/edit?gid=1592941197" TargetMode="External"/><Relationship Id="rId96" Type="http://schemas.openxmlformats.org/officeDocument/2006/relationships/hyperlink" Target="https://docs.google.com/spreadsheets/d/18UbEYkqr91lzz72jr6j7k6fIA8yPcMGBBE-dC8Ufbvk/edit?gid=1592941197" TargetMode="External"/><Relationship Id="rId99" Type="http://schemas.openxmlformats.org/officeDocument/2006/relationships/hyperlink" Target="https://docs.google.com/spreadsheets/d/18UbEYkqr91lzz72jr6j7k6fIA8yPcMGBBE-dC8Ufbvk/edit?gid=1592941197" TargetMode="External"/><Relationship Id="rId480" Type="http://schemas.openxmlformats.org/officeDocument/2006/relationships/hyperlink" Target="https://docs.google.com/spreadsheets/d/1OkyvF97_tP1trFNqpnK51IP-g1CoQZ53GueewINSIkE/edit?gid=0" TargetMode="External"/><Relationship Id="rId98" Type="http://schemas.openxmlformats.org/officeDocument/2006/relationships/hyperlink" Target="https://docs.google.com/spreadsheets/d/18UbEYkqr91lzz72jr6j7k6fIA8yPcMGBBE-dC8Ufbvk/edit?gid=1592941197" TargetMode="External"/><Relationship Id="rId91" Type="http://schemas.openxmlformats.org/officeDocument/2006/relationships/hyperlink" Target="https://docs.google.com/spreadsheets/d/18UbEYkqr91lzz72jr6j7k6fIA8yPcMGBBE-dC8Ufbvk/edit?gid=0" TargetMode="External"/><Relationship Id="rId90" Type="http://schemas.openxmlformats.org/officeDocument/2006/relationships/hyperlink" Target="https://docs.google.com/spreadsheets/d/18UbEYkqr91lzz72jr6j7k6fIA8yPcMGBBE-dC8Ufbvk/edit?gid=0" TargetMode="External"/><Relationship Id="rId93" Type="http://schemas.openxmlformats.org/officeDocument/2006/relationships/hyperlink" Target="https://docs.google.com/spreadsheets/d/18UbEYkqr91lzz72jr6j7k6fIA8yPcMGBBE-dC8Ufbvk/edit?gid=0" TargetMode="External"/><Relationship Id="rId92" Type="http://schemas.openxmlformats.org/officeDocument/2006/relationships/hyperlink" Target="https://docs.google.com/spreadsheets/d/18UbEYkqr91lzz72jr6j7k6fIA8yPcMGBBE-dC8Ufbvk/edit?gid=0" TargetMode="External"/><Relationship Id="rId118" Type="http://schemas.openxmlformats.org/officeDocument/2006/relationships/hyperlink" Target="https://docs.google.com/spreadsheets/d/1sWLb9C9Jfoo2BIZj1kw8p_vGxXYZC0T0IQCNq5VpHQI/edit?gid=0" TargetMode="External"/><Relationship Id="rId239" Type="http://schemas.openxmlformats.org/officeDocument/2006/relationships/hyperlink" Target="https://docs.google.com/spreadsheets/d/11xey1kDgHVJ3wqxPdDd_Me52kF6lZKZjSWbChA6HdGg/edit?usp=drive_link" TargetMode="External"/><Relationship Id="rId117" Type="http://schemas.openxmlformats.org/officeDocument/2006/relationships/hyperlink" Target="https://docs.google.com/spreadsheets/d/1sWLb9C9Jfoo2BIZj1kw8p_vGxXYZC0T0IQCNq5VpHQI/edit?gid=0" TargetMode="External"/><Relationship Id="rId238" Type="http://schemas.openxmlformats.org/officeDocument/2006/relationships/hyperlink" Target="https://docs.google.com/spreadsheets/d/11xey1kDgHVJ3wqxPdDd_Me52kF6lZKZjSWbChA6HdGg/edit?usp=drive_link" TargetMode="External"/><Relationship Id="rId359" Type="http://schemas.openxmlformats.org/officeDocument/2006/relationships/hyperlink" Target="https://docs.google.com/spreadsheets/d/1-rDuDN6kJtf1Q_cmmTmT8A55PSX7yYIanp3P-doeHgA/edit" TargetMode="External"/><Relationship Id="rId116" Type="http://schemas.openxmlformats.org/officeDocument/2006/relationships/hyperlink" Target="https://docs.google.com/spreadsheets/d/1sWLb9C9Jfoo2BIZj1kw8p_vGxXYZC0T0IQCNq5VpHQI/edit?gid=0" TargetMode="External"/><Relationship Id="rId237" Type="http://schemas.openxmlformats.org/officeDocument/2006/relationships/hyperlink" Target="https://docs.google.com/spreadsheets/d/11xey1kDgHVJ3wqxPdDd_Me52kF6lZKZjSWbChA6HdGg/edit?usp=drive_link" TargetMode="External"/><Relationship Id="rId358" Type="http://schemas.openxmlformats.org/officeDocument/2006/relationships/hyperlink" Target="https://docs.google.com/spreadsheets/d/1-rDuDN6kJtf1Q_cmmTmT8A55PSX7yYIanp3P-doeHgA/edit" TargetMode="External"/><Relationship Id="rId479" Type="http://schemas.openxmlformats.org/officeDocument/2006/relationships/hyperlink" Target="https://docs.google.com/spreadsheets/d/1OkyvF97_tP1trFNqpnK51IP-g1CoQZ53GueewINSIkE/edit?gid=0" TargetMode="External"/><Relationship Id="rId115" Type="http://schemas.openxmlformats.org/officeDocument/2006/relationships/hyperlink" Target="https://docs.google.com/spreadsheets/d/1sWLb9C9Jfoo2BIZj1kw8p_vGxXYZC0T0IQCNq5VpHQI/edit?gid=0" TargetMode="External"/><Relationship Id="rId236" Type="http://schemas.openxmlformats.org/officeDocument/2006/relationships/hyperlink" Target="https://docs.google.com/spreadsheets/d/11xey1kDgHVJ3wqxPdDd_Me52kF6lZKZjSWbChA6HdGg/edit?usp=drive_link" TargetMode="External"/><Relationship Id="rId357" Type="http://schemas.openxmlformats.org/officeDocument/2006/relationships/hyperlink" Target="https://docs.google.com/spreadsheets/d/1-rDuDN6kJtf1Q_cmmTmT8A55PSX7yYIanp3P-doeHgA/edit" TargetMode="External"/><Relationship Id="rId478" Type="http://schemas.openxmlformats.org/officeDocument/2006/relationships/hyperlink" Target="https://docs.google.com/spreadsheets/d/1OkyvF97_tP1trFNqpnK51IP-g1CoQZ53GueewINSIkE/edit?gid=0" TargetMode="External"/><Relationship Id="rId119" Type="http://schemas.openxmlformats.org/officeDocument/2006/relationships/hyperlink" Target="https://docs.google.com/spreadsheets/d/1sWLb9C9Jfoo2BIZj1kw8p_vGxXYZC0T0IQCNq5VpHQI/edit?gid=0" TargetMode="External"/><Relationship Id="rId110" Type="http://schemas.openxmlformats.org/officeDocument/2006/relationships/hyperlink" Target="https://docs.google.com/spreadsheets/d/1sWLb9C9Jfoo2BIZj1kw8p_vGxXYZC0T0IQCNq5VpHQI/edit?gid=0" TargetMode="External"/><Relationship Id="rId231" Type="http://schemas.openxmlformats.org/officeDocument/2006/relationships/hyperlink" Target="https://docs.google.com/spreadsheets/d/11xey1kDgHVJ3wqxPdDd_Me52kF6lZKZjSWbChA6HdGg/edit?usp=drive_link" TargetMode="External"/><Relationship Id="rId352" Type="http://schemas.openxmlformats.org/officeDocument/2006/relationships/hyperlink" Target="https://docs.google.com/spreadsheets/d/1GqrGuSGjizGblZ0rh0hIQXMpIxzeIU-DWM5qlKNIgqw/edit" TargetMode="External"/><Relationship Id="rId473" Type="http://schemas.openxmlformats.org/officeDocument/2006/relationships/hyperlink" Target="https://docs.google.com/spreadsheets/d/1OkyvF97_tP1trFNqpnK51IP-g1CoQZ53GueewINSIkE/edit?gid=0" TargetMode="External"/><Relationship Id="rId230" Type="http://schemas.openxmlformats.org/officeDocument/2006/relationships/hyperlink" Target="https://docs.google.com/spreadsheets/d/11xey1kDgHVJ3wqxPdDd_Me52kF6lZKZjSWbChA6HdGg/edit?usp=drive_link" TargetMode="External"/><Relationship Id="rId351" Type="http://schemas.openxmlformats.org/officeDocument/2006/relationships/hyperlink" Target="https://docs.google.com/spreadsheets/d/1GqrGuSGjizGblZ0rh0hIQXMpIxzeIU-DWM5qlKNIgqw/edit" TargetMode="External"/><Relationship Id="rId472" Type="http://schemas.openxmlformats.org/officeDocument/2006/relationships/hyperlink" Target="https://docs.google.com/spreadsheets/d/1OkyvF97_tP1trFNqpnK51IP-g1CoQZ53GueewINSIkE/edit?gid=0" TargetMode="External"/><Relationship Id="rId350" Type="http://schemas.openxmlformats.org/officeDocument/2006/relationships/hyperlink" Target="https://docs.google.com/spreadsheets/d/1GqrGuSGjizGblZ0rh0hIQXMpIxzeIU-DWM5qlKNIgqw/edit" TargetMode="External"/><Relationship Id="rId471" Type="http://schemas.openxmlformats.org/officeDocument/2006/relationships/hyperlink" Target="https://docs.google.com/spreadsheets/d/1OkyvF97_tP1trFNqpnK51IP-g1CoQZ53GueewINSIkE/edit?gid=0" TargetMode="External"/><Relationship Id="rId470" Type="http://schemas.openxmlformats.org/officeDocument/2006/relationships/hyperlink" Target="https://docs.google.com/spreadsheets/d/1OkyvF97_tP1trFNqpnK51IP-g1CoQZ53GueewINSIkE/edit?gid=0" TargetMode="External"/><Relationship Id="rId114" Type="http://schemas.openxmlformats.org/officeDocument/2006/relationships/hyperlink" Target="https://docs.google.com/spreadsheets/d/1sWLb9C9Jfoo2BIZj1kw8p_vGxXYZC0T0IQCNq5VpHQI/edit?gid=0" TargetMode="External"/><Relationship Id="rId235" Type="http://schemas.openxmlformats.org/officeDocument/2006/relationships/hyperlink" Target="https://docs.google.com/spreadsheets/d/11xey1kDgHVJ3wqxPdDd_Me52kF6lZKZjSWbChA6HdGg/edit?usp=drive_link" TargetMode="External"/><Relationship Id="rId356" Type="http://schemas.openxmlformats.org/officeDocument/2006/relationships/hyperlink" Target="https://docs.google.com/spreadsheets/d/1-rDuDN6kJtf1Q_cmmTmT8A55PSX7yYIanp3P-doeHgA/edit" TargetMode="External"/><Relationship Id="rId477" Type="http://schemas.openxmlformats.org/officeDocument/2006/relationships/hyperlink" Target="https://docs.google.com/spreadsheets/d/1OkyvF97_tP1trFNqpnK51IP-g1CoQZ53GueewINSIkE/edit?gid=0" TargetMode="External"/><Relationship Id="rId113" Type="http://schemas.openxmlformats.org/officeDocument/2006/relationships/hyperlink" Target="https://docs.google.com/spreadsheets/d/1sWLb9C9Jfoo2BIZj1kw8p_vGxXYZC0T0IQCNq5VpHQI/edit?gid=0" TargetMode="External"/><Relationship Id="rId234" Type="http://schemas.openxmlformats.org/officeDocument/2006/relationships/hyperlink" Target="https://docs.google.com/spreadsheets/d/11xey1kDgHVJ3wqxPdDd_Me52kF6lZKZjSWbChA6HdGg/edit?usp=drive_link" TargetMode="External"/><Relationship Id="rId355" Type="http://schemas.openxmlformats.org/officeDocument/2006/relationships/hyperlink" Target="https://docs.google.com/spreadsheets/d/1-rDuDN6kJtf1Q_cmmTmT8A55PSX7yYIanp3P-doeHgA/edit" TargetMode="External"/><Relationship Id="rId476" Type="http://schemas.openxmlformats.org/officeDocument/2006/relationships/hyperlink" Target="https://docs.google.com/spreadsheets/d/1OkyvF97_tP1trFNqpnK51IP-g1CoQZ53GueewINSIkE/edit?gid=0" TargetMode="External"/><Relationship Id="rId112" Type="http://schemas.openxmlformats.org/officeDocument/2006/relationships/hyperlink" Target="https://docs.google.com/spreadsheets/d/1sWLb9C9Jfoo2BIZj1kw8p_vGxXYZC0T0IQCNq5VpHQI/edit?gid=0" TargetMode="External"/><Relationship Id="rId233" Type="http://schemas.openxmlformats.org/officeDocument/2006/relationships/hyperlink" Target="https://docs.google.com/spreadsheets/d/11xey1kDgHVJ3wqxPdDd_Me52kF6lZKZjSWbChA6HdGg/edit?usp=drive_link" TargetMode="External"/><Relationship Id="rId354" Type="http://schemas.openxmlformats.org/officeDocument/2006/relationships/hyperlink" Target="https://docs.google.com/spreadsheets/d/1GqrGuSGjizGblZ0rh0hIQXMpIxzeIU-DWM5qlKNIgqw/edit" TargetMode="External"/><Relationship Id="rId475" Type="http://schemas.openxmlformats.org/officeDocument/2006/relationships/hyperlink" Target="https://docs.google.com/spreadsheets/d/1OkyvF97_tP1trFNqpnK51IP-g1CoQZ53GueewINSIkE/edit?gid=0" TargetMode="External"/><Relationship Id="rId111" Type="http://schemas.openxmlformats.org/officeDocument/2006/relationships/hyperlink" Target="https://docs.google.com/spreadsheets/d/1sWLb9C9Jfoo2BIZj1kw8p_vGxXYZC0T0IQCNq5VpHQI/edit?gid=0" TargetMode="External"/><Relationship Id="rId232" Type="http://schemas.openxmlformats.org/officeDocument/2006/relationships/hyperlink" Target="https://docs.google.com/spreadsheets/d/11xey1kDgHVJ3wqxPdDd_Me52kF6lZKZjSWbChA6HdGg/edit?usp=drive_link" TargetMode="External"/><Relationship Id="rId353" Type="http://schemas.openxmlformats.org/officeDocument/2006/relationships/hyperlink" Target="https://docs.google.com/spreadsheets/d/1GqrGuSGjizGblZ0rh0hIQXMpIxzeIU-DWM5qlKNIgqw/edit" TargetMode="External"/><Relationship Id="rId474" Type="http://schemas.openxmlformats.org/officeDocument/2006/relationships/hyperlink" Target="https://docs.google.com/spreadsheets/d/1OkyvF97_tP1trFNqpnK51IP-g1CoQZ53GueewINSIkE/edit?gid=0" TargetMode="External"/><Relationship Id="rId305" Type="http://schemas.openxmlformats.org/officeDocument/2006/relationships/hyperlink" Target="https://docs.google.com/spreadsheets/d/1KDY7rvYzLh2AmEhetkSjjudQ5onW_BSStDqRLzO9h3I/edit?gid=0" TargetMode="External"/><Relationship Id="rId426" Type="http://schemas.openxmlformats.org/officeDocument/2006/relationships/hyperlink" Target="https://docs.google.com/spreadsheets/d/1pYRKh3nn77d4i9r35Hb-gkMHWJnJtLqrS8vZU7jr4RQ/edit?gid=0" TargetMode="External"/><Relationship Id="rId547" Type="http://schemas.openxmlformats.org/officeDocument/2006/relationships/hyperlink" Target="https://docs.google.com/spreadsheets/d/1q2r2cEyzSuPLc4YHXX2wCz8XM0xwNJOeZ0KVUyiyfzU/edit?gid=372291483" TargetMode="External"/><Relationship Id="rId304" Type="http://schemas.openxmlformats.org/officeDocument/2006/relationships/hyperlink" Target="https://docs.google.com/spreadsheets/d/1KDY7rvYzLh2AmEhetkSjjudQ5onW_BSStDqRLzO9h3I/edit?gid=0" TargetMode="External"/><Relationship Id="rId425" Type="http://schemas.openxmlformats.org/officeDocument/2006/relationships/hyperlink" Target="https://docs.google.com/spreadsheets/d/1pYRKh3nn77d4i9r35Hb-gkMHWJnJtLqrS8vZU7jr4RQ/edit?gid=0" TargetMode="External"/><Relationship Id="rId546" Type="http://schemas.openxmlformats.org/officeDocument/2006/relationships/hyperlink" Target="https://docs.google.com/spreadsheets/d/1q2r2cEyzSuPLc4YHXX2wCz8XM0xwNJOeZ0KVUyiyfzU/edit?gid=372291483" TargetMode="External"/><Relationship Id="rId303" Type="http://schemas.openxmlformats.org/officeDocument/2006/relationships/hyperlink" Target="https://docs.google.com/spreadsheets/d/1KDY7rvYzLh2AmEhetkSjjudQ5onW_BSStDqRLzO9h3I/edit?gid=0" TargetMode="External"/><Relationship Id="rId424" Type="http://schemas.openxmlformats.org/officeDocument/2006/relationships/hyperlink" Target="https://docs.google.com/spreadsheets/d/1bgQIuU_qPkg2atbEejkZoTP5Nlx4jbONCIOc_VnfUkM/edit?gid=372291483" TargetMode="External"/><Relationship Id="rId545" Type="http://schemas.openxmlformats.org/officeDocument/2006/relationships/hyperlink" Target="https://docs.google.com/spreadsheets/d/1q2r2cEyzSuPLc4YHXX2wCz8XM0xwNJOeZ0KVUyiyfzU/edit?gid=372291483" TargetMode="External"/><Relationship Id="rId302" Type="http://schemas.openxmlformats.org/officeDocument/2006/relationships/hyperlink" Target="https://docs.google.com/spreadsheets/d/1KDY7rvYzLh2AmEhetkSjjudQ5onW_BSStDqRLzO9h3I/edit?gid=0" TargetMode="External"/><Relationship Id="rId423" Type="http://schemas.openxmlformats.org/officeDocument/2006/relationships/hyperlink" Target="https://docs.google.com/spreadsheets/d/1bgQIuU_qPkg2atbEejkZoTP5Nlx4jbONCIOc_VnfUkM/edit?gid=372291483" TargetMode="External"/><Relationship Id="rId544" Type="http://schemas.openxmlformats.org/officeDocument/2006/relationships/hyperlink" Target="https://docs.google.com/spreadsheets/d/1q2r2cEyzSuPLc4YHXX2wCz8XM0xwNJOeZ0KVUyiyfzU/edit?gid=372291483" TargetMode="External"/><Relationship Id="rId309" Type="http://schemas.openxmlformats.org/officeDocument/2006/relationships/hyperlink" Target="https://docs.google.com/spreadsheets/d/1KDY7rvYzLh2AmEhetkSjjudQ5onW_BSStDqRLzO9h3I/edit?gid=0" TargetMode="External"/><Relationship Id="rId308" Type="http://schemas.openxmlformats.org/officeDocument/2006/relationships/hyperlink" Target="https://docs.google.com/spreadsheets/d/1KDY7rvYzLh2AmEhetkSjjudQ5onW_BSStDqRLzO9h3I/edit?gid=0" TargetMode="External"/><Relationship Id="rId429" Type="http://schemas.openxmlformats.org/officeDocument/2006/relationships/hyperlink" Target="https://docs.google.com/spreadsheets/d/1pYRKh3nn77d4i9r35Hb-gkMHWJnJtLqrS8vZU7jr4RQ/edit?gid=0" TargetMode="External"/><Relationship Id="rId307" Type="http://schemas.openxmlformats.org/officeDocument/2006/relationships/hyperlink" Target="https://docs.google.com/spreadsheets/d/1KDY7rvYzLh2AmEhetkSjjudQ5onW_BSStDqRLzO9h3I/edit?gid=0" TargetMode="External"/><Relationship Id="rId428" Type="http://schemas.openxmlformats.org/officeDocument/2006/relationships/hyperlink" Target="https://docs.google.com/spreadsheets/d/1pYRKh3nn77d4i9r35Hb-gkMHWJnJtLqrS8vZU7jr4RQ/edit?gid=0" TargetMode="External"/><Relationship Id="rId549" Type="http://schemas.openxmlformats.org/officeDocument/2006/relationships/hyperlink" Target="https://docs.google.com/spreadsheets/d/1q2r2cEyzSuPLc4YHXX2wCz8XM0xwNJOeZ0KVUyiyfzU/edit?gid=372291483" TargetMode="External"/><Relationship Id="rId306" Type="http://schemas.openxmlformats.org/officeDocument/2006/relationships/hyperlink" Target="https://docs.google.com/spreadsheets/d/1KDY7rvYzLh2AmEhetkSjjudQ5onW_BSStDqRLzO9h3I/edit?gid=0" TargetMode="External"/><Relationship Id="rId427" Type="http://schemas.openxmlformats.org/officeDocument/2006/relationships/hyperlink" Target="https://docs.google.com/spreadsheets/d/1pYRKh3nn77d4i9r35Hb-gkMHWJnJtLqrS8vZU7jr4RQ/edit?gid=0" TargetMode="External"/><Relationship Id="rId548" Type="http://schemas.openxmlformats.org/officeDocument/2006/relationships/hyperlink" Target="https://docs.google.com/spreadsheets/d/1q2r2cEyzSuPLc4YHXX2wCz8XM0xwNJOeZ0KVUyiyfzU/edit?gid=372291483" TargetMode="External"/><Relationship Id="rId301" Type="http://schemas.openxmlformats.org/officeDocument/2006/relationships/hyperlink" Target="https://docs.google.com/spreadsheets/d/1KDY7rvYzLh2AmEhetkSjjudQ5onW_BSStDqRLzO9h3I/edit?gid=0" TargetMode="External"/><Relationship Id="rId422" Type="http://schemas.openxmlformats.org/officeDocument/2006/relationships/hyperlink" Target="https://docs.google.com/spreadsheets/d/1bgQIuU_qPkg2atbEejkZoTP5Nlx4jbONCIOc_VnfUkM/edit?gid=372291483" TargetMode="External"/><Relationship Id="rId543" Type="http://schemas.openxmlformats.org/officeDocument/2006/relationships/hyperlink" Target="https://docs.google.com/spreadsheets/d/1q2r2cEyzSuPLc4YHXX2wCz8XM0xwNJOeZ0KVUyiyfzU/edit?gid=372291483" TargetMode="External"/><Relationship Id="rId300" Type="http://schemas.openxmlformats.org/officeDocument/2006/relationships/hyperlink" Target="https://docs.google.com/spreadsheets/d/1KDY7rvYzLh2AmEhetkSjjudQ5onW_BSStDqRLzO9h3I/edit?gid=0" TargetMode="External"/><Relationship Id="rId421" Type="http://schemas.openxmlformats.org/officeDocument/2006/relationships/hyperlink" Target="https://docs.google.com/spreadsheets/d/1bgQIuU_qPkg2atbEejkZoTP5Nlx4jbONCIOc_VnfUkM/edit?gid=372291483" TargetMode="External"/><Relationship Id="rId542" Type="http://schemas.openxmlformats.org/officeDocument/2006/relationships/hyperlink" Target="https://docs.google.com/spreadsheets/d/1q2r2cEyzSuPLc4YHXX2wCz8XM0xwNJOeZ0KVUyiyfzU/edit?gid=372291483" TargetMode="External"/><Relationship Id="rId420" Type="http://schemas.openxmlformats.org/officeDocument/2006/relationships/hyperlink" Target="https://docs.google.com/spreadsheets/d/1bgQIuU_qPkg2atbEejkZoTP5Nlx4jbONCIOc_VnfUkM/edit?gid=372291483" TargetMode="External"/><Relationship Id="rId541" Type="http://schemas.openxmlformats.org/officeDocument/2006/relationships/hyperlink" Target="https://docs.google.com/spreadsheets/d/1q2r2cEyzSuPLc4YHXX2wCz8XM0xwNJOeZ0KVUyiyfzU/edit?gid=372291483" TargetMode="External"/><Relationship Id="rId540" Type="http://schemas.openxmlformats.org/officeDocument/2006/relationships/hyperlink" Target="https://docs.google.com/spreadsheets/d/1q2r2cEyzSuPLc4YHXX2wCz8XM0xwNJOeZ0KVUyiyfzU/edit?gid=372291483" TargetMode="External"/><Relationship Id="rId415" Type="http://schemas.openxmlformats.org/officeDocument/2006/relationships/hyperlink" Target="https://docs.google.com/spreadsheets/d/1bgQIuU_qPkg2atbEejkZoTP5Nlx4jbONCIOc_VnfUkM/edit?gid=372291483" TargetMode="External"/><Relationship Id="rId536" Type="http://schemas.openxmlformats.org/officeDocument/2006/relationships/hyperlink" Target="https://docs.google.com/spreadsheets/d/1q2r2cEyzSuPLc4YHXX2wCz8XM0xwNJOeZ0KVUyiyfzU/edit?gid=372291483" TargetMode="External"/><Relationship Id="rId414" Type="http://schemas.openxmlformats.org/officeDocument/2006/relationships/hyperlink" Target="https://docs.google.com/spreadsheets/d/1bgQIuU_qPkg2atbEejkZoTP5Nlx4jbONCIOc_VnfUkM/edit?gid=372291483" TargetMode="External"/><Relationship Id="rId535" Type="http://schemas.openxmlformats.org/officeDocument/2006/relationships/hyperlink" Target="https://docs.google.com/spreadsheets/d/1q2r2cEyzSuPLc4YHXX2wCz8XM0xwNJOeZ0KVUyiyfzU/edit?gid=372291483" TargetMode="External"/><Relationship Id="rId413" Type="http://schemas.openxmlformats.org/officeDocument/2006/relationships/hyperlink" Target="https://docs.google.com/spreadsheets/d/1bgQIuU_qPkg2atbEejkZoTP5Nlx4jbONCIOc_VnfUkM/edit?gid=372291483" TargetMode="External"/><Relationship Id="rId534" Type="http://schemas.openxmlformats.org/officeDocument/2006/relationships/hyperlink" Target="https://docs.google.com/spreadsheets/d/1q2r2cEyzSuPLc4YHXX2wCz8XM0xwNJOeZ0KVUyiyfzU/edit?gid=372291483" TargetMode="External"/><Relationship Id="rId412" Type="http://schemas.openxmlformats.org/officeDocument/2006/relationships/hyperlink" Target="https://docs.google.com/spreadsheets/d/1bgQIuU_qPkg2atbEejkZoTP5Nlx4jbONCIOc_VnfUkM/edit?gid=372291483" TargetMode="External"/><Relationship Id="rId533" Type="http://schemas.openxmlformats.org/officeDocument/2006/relationships/hyperlink" Target="https://docs.google.com/spreadsheets/d/1q2r2cEyzSuPLc4YHXX2wCz8XM0xwNJOeZ0KVUyiyfzU/edit?gid=372291483" TargetMode="External"/><Relationship Id="rId419" Type="http://schemas.openxmlformats.org/officeDocument/2006/relationships/hyperlink" Target="https://docs.google.com/spreadsheets/d/1bgQIuU_qPkg2atbEejkZoTP5Nlx4jbONCIOc_VnfUkM/edit?gid=372291483" TargetMode="External"/><Relationship Id="rId418" Type="http://schemas.openxmlformats.org/officeDocument/2006/relationships/hyperlink" Target="https://docs.google.com/spreadsheets/d/1bgQIuU_qPkg2atbEejkZoTP5Nlx4jbONCIOc_VnfUkM/edit?gid=372291483" TargetMode="External"/><Relationship Id="rId539" Type="http://schemas.openxmlformats.org/officeDocument/2006/relationships/hyperlink" Target="https://docs.google.com/spreadsheets/d/1q2r2cEyzSuPLc4YHXX2wCz8XM0xwNJOeZ0KVUyiyfzU/edit?gid=372291483" TargetMode="External"/><Relationship Id="rId417" Type="http://schemas.openxmlformats.org/officeDocument/2006/relationships/hyperlink" Target="https://docs.google.com/spreadsheets/d/1bgQIuU_qPkg2atbEejkZoTP5Nlx4jbONCIOc_VnfUkM/edit?gid=372291483" TargetMode="External"/><Relationship Id="rId538" Type="http://schemas.openxmlformats.org/officeDocument/2006/relationships/hyperlink" Target="https://docs.google.com/spreadsheets/d/1q2r2cEyzSuPLc4YHXX2wCz8XM0xwNJOeZ0KVUyiyfzU/edit?gid=372291483" TargetMode="External"/><Relationship Id="rId416" Type="http://schemas.openxmlformats.org/officeDocument/2006/relationships/hyperlink" Target="https://docs.google.com/spreadsheets/d/1bgQIuU_qPkg2atbEejkZoTP5Nlx4jbONCIOc_VnfUkM/edit?gid=372291483" TargetMode="External"/><Relationship Id="rId537" Type="http://schemas.openxmlformats.org/officeDocument/2006/relationships/hyperlink" Target="https://docs.google.com/spreadsheets/d/1q2r2cEyzSuPLc4YHXX2wCz8XM0xwNJOeZ0KVUyiyfzU/edit?gid=372291483" TargetMode="External"/><Relationship Id="rId411" Type="http://schemas.openxmlformats.org/officeDocument/2006/relationships/hyperlink" Target="https://docs.google.com/spreadsheets/d/1bgQIuU_qPkg2atbEejkZoTP5Nlx4jbONCIOc_VnfUkM/edit?gid=0" TargetMode="External"/><Relationship Id="rId532" Type="http://schemas.openxmlformats.org/officeDocument/2006/relationships/hyperlink" Target="https://docs.google.com/spreadsheets/d/1q2r2cEyzSuPLc4YHXX2wCz8XM0xwNJOeZ0KVUyiyfzU/edit?gid=372291483" TargetMode="External"/><Relationship Id="rId410" Type="http://schemas.openxmlformats.org/officeDocument/2006/relationships/hyperlink" Target="https://docs.google.com/spreadsheets/d/1bgQIuU_qPkg2atbEejkZoTP5Nlx4jbONCIOc_VnfUkM/edit?gid=0" TargetMode="External"/><Relationship Id="rId531" Type="http://schemas.openxmlformats.org/officeDocument/2006/relationships/hyperlink" Target="https://docs.google.com/spreadsheets/d/1q2r2cEyzSuPLc4YHXX2wCz8XM0xwNJOeZ0KVUyiyfzU/edit?gid=372291483" TargetMode="External"/><Relationship Id="rId530" Type="http://schemas.openxmlformats.org/officeDocument/2006/relationships/hyperlink" Target="https://docs.google.com/spreadsheets/d/1q2r2cEyzSuPLc4YHXX2wCz8XM0xwNJOeZ0KVUyiyfzU/edit?gid=372291483" TargetMode="External"/><Relationship Id="rId206" Type="http://schemas.openxmlformats.org/officeDocument/2006/relationships/hyperlink" Target="https://docs.google.com/spreadsheets/d/1st2xaha4J5HQju-84bXAIbwnEr8HoLmo_Nh7gefwYrE/edit" TargetMode="External"/><Relationship Id="rId327" Type="http://schemas.openxmlformats.org/officeDocument/2006/relationships/hyperlink" Target="https://docs.google.com/spreadsheets/d/1KDY7rvYzLh2AmEhetkSjjudQ5onW_BSStDqRLzO9h3I/edit?gid=869132682" TargetMode="External"/><Relationship Id="rId448" Type="http://schemas.openxmlformats.org/officeDocument/2006/relationships/hyperlink" Target="https://docs.google.com/spreadsheets/d/1misMTk2lUTVNYS1dD2HmsHTualxp80w24XJKulurDME/edit?gid=0" TargetMode="External"/><Relationship Id="rId569" Type="http://schemas.openxmlformats.org/officeDocument/2006/relationships/hyperlink" Target="https://docs.google.com/spreadsheets/d/18TD2qCqJZr2v6T3jZt5l2KGGpnXROzGo6xWUbsulvok/edit?gid=0" TargetMode="External"/><Relationship Id="rId205" Type="http://schemas.openxmlformats.org/officeDocument/2006/relationships/hyperlink" Target="https://docs.google.com/spreadsheets/d/1st2xaha4J5HQju-84bXAIbwnEr8HoLmo_Nh7gefwYrE/edit" TargetMode="External"/><Relationship Id="rId326" Type="http://schemas.openxmlformats.org/officeDocument/2006/relationships/hyperlink" Target="https://docs.google.com/spreadsheets/d/1KDY7rvYzLh2AmEhetkSjjudQ5onW_BSStDqRLzO9h3I/edit?gid=869132682" TargetMode="External"/><Relationship Id="rId447" Type="http://schemas.openxmlformats.org/officeDocument/2006/relationships/hyperlink" Target="https://docs.google.com/spreadsheets/d/1misMTk2lUTVNYS1dD2HmsHTualxp80w24XJKulurDME/edit?gid=0" TargetMode="External"/><Relationship Id="rId568" Type="http://schemas.openxmlformats.org/officeDocument/2006/relationships/hyperlink" Target="https://docs.google.com/spreadsheets/d/18TD2qCqJZr2v6T3jZt5l2KGGpnXROzGo6xWUbsulvok/edit?gid=0" TargetMode="External"/><Relationship Id="rId204" Type="http://schemas.openxmlformats.org/officeDocument/2006/relationships/hyperlink" Target="https://docs.google.com/spreadsheets/d/1st2xaha4J5HQju-84bXAIbwnEr8HoLmo_Nh7gefwYrE/edit" TargetMode="External"/><Relationship Id="rId325" Type="http://schemas.openxmlformats.org/officeDocument/2006/relationships/hyperlink" Target="https://docs.google.com/spreadsheets/d/1KDY7rvYzLh2AmEhetkSjjudQ5onW_BSStDqRLzO9h3I/edit?gid=869132682" TargetMode="External"/><Relationship Id="rId446" Type="http://schemas.openxmlformats.org/officeDocument/2006/relationships/hyperlink" Target="https://docs.google.com/spreadsheets/d/1misMTk2lUTVNYS1dD2HmsHTualxp80w24XJKulurDME/edit?gid=0" TargetMode="External"/><Relationship Id="rId567" Type="http://schemas.openxmlformats.org/officeDocument/2006/relationships/hyperlink" Target="https://docs.google.com/spreadsheets/d/18TD2qCqJZr2v6T3jZt5l2KGGpnXROzGo6xWUbsulvok/edit?gid=0" TargetMode="External"/><Relationship Id="rId203" Type="http://schemas.openxmlformats.org/officeDocument/2006/relationships/hyperlink" Target="https://docs.google.com/spreadsheets/d/1st2xaha4J5HQju-84bXAIbwnEr8HoLmo_Nh7gefwYrE/edit" TargetMode="External"/><Relationship Id="rId324" Type="http://schemas.openxmlformats.org/officeDocument/2006/relationships/hyperlink" Target="https://docs.google.com/spreadsheets/d/1KDY7rvYzLh2AmEhetkSjjudQ5onW_BSStDqRLzO9h3I/edit?gid=869132682" TargetMode="External"/><Relationship Id="rId445" Type="http://schemas.openxmlformats.org/officeDocument/2006/relationships/hyperlink" Target="https://docs.google.com/spreadsheets/d/1misMTk2lUTVNYS1dD2HmsHTualxp80w24XJKulurDME/edit?gid=0" TargetMode="External"/><Relationship Id="rId566" Type="http://schemas.openxmlformats.org/officeDocument/2006/relationships/hyperlink" Target="https://docs.google.com/spreadsheets/d/18TD2qCqJZr2v6T3jZt5l2KGGpnXROzGo6xWUbsulvok/edit?gid=0" TargetMode="External"/><Relationship Id="rId209" Type="http://schemas.openxmlformats.org/officeDocument/2006/relationships/hyperlink" Target="https://docs.google.com/spreadsheets/d/1st2xaha4J5HQju-84bXAIbwnEr8HoLmo_Nh7gefwYrE/edit" TargetMode="External"/><Relationship Id="rId208" Type="http://schemas.openxmlformats.org/officeDocument/2006/relationships/hyperlink" Target="https://docs.google.com/spreadsheets/d/1st2xaha4J5HQju-84bXAIbwnEr8HoLmo_Nh7gefwYrE/edit" TargetMode="External"/><Relationship Id="rId329" Type="http://schemas.openxmlformats.org/officeDocument/2006/relationships/hyperlink" Target="https://docs.google.com/spreadsheets/d/1KDY7rvYzLh2AmEhetkSjjudQ5onW_BSStDqRLzO9h3I/edit?gid=869132682" TargetMode="External"/><Relationship Id="rId207" Type="http://schemas.openxmlformats.org/officeDocument/2006/relationships/hyperlink" Target="https://docs.google.com/spreadsheets/d/1st2xaha4J5HQju-84bXAIbwnEr8HoLmo_Nh7gefwYrE/edit" TargetMode="External"/><Relationship Id="rId328" Type="http://schemas.openxmlformats.org/officeDocument/2006/relationships/hyperlink" Target="https://docs.google.com/spreadsheets/d/1KDY7rvYzLh2AmEhetkSjjudQ5onW_BSStDqRLzO9h3I/edit?gid=869132682" TargetMode="External"/><Relationship Id="rId449" Type="http://schemas.openxmlformats.org/officeDocument/2006/relationships/hyperlink" Target="https://docs.google.com/spreadsheets/d/1misMTk2lUTVNYS1dD2HmsHTualxp80w24XJKulurDME/edit?gid=0" TargetMode="External"/><Relationship Id="rId440" Type="http://schemas.openxmlformats.org/officeDocument/2006/relationships/hyperlink" Target="https://docs.google.com/spreadsheets/d/1pYRKh3nn77d4i9r35Hb-gkMHWJnJtLqrS8vZU7jr4RQ/edit?gid=0" TargetMode="External"/><Relationship Id="rId561" Type="http://schemas.openxmlformats.org/officeDocument/2006/relationships/hyperlink" Target="https://docs.google.com/spreadsheets/d/18TD2qCqJZr2v6T3jZt5l2KGGpnXROzGo6xWUbsulvok/edit?gid=0" TargetMode="External"/><Relationship Id="rId560" Type="http://schemas.openxmlformats.org/officeDocument/2006/relationships/hyperlink" Target="https://docs.google.com/spreadsheets/d/18TD2qCqJZr2v6T3jZt5l2KGGpnXROzGo6xWUbsulvok/edit?gid=0" TargetMode="External"/><Relationship Id="rId202" Type="http://schemas.openxmlformats.org/officeDocument/2006/relationships/hyperlink" Target="https://docs.google.com/spreadsheets/d/1st2xaha4J5HQju-84bXAIbwnEr8HoLmo_Nh7gefwYrE/edit" TargetMode="External"/><Relationship Id="rId323" Type="http://schemas.openxmlformats.org/officeDocument/2006/relationships/hyperlink" Target="https://docs.google.com/spreadsheets/d/1KDY7rvYzLh2AmEhetkSjjudQ5onW_BSStDqRLzO9h3I/edit?gid=869132682" TargetMode="External"/><Relationship Id="rId444" Type="http://schemas.openxmlformats.org/officeDocument/2006/relationships/hyperlink" Target="https://docs.google.com/spreadsheets/d/1misMTk2lUTVNYS1dD2HmsHTualxp80w24XJKulurDME/edit?gid=0" TargetMode="External"/><Relationship Id="rId565" Type="http://schemas.openxmlformats.org/officeDocument/2006/relationships/hyperlink" Target="https://docs.google.com/spreadsheets/d/18TD2qCqJZr2v6T3jZt5l2KGGpnXROzGo6xWUbsulvok/edit?gid=0" TargetMode="External"/><Relationship Id="rId201" Type="http://schemas.openxmlformats.org/officeDocument/2006/relationships/hyperlink" Target="https://docs.google.com/spreadsheets/d/1st2xaha4J5HQju-84bXAIbwnEr8HoLmo_Nh7gefwYrE/edit" TargetMode="External"/><Relationship Id="rId322" Type="http://schemas.openxmlformats.org/officeDocument/2006/relationships/hyperlink" Target="https://docs.google.com/spreadsheets/d/1KDY7rvYzLh2AmEhetkSjjudQ5onW_BSStDqRLzO9h3I/edit?gid=869132682" TargetMode="External"/><Relationship Id="rId443" Type="http://schemas.openxmlformats.org/officeDocument/2006/relationships/hyperlink" Target="https://docs.google.com/spreadsheets/d/1misMTk2lUTVNYS1dD2HmsHTualxp80w24XJKulurDME/edit?gid=0" TargetMode="External"/><Relationship Id="rId564" Type="http://schemas.openxmlformats.org/officeDocument/2006/relationships/hyperlink" Target="https://docs.google.com/spreadsheets/d/18TD2qCqJZr2v6T3jZt5l2KGGpnXROzGo6xWUbsulvok/edit?gid=0" TargetMode="External"/><Relationship Id="rId200" Type="http://schemas.openxmlformats.org/officeDocument/2006/relationships/hyperlink" Target="https://docs.google.com/spreadsheets/d/1st2xaha4J5HQju-84bXAIbwnEr8HoLmo_Nh7gefwYrE/edit" TargetMode="External"/><Relationship Id="rId321" Type="http://schemas.openxmlformats.org/officeDocument/2006/relationships/hyperlink" Target="https://docs.google.com/spreadsheets/d/1KDY7rvYzLh2AmEhetkSjjudQ5onW_BSStDqRLzO9h3I/edit?gid=869132682" TargetMode="External"/><Relationship Id="rId442" Type="http://schemas.openxmlformats.org/officeDocument/2006/relationships/hyperlink" Target="https://docs.google.com/spreadsheets/d/1misMTk2lUTVNYS1dD2HmsHTualxp80w24XJKulurDME/edit?gid=0" TargetMode="External"/><Relationship Id="rId563" Type="http://schemas.openxmlformats.org/officeDocument/2006/relationships/hyperlink" Target="https://docs.google.com/spreadsheets/d/18TD2qCqJZr2v6T3jZt5l2KGGpnXROzGo6xWUbsulvok/edit?gid=0" TargetMode="External"/><Relationship Id="rId320" Type="http://schemas.openxmlformats.org/officeDocument/2006/relationships/hyperlink" Target="https://docs.google.com/spreadsheets/d/1KDY7rvYzLh2AmEhetkSjjudQ5onW_BSStDqRLzO9h3I/edit?gid=869132682" TargetMode="External"/><Relationship Id="rId441" Type="http://schemas.openxmlformats.org/officeDocument/2006/relationships/hyperlink" Target="https://docs.google.com/spreadsheets/d/1misMTk2lUTVNYS1dD2HmsHTualxp80w24XJKulurDME/edit?gid=0" TargetMode="External"/><Relationship Id="rId562" Type="http://schemas.openxmlformats.org/officeDocument/2006/relationships/hyperlink" Target="https://docs.google.com/spreadsheets/d/18TD2qCqJZr2v6T3jZt5l2KGGpnXROzGo6xWUbsulvok/edit?gid=0" TargetMode="External"/><Relationship Id="rId316" Type="http://schemas.openxmlformats.org/officeDocument/2006/relationships/hyperlink" Target="https://docs.google.com/spreadsheets/d/1KDY7rvYzLh2AmEhetkSjjudQ5onW_BSStDqRLzO9h3I/edit?gid=869132682" TargetMode="External"/><Relationship Id="rId437" Type="http://schemas.openxmlformats.org/officeDocument/2006/relationships/hyperlink" Target="https://docs.google.com/spreadsheets/d/1pYRKh3nn77d4i9r35Hb-gkMHWJnJtLqrS8vZU7jr4RQ/edit?gid=0" TargetMode="External"/><Relationship Id="rId558" Type="http://schemas.openxmlformats.org/officeDocument/2006/relationships/hyperlink" Target="https://docs.google.com/spreadsheets/d/18TD2qCqJZr2v6T3jZt5l2KGGpnXROzGo6xWUbsulvok/edit?gid=0" TargetMode="External"/><Relationship Id="rId315" Type="http://schemas.openxmlformats.org/officeDocument/2006/relationships/hyperlink" Target="https://docs.google.com/spreadsheets/d/1KDY7rvYzLh2AmEhetkSjjudQ5onW_BSStDqRLzO9h3I/edit?gid=869132682" TargetMode="External"/><Relationship Id="rId436" Type="http://schemas.openxmlformats.org/officeDocument/2006/relationships/hyperlink" Target="https://docs.google.com/spreadsheets/d/1pYRKh3nn77d4i9r35Hb-gkMHWJnJtLqrS8vZU7jr4RQ/edit?gid=0" TargetMode="External"/><Relationship Id="rId557" Type="http://schemas.openxmlformats.org/officeDocument/2006/relationships/hyperlink" Target="https://docs.google.com/spreadsheets/d/18TD2qCqJZr2v6T3jZt5l2KGGpnXROzGo6xWUbsulvok/edit?gid=0" TargetMode="External"/><Relationship Id="rId314" Type="http://schemas.openxmlformats.org/officeDocument/2006/relationships/hyperlink" Target="https://docs.google.com/spreadsheets/d/1KDY7rvYzLh2AmEhetkSjjudQ5onW_BSStDqRLzO9h3I/edit?gid=869132682" TargetMode="External"/><Relationship Id="rId435" Type="http://schemas.openxmlformats.org/officeDocument/2006/relationships/hyperlink" Target="https://docs.google.com/spreadsheets/d/1pYRKh3nn77d4i9r35Hb-gkMHWJnJtLqrS8vZU7jr4RQ/edit?gid=0" TargetMode="External"/><Relationship Id="rId556" Type="http://schemas.openxmlformats.org/officeDocument/2006/relationships/hyperlink" Target="https://docs.google.com/spreadsheets/d/18TD2qCqJZr2v6T3jZt5l2KGGpnXROzGo6xWUbsulvok/edit?gid=0" TargetMode="External"/><Relationship Id="rId313" Type="http://schemas.openxmlformats.org/officeDocument/2006/relationships/hyperlink" Target="https://docs.google.com/spreadsheets/d/1KDY7rvYzLh2AmEhetkSjjudQ5onW_BSStDqRLzO9h3I/edit?gid=869132682" TargetMode="External"/><Relationship Id="rId434" Type="http://schemas.openxmlformats.org/officeDocument/2006/relationships/hyperlink" Target="https://docs.google.com/spreadsheets/d/1pYRKh3nn77d4i9r35Hb-gkMHWJnJtLqrS8vZU7jr4RQ/edit?gid=0" TargetMode="External"/><Relationship Id="rId555" Type="http://schemas.openxmlformats.org/officeDocument/2006/relationships/hyperlink" Target="https://docs.google.com/spreadsheets/d/18TD2qCqJZr2v6T3jZt5l2KGGpnXROzGo6xWUbsulvok/edit?gid=0" TargetMode="External"/><Relationship Id="rId319" Type="http://schemas.openxmlformats.org/officeDocument/2006/relationships/hyperlink" Target="https://docs.google.com/spreadsheets/d/1KDY7rvYzLh2AmEhetkSjjudQ5onW_BSStDqRLzO9h3I/edit?gid=869132682" TargetMode="External"/><Relationship Id="rId318" Type="http://schemas.openxmlformats.org/officeDocument/2006/relationships/hyperlink" Target="https://docs.google.com/spreadsheets/d/1KDY7rvYzLh2AmEhetkSjjudQ5onW_BSStDqRLzO9h3I/edit?gid=869132682" TargetMode="External"/><Relationship Id="rId439" Type="http://schemas.openxmlformats.org/officeDocument/2006/relationships/hyperlink" Target="https://docs.google.com/spreadsheets/d/1pYRKh3nn77d4i9r35Hb-gkMHWJnJtLqrS8vZU7jr4RQ/edit?gid=0" TargetMode="External"/><Relationship Id="rId317" Type="http://schemas.openxmlformats.org/officeDocument/2006/relationships/hyperlink" Target="https://docs.google.com/spreadsheets/d/1KDY7rvYzLh2AmEhetkSjjudQ5onW_BSStDqRLzO9h3I/edit?gid=869132682" TargetMode="External"/><Relationship Id="rId438" Type="http://schemas.openxmlformats.org/officeDocument/2006/relationships/hyperlink" Target="https://docs.google.com/spreadsheets/d/1pYRKh3nn77d4i9r35Hb-gkMHWJnJtLqrS8vZU7jr4RQ/edit?gid=0" TargetMode="External"/><Relationship Id="rId559" Type="http://schemas.openxmlformats.org/officeDocument/2006/relationships/hyperlink" Target="https://docs.google.com/spreadsheets/d/18TD2qCqJZr2v6T3jZt5l2KGGpnXROzGo6xWUbsulvok/edit?gid=0" TargetMode="External"/><Relationship Id="rId550" Type="http://schemas.openxmlformats.org/officeDocument/2006/relationships/hyperlink" Target="https://docs.google.com/spreadsheets/d/1q2r2cEyzSuPLc4YHXX2wCz8XM0xwNJOeZ0KVUyiyfzU/edit?gid=372291483" TargetMode="External"/><Relationship Id="rId312" Type="http://schemas.openxmlformats.org/officeDocument/2006/relationships/hyperlink" Target="https://docs.google.com/spreadsheets/d/1KDY7rvYzLh2AmEhetkSjjudQ5onW_BSStDqRLzO9h3I/edit?gid=869132682" TargetMode="External"/><Relationship Id="rId433" Type="http://schemas.openxmlformats.org/officeDocument/2006/relationships/hyperlink" Target="https://docs.google.com/spreadsheets/d/1pYRKh3nn77d4i9r35Hb-gkMHWJnJtLqrS8vZU7jr4RQ/edit?gid=0" TargetMode="External"/><Relationship Id="rId554" Type="http://schemas.openxmlformats.org/officeDocument/2006/relationships/hyperlink" Target="https://docs.google.com/spreadsheets/d/18TD2qCqJZr2v6T3jZt5l2KGGpnXROzGo6xWUbsulvok/edit?gid=0" TargetMode="External"/><Relationship Id="rId311" Type="http://schemas.openxmlformats.org/officeDocument/2006/relationships/hyperlink" Target="https://docs.google.com/spreadsheets/d/1KDY7rvYzLh2AmEhetkSjjudQ5onW_BSStDqRLzO9h3I/edit?gid=869132682" TargetMode="External"/><Relationship Id="rId432" Type="http://schemas.openxmlformats.org/officeDocument/2006/relationships/hyperlink" Target="https://docs.google.com/spreadsheets/d/1pYRKh3nn77d4i9r35Hb-gkMHWJnJtLqrS8vZU7jr4RQ/edit?gid=0" TargetMode="External"/><Relationship Id="rId553" Type="http://schemas.openxmlformats.org/officeDocument/2006/relationships/hyperlink" Target="https://docs.google.com/spreadsheets/d/18TD2qCqJZr2v6T3jZt5l2KGGpnXROzGo6xWUbsulvok/edit?gid=0" TargetMode="External"/><Relationship Id="rId310" Type="http://schemas.openxmlformats.org/officeDocument/2006/relationships/hyperlink" Target="https://docs.google.com/spreadsheets/d/1KDY7rvYzLh2AmEhetkSjjudQ5onW_BSStDqRLzO9h3I/edit?gid=869132682" TargetMode="External"/><Relationship Id="rId431" Type="http://schemas.openxmlformats.org/officeDocument/2006/relationships/hyperlink" Target="https://docs.google.com/spreadsheets/d/1pYRKh3nn77d4i9r35Hb-gkMHWJnJtLqrS8vZU7jr4RQ/edit?gid=0" TargetMode="External"/><Relationship Id="rId552" Type="http://schemas.openxmlformats.org/officeDocument/2006/relationships/hyperlink" Target="https://docs.google.com/spreadsheets/d/1q2r2cEyzSuPLc4YHXX2wCz8XM0xwNJOeZ0KVUyiyfzU/edit?gid=372291483" TargetMode="External"/><Relationship Id="rId430" Type="http://schemas.openxmlformats.org/officeDocument/2006/relationships/hyperlink" Target="https://docs.google.com/spreadsheets/d/1pYRKh3nn77d4i9r35Hb-gkMHWJnJtLqrS8vZU7jr4RQ/edit?gid=0" TargetMode="External"/><Relationship Id="rId551" Type="http://schemas.openxmlformats.org/officeDocument/2006/relationships/hyperlink" Target="https://docs.google.com/spreadsheets/d/1q2r2cEyzSuPLc4YHXX2wCz8XM0xwNJOeZ0KVUyiyfzU/edit?gid=372291483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8.22"/>
    <col customWidth="1" min="2" max="2" width="14.44"/>
    <col customWidth="1" min="3" max="3" width="17.1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67"/>
  </cols>
  <sheetData>
    <row r="3">
      <c r="A3" s="5" t="s">
        <v>42</v>
      </c>
      <c r="B3" s="6" t="s">
        <v>43</v>
      </c>
    </row>
    <row r="4">
      <c r="A4" s="5" t="s">
        <v>44</v>
      </c>
    </row>
  </sheetData>
  <hyperlinks>
    <hyperlink r:id="rId1" location="gid=34440851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44"/>
    <col customWidth="1" min="2" max="2" width="8.0"/>
    <col customWidth="1" min="3" max="3" width="7.44"/>
    <col customWidth="1" min="4" max="4" width="11.44"/>
    <col customWidth="1" min="5" max="5" width="6.44"/>
    <col customWidth="1" min="6" max="6" width="16.89"/>
    <col customWidth="1" min="7" max="7" width="4.67"/>
    <col customWidth="1" min="8" max="8" width="13.44"/>
    <col customWidth="1" min="9" max="9" width="18.67"/>
    <col customWidth="1" min="10" max="10" width="21.44"/>
    <col customWidth="1" min="11" max="11" width="28.22"/>
    <col customWidth="1" min="12" max="12" width="15.78"/>
    <col customWidth="1" min="13" max="16" width="10.78"/>
    <col customWidth="1" min="17" max="29" width="10.56"/>
  </cols>
  <sheetData>
    <row r="1">
      <c r="A1" s="7" t="s">
        <v>45</v>
      </c>
      <c r="B1" s="8" t="s">
        <v>46</v>
      </c>
      <c r="C1" s="8" t="s">
        <v>47</v>
      </c>
      <c r="D1" s="9" t="s">
        <v>48</v>
      </c>
      <c r="E1" s="10" t="s">
        <v>49</v>
      </c>
      <c r="F1" s="11" t="s">
        <v>50</v>
      </c>
      <c r="G1" s="7" t="s">
        <v>51</v>
      </c>
      <c r="H1" s="12" t="s">
        <v>1</v>
      </c>
      <c r="I1" s="7" t="s">
        <v>2</v>
      </c>
      <c r="J1" s="7" t="s">
        <v>52</v>
      </c>
      <c r="K1" s="7" t="s">
        <v>53</v>
      </c>
      <c r="L1" s="13" t="s">
        <v>54</v>
      </c>
      <c r="M1" s="14" t="s">
        <v>55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5"/>
      <c r="B2" s="16">
        <f t="shared" ref="B2:B147" si="1">C2</f>
        <v>45730</v>
      </c>
      <c r="C2" s="17">
        <v>45730.0</v>
      </c>
      <c r="D2" s="18"/>
      <c r="E2" s="19" t="s">
        <v>56</v>
      </c>
      <c r="F2" s="20" t="s">
        <v>57</v>
      </c>
      <c r="G2" s="21" t="s">
        <v>58</v>
      </c>
      <c r="H2" s="22"/>
      <c r="I2" s="20" t="s">
        <v>12</v>
      </c>
      <c r="J2" s="20" t="s">
        <v>59</v>
      </c>
      <c r="K2" s="22" t="s">
        <v>60</v>
      </c>
      <c r="L2" s="23"/>
      <c r="M2" s="14"/>
      <c r="N2" s="15"/>
      <c r="O2" s="15"/>
      <c r="P2" s="24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15"/>
      <c r="B3" s="16">
        <f t="shared" si="1"/>
        <v>45730</v>
      </c>
      <c r="C3" s="17">
        <v>45730.0</v>
      </c>
      <c r="D3" s="18"/>
      <c r="E3" s="19" t="s">
        <v>61</v>
      </c>
      <c r="F3" s="20" t="s">
        <v>57</v>
      </c>
      <c r="G3" s="21" t="s">
        <v>58</v>
      </c>
      <c r="H3" s="22"/>
      <c r="I3" s="20" t="s">
        <v>12</v>
      </c>
      <c r="J3" s="20" t="s">
        <v>59</v>
      </c>
      <c r="K3" s="22" t="s">
        <v>60</v>
      </c>
      <c r="L3" s="23"/>
      <c r="M3" s="14"/>
      <c r="N3" s="15"/>
      <c r="O3" s="15"/>
      <c r="P3" s="2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5"/>
      <c r="B4" s="16">
        <f t="shared" si="1"/>
        <v>45730</v>
      </c>
      <c r="C4" s="17">
        <v>45730.0</v>
      </c>
      <c r="D4" s="18"/>
      <c r="E4" s="19" t="s">
        <v>61</v>
      </c>
      <c r="F4" s="20" t="s">
        <v>57</v>
      </c>
      <c r="G4" s="21" t="s">
        <v>58</v>
      </c>
      <c r="H4" s="22"/>
      <c r="I4" s="20" t="s">
        <v>12</v>
      </c>
      <c r="J4" s="20" t="s">
        <v>59</v>
      </c>
      <c r="K4" s="22" t="s">
        <v>60</v>
      </c>
      <c r="L4" s="23"/>
      <c r="M4" s="14"/>
      <c r="N4" s="15"/>
      <c r="O4" s="15"/>
      <c r="P4" s="2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5"/>
      <c r="B5" s="16">
        <f t="shared" si="1"/>
        <v>45730</v>
      </c>
      <c r="C5" s="17">
        <v>45730.0</v>
      </c>
      <c r="D5" s="18"/>
      <c r="E5" s="25"/>
      <c r="F5" s="20"/>
      <c r="G5" s="26"/>
      <c r="H5" s="22"/>
      <c r="I5" s="20" t="s">
        <v>12</v>
      </c>
      <c r="J5" s="20" t="s">
        <v>59</v>
      </c>
      <c r="K5" s="22" t="s">
        <v>60</v>
      </c>
      <c r="L5" s="23"/>
      <c r="M5" s="14"/>
      <c r="N5" s="15"/>
      <c r="O5" s="15"/>
      <c r="P5" s="24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5"/>
      <c r="B6" s="16">
        <f t="shared" si="1"/>
        <v>45730</v>
      </c>
      <c r="C6" s="17">
        <v>45730.0</v>
      </c>
      <c r="D6" s="18"/>
      <c r="E6" s="25"/>
      <c r="F6" s="20"/>
      <c r="G6" s="26"/>
      <c r="H6" s="22"/>
      <c r="I6" s="20" t="s">
        <v>12</v>
      </c>
      <c r="J6" s="20" t="s">
        <v>59</v>
      </c>
      <c r="K6" s="22" t="s">
        <v>60</v>
      </c>
      <c r="L6" s="23"/>
      <c r="M6" s="14"/>
      <c r="N6" s="15"/>
      <c r="O6" s="15"/>
      <c r="P6" s="24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5"/>
      <c r="B7" s="16">
        <f t="shared" si="1"/>
        <v>45730</v>
      </c>
      <c r="C7" s="17">
        <v>45730.0</v>
      </c>
      <c r="D7" s="18"/>
      <c r="E7" s="19" t="s">
        <v>62</v>
      </c>
      <c r="F7" s="20" t="s">
        <v>63</v>
      </c>
      <c r="G7" s="21" t="s">
        <v>58</v>
      </c>
      <c r="H7" s="22"/>
      <c r="I7" s="20" t="s">
        <v>12</v>
      </c>
      <c r="J7" s="20" t="s">
        <v>59</v>
      </c>
      <c r="K7" s="22" t="s">
        <v>60</v>
      </c>
      <c r="L7" s="23"/>
      <c r="M7" s="14"/>
      <c r="N7" s="15"/>
      <c r="O7" s="15"/>
      <c r="P7" s="2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5"/>
      <c r="B8" s="16">
        <f t="shared" si="1"/>
        <v>45730</v>
      </c>
      <c r="C8" s="17">
        <v>45730.0</v>
      </c>
      <c r="D8" s="18"/>
      <c r="E8" s="19" t="s">
        <v>64</v>
      </c>
      <c r="F8" s="20" t="s">
        <v>57</v>
      </c>
      <c r="G8" s="21" t="s">
        <v>58</v>
      </c>
      <c r="H8" s="22"/>
      <c r="I8" s="20" t="s">
        <v>12</v>
      </c>
      <c r="J8" s="20" t="s">
        <v>59</v>
      </c>
      <c r="K8" s="22" t="s">
        <v>60</v>
      </c>
      <c r="L8" s="23"/>
      <c r="M8" s="14"/>
      <c r="N8" s="15"/>
      <c r="O8" s="15"/>
      <c r="P8" s="24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5"/>
      <c r="B9" s="16">
        <f t="shared" si="1"/>
        <v>45730</v>
      </c>
      <c r="C9" s="17">
        <v>45730.0</v>
      </c>
      <c r="D9" s="18"/>
      <c r="E9" s="19" t="s">
        <v>62</v>
      </c>
      <c r="F9" s="20" t="s">
        <v>63</v>
      </c>
      <c r="G9" s="21" t="s">
        <v>58</v>
      </c>
      <c r="H9" s="22"/>
      <c r="I9" s="20" t="s">
        <v>12</v>
      </c>
      <c r="J9" s="20" t="s">
        <v>59</v>
      </c>
      <c r="K9" s="22" t="s">
        <v>60</v>
      </c>
      <c r="L9" s="23"/>
      <c r="M9" s="14"/>
      <c r="N9" s="15"/>
      <c r="O9" s="15"/>
      <c r="P9" s="24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15"/>
      <c r="B10" s="16">
        <f t="shared" si="1"/>
        <v>45730</v>
      </c>
      <c r="C10" s="17">
        <v>45730.0</v>
      </c>
      <c r="D10" s="18">
        <v>2.0</v>
      </c>
      <c r="E10" s="25"/>
      <c r="F10" s="20"/>
      <c r="G10" s="26"/>
      <c r="H10" s="22"/>
      <c r="I10" s="20" t="s">
        <v>12</v>
      </c>
      <c r="J10" s="20" t="s">
        <v>59</v>
      </c>
      <c r="K10" s="22" t="s">
        <v>60</v>
      </c>
      <c r="L10" s="23"/>
      <c r="M10" s="14"/>
      <c r="N10" s="15"/>
      <c r="O10" s="15"/>
      <c r="P10" s="2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15"/>
      <c r="B11" s="16">
        <f t="shared" si="1"/>
        <v>45730</v>
      </c>
      <c r="C11" s="17">
        <v>45730.0</v>
      </c>
      <c r="D11" s="18">
        <v>3.0</v>
      </c>
      <c r="E11" s="19" t="s">
        <v>61</v>
      </c>
      <c r="F11" s="20" t="s">
        <v>63</v>
      </c>
      <c r="G11" s="21" t="s">
        <v>58</v>
      </c>
      <c r="H11" s="22"/>
      <c r="I11" s="20" t="s">
        <v>12</v>
      </c>
      <c r="J11" s="20" t="s">
        <v>59</v>
      </c>
      <c r="K11" s="22" t="s">
        <v>60</v>
      </c>
      <c r="L11" s="23"/>
      <c r="M11" s="14"/>
      <c r="N11" s="15"/>
      <c r="O11" s="15"/>
      <c r="P11" s="24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5"/>
      <c r="B12" s="16">
        <f t="shared" si="1"/>
        <v>45730</v>
      </c>
      <c r="C12" s="17">
        <v>45730.0</v>
      </c>
      <c r="D12" s="18">
        <v>4.0</v>
      </c>
      <c r="E12" s="19" t="s">
        <v>64</v>
      </c>
      <c r="F12" s="20" t="s">
        <v>63</v>
      </c>
      <c r="G12" s="21" t="s">
        <v>58</v>
      </c>
      <c r="H12" s="22"/>
      <c r="I12" s="20" t="s">
        <v>12</v>
      </c>
      <c r="J12" s="20" t="s">
        <v>59</v>
      </c>
      <c r="K12" s="22" t="s">
        <v>60</v>
      </c>
      <c r="L12" s="23"/>
      <c r="M12" s="14"/>
      <c r="N12" s="15"/>
      <c r="O12" s="15"/>
      <c r="P12" s="24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15"/>
      <c r="B13" s="16">
        <f t="shared" si="1"/>
        <v>45730</v>
      </c>
      <c r="C13" s="17">
        <v>45730.0</v>
      </c>
      <c r="D13" s="18">
        <v>5.0</v>
      </c>
      <c r="E13" s="19" t="s">
        <v>56</v>
      </c>
      <c r="F13" s="20" t="s">
        <v>63</v>
      </c>
      <c r="G13" s="21" t="s">
        <v>58</v>
      </c>
      <c r="H13" s="22"/>
      <c r="I13" s="20" t="s">
        <v>12</v>
      </c>
      <c r="J13" s="20" t="s">
        <v>59</v>
      </c>
      <c r="K13" s="22" t="s">
        <v>60</v>
      </c>
      <c r="L13" s="23"/>
      <c r="M13" s="14"/>
      <c r="N13" s="15"/>
      <c r="O13" s="15"/>
      <c r="P13" s="2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15"/>
      <c r="B14" s="16">
        <f t="shared" si="1"/>
        <v>45730</v>
      </c>
      <c r="C14" s="17">
        <v>45730.0</v>
      </c>
      <c r="D14" s="18">
        <v>6.0</v>
      </c>
      <c r="E14" s="19" t="s">
        <v>64</v>
      </c>
      <c r="F14" s="20" t="s">
        <v>63</v>
      </c>
      <c r="G14" s="21" t="s">
        <v>58</v>
      </c>
      <c r="H14" s="22"/>
      <c r="I14" s="20" t="s">
        <v>12</v>
      </c>
      <c r="J14" s="20" t="s">
        <v>59</v>
      </c>
      <c r="K14" s="22" t="s">
        <v>60</v>
      </c>
      <c r="L14" s="23"/>
      <c r="M14" s="14"/>
      <c r="N14" s="15"/>
      <c r="O14" s="15"/>
      <c r="P14" s="24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ht="15.75" customHeight="1">
      <c r="A15" s="27"/>
      <c r="B15" s="16">
        <f t="shared" si="1"/>
        <v>45733</v>
      </c>
      <c r="C15" s="28">
        <v>45733.0</v>
      </c>
      <c r="D15" s="29">
        <v>3.0</v>
      </c>
      <c r="E15" s="30" t="s">
        <v>65</v>
      </c>
      <c r="F15" s="20" t="s">
        <v>66</v>
      </c>
      <c r="G15" s="31"/>
      <c r="H15" s="20"/>
      <c r="I15" s="20" t="s">
        <v>6</v>
      </c>
      <c r="J15" s="20" t="s">
        <v>67</v>
      </c>
      <c r="K15" s="32"/>
      <c r="L15" s="32"/>
      <c r="M15" s="32"/>
      <c r="N15" s="33"/>
      <c r="O15" s="33"/>
      <c r="P15" s="34" t="s">
        <v>68</v>
      </c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ht="15.75" customHeight="1">
      <c r="A16" s="27"/>
      <c r="B16" s="16">
        <f t="shared" si="1"/>
        <v>45733</v>
      </c>
      <c r="C16" s="28">
        <v>45733.0</v>
      </c>
      <c r="D16" s="29">
        <v>4.0</v>
      </c>
      <c r="E16" s="30"/>
      <c r="F16" s="20"/>
      <c r="G16" s="31"/>
      <c r="H16" s="20"/>
      <c r="I16" s="20" t="s">
        <v>6</v>
      </c>
      <c r="J16" s="20" t="s">
        <v>67</v>
      </c>
      <c r="K16" s="32"/>
      <c r="L16" s="32"/>
      <c r="M16" s="32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ht="15.75" customHeight="1">
      <c r="A17" s="27"/>
      <c r="B17" s="16">
        <f t="shared" si="1"/>
        <v>45733</v>
      </c>
      <c r="C17" s="28">
        <v>45733.0</v>
      </c>
      <c r="D17" s="29">
        <v>5.0</v>
      </c>
      <c r="E17" s="30"/>
      <c r="F17" s="20"/>
      <c r="G17" s="31"/>
      <c r="H17" s="20"/>
      <c r="I17" s="20" t="s">
        <v>6</v>
      </c>
      <c r="J17" s="20" t="s">
        <v>67</v>
      </c>
      <c r="K17" s="32"/>
      <c r="L17" s="32"/>
      <c r="M17" s="32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ht="15.75" customHeight="1">
      <c r="A18" s="27"/>
      <c r="B18" s="16">
        <f t="shared" si="1"/>
        <v>45733</v>
      </c>
      <c r="C18" s="28">
        <v>45733.0</v>
      </c>
      <c r="D18" s="29">
        <v>6.0</v>
      </c>
      <c r="E18" s="30"/>
      <c r="F18" s="20"/>
      <c r="G18" s="31"/>
      <c r="H18" s="20"/>
      <c r="I18" s="20" t="s">
        <v>6</v>
      </c>
      <c r="J18" s="20" t="s">
        <v>67</v>
      </c>
      <c r="K18" s="32"/>
      <c r="L18" s="32"/>
      <c r="M18" s="32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ht="15.75" customHeight="1">
      <c r="A19" s="27"/>
      <c r="B19" s="16">
        <f t="shared" si="1"/>
        <v>45733</v>
      </c>
      <c r="C19" s="28">
        <v>45733.0</v>
      </c>
      <c r="D19" s="29">
        <v>7.0</v>
      </c>
      <c r="E19" s="30" t="s">
        <v>69</v>
      </c>
      <c r="F19" s="20" t="s">
        <v>70</v>
      </c>
      <c r="G19" s="31"/>
      <c r="H19" s="20"/>
      <c r="I19" s="20" t="s">
        <v>6</v>
      </c>
      <c r="J19" s="20" t="s">
        <v>67</v>
      </c>
      <c r="K19" s="32"/>
      <c r="L19" s="32"/>
      <c r="M19" s="32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ht="15.75" customHeight="1">
      <c r="A20" s="27"/>
      <c r="B20" s="16">
        <f t="shared" si="1"/>
        <v>45733</v>
      </c>
      <c r="C20" s="28">
        <v>45733.0</v>
      </c>
      <c r="D20" s="29">
        <v>8.0</v>
      </c>
      <c r="E20" s="30" t="s">
        <v>69</v>
      </c>
      <c r="F20" s="20" t="s">
        <v>71</v>
      </c>
      <c r="G20" s="31" t="s">
        <v>58</v>
      </c>
      <c r="H20" s="20"/>
      <c r="I20" s="20" t="s">
        <v>6</v>
      </c>
      <c r="J20" s="20" t="s">
        <v>67</v>
      </c>
      <c r="K20" s="32"/>
      <c r="L20" s="32"/>
      <c r="M20" s="32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ht="15.75" customHeight="1">
      <c r="A21" s="27"/>
      <c r="B21" s="16">
        <f t="shared" si="1"/>
        <v>45733</v>
      </c>
      <c r="C21" s="28">
        <v>45733.0</v>
      </c>
      <c r="D21" s="29">
        <v>1.0</v>
      </c>
      <c r="E21" s="30" t="s">
        <v>72</v>
      </c>
      <c r="F21" s="20" t="s">
        <v>73</v>
      </c>
      <c r="G21" s="31"/>
      <c r="H21" s="20"/>
      <c r="I21" s="20" t="s">
        <v>12</v>
      </c>
      <c r="J21" s="20"/>
      <c r="K21" s="32"/>
      <c r="L21" s="32"/>
      <c r="M21" s="32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2" ht="15.75" customHeight="1">
      <c r="A22" s="27"/>
      <c r="B22" s="16">
        <f t="shared" si="1"/>
        <v>45733</v>
      </c>
      <c r="C22" s="28">
        <v>45733.0</v>
      </c>
      <c r="D22" s="29">
        <v>2.0</v>
      </c>
      <c r="E22" s="30" t="s">
        <v>74</v>
      </c>
      <c r="F22" s="20" t="s">
        <v>75</v>
      </c>
      <c r="G22" s="31"/>
      <c r="H22" s="20"/>
      <c r="I22" s="20" t="s">
        <v>12</v>
      </c>
      <c r="J22" s="20"/>
      <c r="K22" s="32"/>
      <c r="L22" s="32"/>
      <c r="M22" s="32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</row>
    <row r="23" ht="15.75" customHeight="1">
      <c r="A23" s="27"/>
      <c r="B23" s="16">
        <f t="shared" si="1"/>
        <v>45733</v>
      </c>
      <c r="C23" s="28">
        <v>45733.0</v>
      </c>
      <c r="D23" s="29">
        <v>3.0</v>
      </c>
      <c r="E23" s="30" t="s">
        <v>56</v>
      </c>
      <c r="F23" s="20" t="s">
        <v>75</v>
      </c>
      <c r="G23" s="31"/>
      <c r="H23" s="20"/>
      <c r="I23" s="20" t="s">
        <v>12</v>
      </c>
      <c r="J23" s="20"/>
      <c r="K23" s="32"/>
      <c r="L23" s="32"/>
      <c r="M23" s="32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 ht="15.75" customHeight="1">
      <c r="A24" s="27"/>
      <c r="B24" s="16">
        <f t="shared" si="1"/>
        <v>45733</v>
      </c>
      <c r="C24" s="28">
        <v>45733.0</v>
      </c>
      <c r="D24" s="29">
        <v>4.0</v>
      </c>
      <c r="E24" s="30" t="s">
        <v>61</v>
      </c>
      <c r="F24" s="20" t="s">
        <v>75</v>
      </c>
      <c r="G24" s="31"/>
      <c r="H24" s="20"/>
      <c r="I24" s="20" t="s">
        <v>12</v>
      </c>
      <c r="J24" s="20"/>
      <c r="K24" s="32"/>
      <c r="L24" s="32"/>
      <c r="M24" s="32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ht="15.75" customHeight="1">
      <c r="A25" s="27"/>
      <c r="B25" s="16">
        <f t="shared" si="1"/>
        <v>45733</v>
      </c>
      <c r="C25" s="28">
        <v>45733.0</v>
      </c>
      <c r="D25" s="29">
        <v>4.0</v>
      </c>
      <c r="E25" s="30" t="s">
        <v>76</v>
      </c>
      <c r="F25" s="20" t="s">
        <v>77</v>
      </c>
      <c r="G25" s="31"/>
      <c r="H25" s="20"/>
      <c r="I25" s="20" t="s">
        <v>4</v>
      </c>
      <c r="J25" s="20" t="s">
        <v>67</v>
      </c>
      <c r="K25" s="32"/>
      <c r="L25" s="32"/>
      <c r="M25" s="32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ht="15.75" customHeight="1">
      <c r="A26" s="27"/>
      <c r="B26" s="16">
        <f t="shared" si="1"/>
        <v>45734</v>
      </c>
      <c r="C26" s="28">
        <v>45734.0</v>
      </c>
      <c r="D26" s="29">
        <v>1.0</v>
      </c>
      <c r="E26" s="30" t="s">
        <v>78</v>
      </c>
      <c r="F26" s="20" t="s">
        <v>79</v>
      </c>
      <c r="G26" s="31"/>
      <c r="H26" s="20"/>
      <c r="I26" s="20" t="s">
        <v>9</v>
      </c>
      <c r="J26" s="20" t="s">
        <v>80</v>
      </c>
      <c r="K26" s="32"/>
      <c r="L26" s="32"/>
      <c r="M26" s="32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ht="15.75" customHeight="1">
      <c r="A27" s="27"/>
      <c r="B27" s="16">
        <f t="shared" si="1"/>
        <v>45734</v>
      </c>
      <c r="C27" s="28">
        <v>45734.0</v>
      </c>
      <c r="D27" s="29">
        <v>2.0</v>
      </c>
      <c r="E27" s="30" t="s">
        <v>78</v>
      </c>
      <c r="F27" s="20" t="s">
        <v>79</v>
      </c>
      <c r="G27" s="31"/>
      <c r="H27" s="20"/>
      <c r="I27" s="20" t="s">
        <v>9</v>
      </c>
      <c r="J27" s="20" t="s">
        <v>80</v>
      </c>
      <c r="K27" s="32"/>
      <c r="L27" s="32"/>
      <c r="M27" s="32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ht="15.75" customHeight="1">
      <c r="A28" s="27"/>
      <c r="B28" s="16">
        <f t="shared" si="1"/>
        <v>45736</v>
      </c>
      <c r="C28" s="28">
        <v>45736.0</v>
      </c>
      <c r="D28" s="29">
        <v>1.0</v>
      </c>
      <c r="E28" s="30" t="s">
        <v>56</v>
      </c>
      <c r="F28" s="20" t="s">
        <v>57</v>
      </c>
      <c r="G28" s="31" t="s">
        <v>58</v>
      </c>
      <c r="H28" s="20"/>
      <c r="I28" s="20" t="s">
        <v>12</v>
      </c>
      <c r="J28" s="20" t="s">
        <v>59</v>
      </c>
      <c r="K28" s="32"/>
      <c r="L28" s="32"/>
      <c r="M28" s="32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15.75" customHeight="1">
      <c r="A29" s="27"/>
      <c r="B29" s="16">
        <f t="shared" si="1"/>
        <v>45736</v>
      </c>
      <c r="C29" s="28">
        <v>45736.0</v>
      </c>
      <c r="D29" s="29">
        <v>2.0</v>
      </c>
      <c r="E29" s="30" t="s">
        <v>61</v>
      </c>
      <c r="F29" s="20" t="s">
        <v>57</v>
      </c>
      <c r="G29" s="31" t="s">
        <v>58</v>
      </c>
      <c r="H29" s="20"/>
      <c r="I29" s="20" t="s">
        <v>12</v>
      </c>
      <c r="J29" s="20" t="s">
        <v>59</v>
      </c>
      <c r="K29" s="32"/>
      <c r="L29" s="32"/>
      <c r="M29" s="32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15.75" customHeight="1">
      <c r="A30" s="27"/>
      <c r="B30" s="16">
        <f t="shared" si="1"/>
        <v>45736</v>
      </c>
      <c r="C30" s="28">
        <v>45736.0</v>
      </c>
      <c r="D30" s="29">
        <v>3.0</v>
      </c>
      <c r="E30" s="30" t="s">
        <v>61</v>
      </c>
      <c r="F30" s="20" t="s">
        <v>57</v>
      </c>
      <c r="G30" s="31" t="s">
        <v>58</v>
      </c>
      <c r="H30" s="20"/>
      <c r="I30" s="20" t="s">
        <v>12</v>
      </c>
      <c r="J30" s="20" t="s">
        <v>59</v>
      </c>
      <c r="K30" s="32"/>
      <c r="L30" s="32"/>
      <c r="M30" s="32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15.75" customHeight="1">
      <c r="A31" s="27"/>
      <c r="B31" s="16">
        <f t="shared" si="1"/>
        <v>45736</v>
      </c>
      <c r="C31" s="28">
        <v>45736.0</v>
      </c>
      <c r="D31" s="29">
        <v>4.0</v>
      </c>
      <c r="E31" s="30"/>
      <c r="F31" s="20"/>
      <c r="G31" s="31"/>
      <c r="H31" s="20"/>
      <c r="I31" s="20" t="s">
        <v>12</v>
      </c>
      <c r="J31" s="20" t="s">
        <v>59</v>
      </c>
      <c r="K31" s="32"/>
      <c r="L31" s="32"/>
      <c r="M31" s="32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15.75" customHeight="1">
      <c r="A32" s="27"/>
      <c r="B32" s="16">
        <f t="shared" si="1"/>
        <v>45736</v>
      </c>
      <c r="C32" s="28">
        <v>45736.0</v>
      </c>
      <c r="D32" s="29">
        <v>5.0</v>
      </c>
      <c r="E32" s="30" t="s">
        <v>62</v>
      </c>
      <c r="F32" s="20" t="s">
        <v>63</v>
      </c>
      <c r="G32" s="31" t="s">
        <v>58</v>
      </c>
      <c r="H32" s="20"/>
      <c r="I32" s="20" t="s">
        <v>12</v>
      </c>
      <c r="J32" s="20" t="s">
        <v>59</v>
      </c>
      <c r="K32" s="32"/>
      <c r="L32" s="32"/>
      <c r="M32" s="32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ht="15.75" customHeight="1">
      <c r="A33" s="27"/>
      <c r="B33" s="16">
        <f t="shared" si="1"/>
        <v>45736</v>
      </c>
      <c r="C33" s="28">
        <v>45736.0</v>
      </c>
      <c r="D33" s="29">
        <v>6.0</v>
      </c>
      <c r="E33" s="30" t="s">
        <v>64</v>
      </c>
      <c r="F33" s="20" t="s">
        <v>57</v>
      </c>
      <c r="G33" s="31" t="s">
        <v>58</v>
      </c>
      <c r="H33" s="20"/>
      <c r="I33" s="20" t="s">
        <v>12</v>
      </c>
      <c r="J33" s="20" t="s">
        <v>59</v>
      </c>
      <c r="K33" s="32"/>
      <c r="L33" s="32"/>
      <c r="M33" s="32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15.75" customHeight="1">
      <c r="A34" s="27"/>
      <c r="B34" s="16">
        <f t="shared" si="1"/>
        <v>45737</v>
      </c>
      <c r="C34" s="28">
        <v>45737.0</v>
      </c>
      <c r="D34" s="29">
        <v>6.0</v>
      </c>
      <c r="E34" s="30" t="s">
        <v>76</v>
      </c>
      <c r="F34" s="20"/>
      <c r="G34" s="31"/>
      <c r="H34" s="20" t="s">
        <v>35</v>
      </c>
      <c r="I34" s="35"/>
      <c r="J34" s="20" t="s">
        <v>81</v>
      </c>
      <c r="K34" s="32"/>
      <c r="L34" s="32"/>
      <c r="M34" s="32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15.75" customHeight="1">
      <c r="A35" s="27"/>
      <c r="B35" s="16">
        <f t="shared" si="1"/>
        <v>45737</v>
      </c>
      <c r="C35" s="28">
        <v>45737.0</v>
      </c>
      <c r="D35" s="29">
        <v>7.0</v>
      </c>
      <c r="E35" s="30" t="s">
        <v>82</v>
      </c>
      <c r="F35" s="20"/>
      <c r="G35" s="31"/>
      <c r="H35" s="20" t="s">
        <v>35</v>
      </c>
      <c r="I35" s="35"/>
      <c r="J35" s="20" t="s">
        <v>81</v>
      </c>
      <c r="K35" s="32"/>
      <c r="L35" s="32"/>
      <c r="M35" s="32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 ht="15.75" customHeight="1">
      <c r="A36" s="27"/>
      <c r="B36" s="16">
        <f t="shared" si="1"/>
        <v>45737</v>
      </c>
      <c r="C36" s="28">
        <v>45737.0</v>
      </c>
      <c r="D36" s="29">
        <v>8.0</v>
      </c>
      <c r="E36" s="30" t="s">
        <v>65</v>
      </c>
      <c r="F36" s="20" t="s">
        <v>83</v>
      </c>
      <c r="G36" s="31" t="s">
        <v>58</v>
      </c>
      <c r="H36" s="20"/>
      <c r="I36" s="35"/>
      <c r="J36" s="20" t="s">
        <v>81</v>
      </c>
      <c r="K36" s="32"/>
      <c r="L36" s="32"/>
      <c r="M36" s="32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</row>
    <row r="37" ht="15.75" customHeight="1">
      <c r="A37" s="27"/>
      <c r="B37" s="16">
        <f t="shared" si="1"/>
        <v>45737</v>
      </c>
      <c r="C37" s="28">
        <v>45737.0</v>
      </c>
      <c r="D37" s="29">
        <v>1.0</v>
      </c>
      <c r="E37" s="30" t="s">
        <v>72</v>
      </c>
      <c r="F37" s="20" t="s">
        <v>73</v>
      </c>
      <c r="G37" s="31"/>
      <c r="H37" s="20"/>
      <c r="I37" s="35"/>
      <c r="J37" s="32" t="s">
        <v>84</v>
      </c>
      <c r="K37" s="32"/>
      <c r="L37" s="32"/>
      <c r="M37" s="32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ht="15.75" customHeight="1">
      <c r="A38" s="27"/>
      <c r="B38" s="16">
        <f t="shared" si="1"/>
        <v>45737</v>
      </c>
      <c r="C38" s="28">
        <v>45737.0</v>
      </c>
      <c r="D38" s="18">
        <v>1.0</v>
      </c>
      <c r="E38" s="36" t="s">
        <v>85</v>
      </c>
      <c r="F38" s="20" t="s">
        <v>86</v>
      </c>
      <c r="G38" s="20" t="s">
        <v>58</v>
      </c>
      <c r="H38" s="37"/>
      <c r="I38" s="35"/>
      <c r="J38" s="32" t="s">
        <v>87</v>
      </c>
      <c r="K38" s="32"/>
      <c r="L38" s="32"/>
      <c r="M38" s="32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ht="15.75" customHeight="1">
      <c r="A39" s="27"/>
      <c r="B39" s="16">
        <f t="shared" si="1"/>
        <v>45737</v>
      </c>
      <c r="C39" s="28">
        <v>45737.0</v>
      </c>
      <c r="D39" s="18">
        <v>2.0</v>
      </c>
      <c r="E39" s="36" t="s">
        <v>82</v>
      </c>
      <c r="F39" s="20"/>
      <c r="G39" s="37"/>
      <c r="H39" s="37"/>
      <c r="I39" s="35"/>
      <c r="J39" s="32" t="s">
        <v>87</v>
      </c>
      <c r="K39" s="32"/>
      <c r="L39" s="32"/>
      <c r="M39" s="32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</row>
    <row r="40" ht="15.75" customHeight="1">
      <c r="A40" s="27"/>
      <c r="B40" s="16">
        <f t="shared" si="1"/>
        <v>45737</v>
      </c>
      <c r="C40" s="28">
        <v>45737.0</v>
      </c>
      <c r="D40" s="18">
        <v>3.0</v>
      </c>
      <c r="E40" s="36" t="s">
        <v>65</v>
      </c>
      <c r="F40" s="20" t="s">
        <v>86</v>
      </c>
      <c r="G40" s="20" t="s">
        <v>58</v>
      </c>
      <c r="H40" s="37"/>
      <c r="I40" s="35"/>
      <c r="J40" s="32" t="s">
        <v>87</v>
      </c>
      <c r="K40" s="32"/>
      <c r="L40" s="32"/>
      <c r="M40" s="32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</row>
    <row r="41" ht="15.75" customHeight="1">
      <c r="A41" s="27"/>
      <c r="B41" s="16">
        <f t="shared" si="1"/>
        <v>45757</v>
      </c>
      <c r="C41" s="28">
        <v>45757.0</v>
      </c>
      <c r="D41" s="18">
        <v>1.0</v>
      </c>
      <c r="E41" s="36" t="s">
        <v>88</v>
      </c>
      <c r="F41" s="20" t="s">
        <v>73</v>
      </c>
      <c r="G41" s="37"/>
      <c r="H41" s="37"/>
      <c r="I41" s="32" t="s">
        <v>8</v>
      </c>
      <c r="J41" s="32" t="s">
        <v>80</v>
      </c>
      <c r="K41" s="32"/>
      <c r="L41" s="32"/>
      <c r="M41" s="32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 ht="15.75" customHeight="1">
      <c r="A42" s="27"/>
      <c r="B42" s="16">
        <f t="shared" si="1"/>
        <v>45757</v>
      </c>
      <c r="C42" s="28">
        <v>45757.0</v>
      </c>
      <c r="D42" s="18">
        <v>2.0</v>
      </c>
      <c r="E42" s="36" t="s">
        <v>88</v>
      </c>
      <c r="F42" s="20" t="s">
        <v>89</v>
      </c>
      <c r="G42" s="37"/>
      <c r="H42" s="37"/>
      <c r="I42" s="32" t="s">
        <v>8</v>
      </c>
      <c r="J42" s="32" t="s">
        <v>80</v>
      </c>
      <c r="K42" s="32"/>
      <c r="L42" s="32"/>
      <c r="M42" s="32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</row>
    <row r="43" ht="15.75" customHeight="1">
      <c r="A43" s="27"/>
      <c r="B43" s="16">
        <f t="shared" si="1"/>
        <v>45757</v>
      </c>
      <c r="C43" s="28">
        <v>45757.0</v>
      </c>
      <c r="D43" s="18">
        <v>1.0</v>
      </c>
      <c r="E43" s="36" t="s">
        <v>69</v>
      </c>
      <c r="F43" s="20" t="s">
        <v>66</v>
      </c>
      <c r="G43" s="37"/>
      <c r="H43" s="37"/>
      <c r="I43" s="32" t="s">
        <v>13</v>
      </c>
      <c r="J43" s="32" t="s">
        <v>90</v>
      </c>
      <c r="K43" s="32" t="s">
        <v>91</v>
      </c>
      <c r="L43" s="32"/>
      <c r="M43" s="32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ht="15.75" customHeight="1">
      <c r="A44" s="27"/>
      <c r="B44" s="16">
        <f t="shared" si="1"/>
        <v>45757</v>
      </c>
      <c r="C44" s="28">
        <v>45757.0</v>
      </c>
      <c r="D44" s="18">
        <v>2.0</v>
      </c>
      <c r="E44" s="36" t="s">
        <v>69</v>
      </c>
      <c r="F44" s="20" t="s">
        <v>66</v>
      </c>
      <c r="G44" s="37"/>
      <c r="H44" s="37"/>
      <c r="I44" s="32" t="s">
        <v>13</v>
      </c>
      <c r="J44" s="32" t="s">
        <v>90</v>
      </c>
      <c r="K44" s="32" t="s">
        <v>91</v>
      </c>
      <c r="L44" s="32"/>
      <c r="M44" s="32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 ht="15.75" customHeight="1">
      <c r="A45" s="27"/>
      <c r="B45" s="16">
        <f t="shared" si="1"/>
        <v>45757</v>
      </c>
      <c r="C45" s="28">
        <v>45757.0</v>
      </c>
      <c r="D45" s="18">
        <v>3.0</v>
      </c>
      <c r="E45" s="36" t="s">
        <v>69</v>
      </c>
      <c r="F45" s="20" t="s">
        <v>66</v>
      </c>
      <c r="G45" s="37"/>
      <c r="H45" s="37"/>
      <c r="I45" s="32" t="s">
        <v>13</v>
      </c>
      <c r="J45" s="32" t="s">
        <v>90</v>
      </c>
      <c r="K45" s="32" t="s">
        <v>91</v>
      </c>
      <c r="L45" s="32"/>
      <c r="M45" s="32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15.75" customHeight="1">
      <c r="A46" s="27"/>
      <c r="B46" s="16">
        <f t="shared" si="1"/>
        <v>45757</v>
      </c>
      <c r="C46" s="28">
        <v>45757.0</v>
      </c>
      <c r="D46" s="18">
        <v>4.0</v>
      </c>
      <c r="E46" s="36" t="s">
        <v>65</v>
      </c>
      <c r="F46" s="20" t="s">
        <v>66</v>
      </c>
      <c r="G46" s="37"/>
      <c r="H46" s="37"/>
      <c r="I46" s="32" t="s">
        <v>13</v>
      </c>
      <c r="J46" s="32" t="s">
        <v>90</v>
      </c>
      <c r="K46" s="32" t="s">
        <v>91</v>
      </c>
      <c r="L46" s="32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15.75" customHeight="1">
      <c r="A47" s="27"/>
      <c r="B47" s="16">
        <f t="shared" si="1"/>
        <v>45757</v>
      </c>
      <c r="C47" s="28">
        <v>45757.0</v>
      </c>
      <c r="D47" s="18">
        <v>1.0</v>
      </c>
      <c r="E47" s="36" t="s">
        <v>92</v>
      </c>
      <c r="F47" s="20" t="s">
        <v>73</v>
      </c>
      <c r="H47" s="20" t="s">
        <v>27</v>
      </c>
      <c r="I47" s="32" t="s">
        <v>13</v>
      </c>
      <c r="J47" s="32" t="s">
        <v>63</v>
      </c>
      <c r="K47" s="32" t="s">
        <v>91</v>
      </c>
      <c r="L47" s="32"/>
      <c r="M47" s="3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ht="15.75" customHeight="1">
      <c r="A48" s="27"/>
      <c r="B48" s="16">
        <f t="shared" si="1"/>
        <v>45768</v>
      </c>
      <c r="C48" s="28">
        <v>45768.0</v>
      </c>
      <c r="D48" s="18">
        <v>1.0</v>
      </c>
      <c r="E48" s="36" t="s">
        <v>93</v>
      </c>
      <c r="F48" s="20"/>
      <c r="H48" s="20"/>
      <c r="I48" s="32"/>
      <c r="J48" s="32"/>
      <c r="K48" s="38" t="s">
        <v>94</v>
      </c>
      <c r="L48" s="32"/>
      <c r="M48" s="32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</row>
    <row r="49" ht="15.75" customHeight="1">
      <c r="A49" s="27"/>
      <c r="B49" s="16">
        <f t="shared" si="1"/>
        <v>45768</v>
      </c>
      <c r="C49" s="28">
        <v>45768.0</v>
      </c>
      <c r="D49" s="18">
        <v>2.0</v>
      </c>
      <c r="E49" s="36" t="s">
        <v>93</v>
      </c>
      <c r="F49" s="20" t="s">
        <v>95</v>
      </c>
      <c r="H49" s="20"/>
      <c r="I49" s="32" t="s">
        <v>15</v>
      </c>
      <c r="J49" s="32" t="s">
        <v>89</v>
      </c>
      <c r="K49" s="38" t="s">
        <v>94</v>
      </c>
      <c r="L49" s="32"/>
      <c r="M49" s="32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15.75" customHeight="1">
      <c r="A50" s="27"/>
      <c r="B50" s="16">
        <f t="shared" si="1"/>
        <v>45768</v>
      </c>
      <c r="C50" s="28">
        <v>45768.0</v>
      </c>
      <c r="D50" s="18">
        <v>3.0</v>
      </c>
      <c r="E50" s="36" t="s">
        <v>93</v>
      </c>
      <c r="F50" s="20" t="s">
        <v>95</v>
      </c>
      <c r="H50" s="20"/>
      <c r="I50" s="32" t="s">
        <v>15</v>
      </c>
      <c r="J50" s="32" t="s">
        <v>89</v>
      </c>
      <c r="K50" s="38" t="s">
        <v>94</v>
      </c>
      <c r="L50" s="32"/>
      <c r="M50" s="32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15.75" customHeight="1">
      <c r="A51" s="27"/>
      <c r="B51" s="16">
        <f t="shared" si="1"/>
        <v>45768</v>
      </c>
      <c r="C51" s="28">
        <v>45768.0</v>
      </c>
      <c r="D51" s="18">
        <v>4.0</v>
      </c>
      <c r="E51" s="36" t="s">
        <v>93</v>
      </c>
      <c r="F51" s="20" t="s">
        <v>95</v>
      </c>
      <c r="H51" s="20"/>
      <c r="I51" s="32" t="s">
        <v>15</v>
      </c>
      <c r="J51" s="32" t="s">
        <v>89</v>
      </c>
      <c r="K51" s="38" t="s">
        <v>94</v>
      </c>
      <c r="L51" s="32"/>
      <c r="M51" s="32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</row>
    <row r="52" ht="15.75" customHeight="1">
      <c r="A52" s="27"/>
      <c r="B52" s="16">
        <f t="shared" si="1"/>
        <v>45768</v>
      </c>
      <c r="C52" s="28">
        <v>45768.0</v>
      </c>
      <c r="D52" s="18">
        <v>5.0</v>
      </c>
      <c r="E52" s="36" t="s">
        <v>93</v>
      </c>
      <c r="F52" s="20" t="s">
        <v>95</v>
      </c>
      <c r="H52" s="20"/>
      <c r="I52" s="32" t="s">
        <v>15</v>
      </c>
      <c r="J52" s="32" t="s">
        <v>89</v>
      </c>
      <c r="K52" s="38" t="s">
        <v>94</v>
      </c>
      <c r="L52" s="32"/>
      <c r="M52" s="32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ht="15.75" customHeight="1">
      <c r="A53" s="27"/>
      <c r="B53" s="16">
        <f t="shared" si="1"/>
        <v>45768</v>
      </c>
      <c r="C53" s="28">
        <v>45768.0</v>
      </c>
      <c r="D53" s="18">
        <v>6.0</v>
      </c>
      <c r="E53" s="36" t="s">
        <v>69</v>
      </c>
      <c r="F53" s="20" t="s">
        <v>96</v>
      </c>
      <c r="H53" s="20"/>
      <c r="I53" s="32" t="s">
        <v>15</v>
      </c>
      <c r="J53" s="32" t="s">
        <v>89</v>
      </c>
      <c r="K53" s="38" t="s">
        <v>94</v>
      </c>
      <c r="L53" s="32"/>
      <c r="M53" s="32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 ht="15.75" customHeight="1">
      <c r="A54" s="27"/>
      <c r="B54" s="16">
        <f t="shared" si="1"/>
        <v>45768</v>
      </c>
      <c r="C54" s="28">
        <v>45768.0</v>
      </c>
      <c r="D54" s="18">
        <v>1.0</v>
      </c>
      <c r="E54" s="36" t="s">
        <v>97</v>
      </c>
      <c r="F54" s="20" t="s">
        <v>59</v>
      </c>
      <c r="G54" s="3" t="s">
        <v>58</v>
      </c>
      <c r="H54" s="20"/>
      <c r="I54" s="32" t="s">
        <v>13</v>
      </c>
      <c r="J54" s="32" t="s">
        <v>98</v>
      </c>
      <c r="L54" s="32"/>
      <c r="M54" s="32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5.75" customHeight="1">
      <c r="A55" s="27"/>
      <c r="B55" s="16">
        <f t="shared" si="1"/>
        <v>45768</v>
      </c>
      <c r="C55" s="28">
        <v>45768.0</v>
      </c>
      <c r="D55" s="18">
        <v>2.0</v>
      </c>
      <c r="E55" s="36" t="s">
        <v>65</v>
      </c>
      <c r="F55" s="20" t="s">
        <v>99</v>
      </c>
      <c r="H55" s="20"/>
      <c r="I55" s="32" t="s">
        <v>13</v>
      </c>
      <c r="J55" s="32" t="s">
        <v>98</v>
      </c>
      <c r="K55" s="38" t="s">
        <v>94</v>
      </c>
      <c r="L55" s="32"/>
      <c r="M55" s="32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15.75" customHeight="1">
      <c r="A56" s="27"/>
      <c r="B56" s="16">
        <f t="shared" si="1"/>
        <v>45768</v>
      </c>
      <c r="C56" s="28">
        <v>45768.0</v>
      </c>
      <c r="D56" s="18">
        <v>3.0</v>
      </c>
      <c r="E56" s="36" t="s">
        <v>74</v>
      </c>
      <c r="F56" s="20" t="s">
        <v>59</v>
      </c>
      <c r="G56" s="3" t="s">
        <v>58</v>
      </c>
      <c r="H56" s="20"/>
      <c r="I56" s="32" t="s">
        <v>13</v>
      </c>
      <c r="J56" s="32" t="s">
        <v>98</v>
      </c>
      <c r="K56" s="38" t="s">
        <v>94</v>
      </c>
      <c r="L56" s="32"/>
      <c r="M56" s="32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15.75" customHeight="1">
      <c r="A57" s="27"/>
      <c r="B57" s="16">
        <f t="shared" si="1"/>
        <v>45768</v>
      </c>
      <c r="C57" s="8">
        <v>45768.0</v>
      </c>
      <c r="D57" s="18">
        <v>4.0</v>
      </c>
      <c r="E57" s="36" t="s">
        <v>100</v>
      </c>
      <c r="F57" s="20" t="s">
        <v>59</v>
      </c>
      <c r="G57" s="3" t="s">
        <v>58</v>
      </c>
      <c r="H57" s="20"/>
      <c r="I57" s="32" t="s">
        <v>13</v>
      </c>
      <c r="J57" s="32" t="s">
        <v>98</v>
      </c>
      <c r="K57" s="38" t="s">
        <v>94</v>
      </c>
      <c r="L57" s="32"/>
      <c r="M57" s="32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15.75" customHeight="1">
      <c r="A58" s="27"/>
      <c r="B58" s="16">
        <f t="shared" si="1"/>
        <v>45768</v>
      </c>
      <c r="C58" s="17">
        <v>45768.0</v>
      </c>
      <c r="D58" s="18">
        <v>5.0</v>
      </c>
      <c r="E58" s="36" t="s">
        <v>56</v>
      </c>
      <c r="F58" s="20" t="s">
        <v>59</v>
      </c>
      <c r="G58" s="3" t="s">
        <v>58</v>
      </c>
      <c r="H58" s="20"/>
      <c r="I58" s="32" t="s">
        <v>13</v>
      </c>
      <c r="J58" s="32" t="s">
        <v>98</v>
      </c>
      <c r="K58" s="38" t="s">
        <v>94</v>
      </c>
      <c r="L58" s="32"/>
      <c r="M58" s="3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15.75" customHeight="1">
      <c r="A59" s="27"/>
      <c r="B59" s="16">
        <f t="shared" si="1"/>
        <v>45768</v>
      </c>
      <c r="C59" s="17">
        <v>45768.0</v>
      </c>
      <c r="D59" s="18">
        <v>6.0</v>
      </c>
      <c r="E59" s="36" t="s">
        <v>62</v>
      </c>
      <c r="F59" s="20" t="s">
        <v>59</v>
      </c>
      <c r="G59" s="3" t="s">
        <v>58</v>
      </c>
      <c r="H59" s="20"/>
      <c r="I59" s="32" t="s">
        <v>13</v>
      </c>
      <c r="J59" s="32" t="s">
        <v>98</v>
      </c>
      <c r="K59" s="38" t="s">
        <v>94</v>
      </c>
      <c r="L59" s="32"/>
      <c r="M59" s="32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15.75" customHeight="1">
      <c r="A60" s="27"/>
      <c r="B60" s="16">
        <f t="shared" si="1"/>
        <v>45768</v>
      </c>
      <c r="C60" s="17">
        <v>45768.0</v>
      </c>
      <c r="D60" s="18">
        <v>7.0</v>
      </c>
      <c r="E60" s="36" t="s">
        <v>64</v>
      </c>
      <c r="F60" s="20" t="s">
        <v>59</v>
      </c>
      <c r="G60" s="3" t="s">
        <v>58</v>
      </c>
      <c r="H60" s="20"/>
      <c r="I60" s="32" t="s">
        <v>13</v>
      </c>
      <c r="J60" s="32" t="s">
        <v>98</v>
      </c>
      <c r="K60" s="38" t="s">
        <v>94</v>
      </c>
      <c r="L60" s="32"/>
      <c r="M60" s="32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ht="15.75" customHeight="1">
      <c r="A61" s="27"/>
      <c r="B61" s="16">
        <f t="shared" si="1"/>
        <v>45768</v>
      </c>
      <c r="C61" s="17">
        <v>45768.0</v>
      </c>
      <c r="D61" s="18">
        <v>8.0</v>
      </c>
      <c r="E61" s="36" t="s">
        <v>62</v>
      </c>
      <c r="F61" s="20" t="s">
        <v>59</v>
      </c>
      <c r="G61" s="3" t="s">
        <v>58</v>
      </c>
      <c r="H61" s="20"/>
      <c r="I61" s="32" t="s">
        <v>13</v>
      </c>
      <c r="J61" s="32" t="s">
        <v>98</v>
      </c>
      <c r="K61" s="38" t="s">
        <v>94</v>
      </c>
      <c r="L61" s="32"/>
      <c r="M61" s="32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</row>
    <row r="62" ht="15.75" customHeight="1">
      <c r="A62" s="27"/>
      <c r="B62" s="16">
        <f t="shared" si="1"/>
        <v>45769</v>
      </c>
      <c r="C62" s="17">
        <v>45769.0</v>
      </c>
      <c r="D62" s="18">
        <v>4.0</v>
      </c>
      <c r="E62" s="36" t="s">
        <v>82</v>
      </c>
      <c r="F62" s="20" t="s">
        <v>99</v>
      </c>
      <c r="H62" s="20"/>
      <c r="I62" s="39" t="s">
        <v>4</v>
      </c>
      <c r="J62" s="39" t="s">
        <v>67</v>
      </c>
      <c r="K62" s="38" t="s">
        <v>94</v>
      </c>
      <c r="L62" s="32"/>
      <c r="M62" s="32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ht="15.75" customHeight="1">
      <c r="A63" s="27"/>
      <c r="B63" s="16">
        <f t="shared" si="1"/>
        <v>45769</v>
      </c>
      <c r="C63" s="17">
        <v>45769.0</v>
      </c>
      <c r="D63" s="18">
        <v>2.0</v>
      </c>
      <c r="E63" s="36" t="s">
        <v>82</v>
      </c>
      <c r="F63" s="20" t="s">
        <v>59</v>
      </c>
      <c r="G63" s="3" t="s">
        <v>58</v>
      </c>
      <c r="H63" s="20"/>
      <c r="I63" s="40" t="s">
        <v>15</v>
      </c>
      <c r="J63" s="40" t="s">
        <v>89</v>
      </c>
      <c r="K63" s="38" t="s">
        <v>94</v>
      </c>
      <c r="L63" s="32"/>
      <c r="M63" s="32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</row>
    <row r="64" ht="15.75" customHeight="1">
      <c r="A64" s="27"/>
      <c r="B64" s="16">
        <f t="shared" si="1"/>
        <v>45769</v>
      </c>
      <c r="C64" s="17">
        <v>45769.0</v>
      </c>
      <c r="D64" s="18">
        <v>3.0</v>
      </c>
      <c r="E64" s="36" t="s">
        <v>65</v>
      </c>
      <c r="F64" s="20" t="s">
        <v>59</v>
      </c>
      <c r="G64" s="3" t="s">
        <v>58</v>
      </c>
      <c r="H64" s="20"/>
      <c r="I64" s="40" t="s">
        <v>15</v>
      </c>
      <c r="J64" s="40" t="s">
        <v>89</v>
      </c>
      <c r="K64" s="38" t="s">
        <v>94</v>
      </c>
      <c r="L64" s="32"/>
      <c r="M64" s="32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</row>
    <row r="65" ht="15.75" customHeight="1">
      <c r="A65" s="27"/>
      <c r="B65" s="16">
        <f t="shared" si="1"/>
        <v>45769</v>
      </c>
      <c r="C65" s="17">
        <v>45769.0</v>
      </c>
      <c r="D65" s="18">
        <v>4.0</v>
      </c>
      <c r="E65" s="36" t="s">
        <v>82</v>
      </c>
      <c r="F65" s="20" t="s">
        <v>59</v>
      </c>
      <c r="G65" s="3" t="s">
        <v>58</v>
      </c>
      <c r="H65" s="20"/>
      <c r="I65" s="40" t="s">
        <v>15</v>
      </c>
      <c r="J65" s="40" t="s">
        <v>89</v>
      </c>
      <c r="K65" s="38" t="s">
        <v>94</v>
      </c>
      <c r="L65" s="32"/>
      <c r="M65" s="32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 ht="15.75" customHeight="1">
      <c r="A66" s="27"/>
      <c r="B66" s="16">
        <f t="shared" si="1"/>
        <v>45769</v>
      </c>
      <c r="C66" s="17">
        <v>45769.0</v>
      </c>
      <c r="D66" s="18">
        <v>5.0</v>
      </c>
      <c r="E66" s="36"/>
      <c r="F66" s="20"/>
      <c r="H66" s="20"/>
      <c r="I66" s="40" t="s">
        <v>15</v>
      </c>
      <c r="J66" s="40" t="s">
        <v>89</v>
      </c>
      <c r="K66" s="38" t="s">
        <v>94</v>
      </c>
      <c r="L66" s="32"/>
      <c r="M66" s="32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</row>
    <row r="67" ht="15.75" customHeight="1">
      <c r="A67" s="27"/>
      <c r="B67" s="16">
        <f t="shared" si="1"/>
        <v>45769</v>
      </c>
      <c r="C67" s="17">
        <v>45769.0</v>
      </c>
      <c r="D67" s="18">
        <v>6.0</v>
      </c>
      <c r="E67" s="36" t="s">
        <v>69</v>
      </c>
      <c r="F67" s="20" t="s">
        <v>59</v>
      </c>
      <c r="G67" s="3" t="s">
        <v>58</v>
      </c>
      <c r="H67" s="20"/>
      <c r="I67" s="40" t="s">
        <v>15</v>
      </c>
      <c r="J67" s="40" t="s">
        <v>89</v>
      </c>
      <c r="K67" s="38" t="s">
        <v>94</v>
      </c>
      <c r="L67" s="32"/>
      <c r="M67" s="32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</row>
    <row r="68" ht="15.75" customHeight="1">
      <c r="A68" s="27"/>
      <c r="B68" s="16">
        <f t="shared" si="1"/>
        <v>45769</v>
      </c>
      <c r="C68" s="17">
        <v>45769.0</v>
      </c>
      <c r="D68" s="18">
        <v>7.0</v>
      </c>
      <c r="E68" s="36" t="s">
        <v>97</v>
      </c>
      <c r="F68" s="20" t="s">
        <v>59</v>
      </c>
      <c r="G68" s="3" t="s">
        <v>58</v>
      </c>
      <c r="H68" s="20"/>
      <c r="I68" s="40" t="s">
        <v>15</v>
      </c>
      <c r="J68" s="40" t="s">
        <v>89</v>
      </c>
      <c r="K68" s="38" t="s">
        <v>94</v>
      </c>
      <c r="L68" s="32"/>
      <c r="M68" s="32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 ht="15.75" customHeight="1">
      <c r="A69" s="27"/>
      <c r="B69" s="16">
        <f t="shared" si="1"/>
        <v>45769</v>
      </c>
      <c r="C69" s="17">
        <v>45769.0</v>
      </c>
      <c r="D69" s="29">
        <v>8.0</v>
      </c>
      <c r="E69" s="41" t="s">
        <v>82</v>
      </c>
      <c r="F69" s="42" t="s">
        <v>59</v>
      </c>
      <c r="G69" s="43" t="s">
        <v>58</v>
      </c>
      <c r="H69" s="37"/>
      <c r="I69" s="40" t="s">
        <v>15</v>
      </c>
      <c r="J69" s="40" t="s">
        <v>89</v>
      </c>
      <c r="K69" s="38" t="s">
        <v>94</v>
      </c>
      <c r="L69" s="32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</row>
    <row r="70" ht="15.75" customHeight="1">
      <c r="A70" s="27"/>
      <c r="B70" s="16">
        <f t="shared" si="1"/>
        <v>45769</v>
      </c>
      <c r="C70" s="17">
        <v>45769.0</v>
      </c>
      <c r="D70" s="44">
        <v>6.0</v>
      </c>
      <c r="E70" s="45" t="s">
        <v>82</v>
      </c>
      <c r="F70" s="20" t="s">
        <v>81</v>
      </c>
      <c r="G70" s="39" t="s">
        <v>58</v>
      </c>
      <c r="H70" s="37"/>
      <c r="I70" s="40" t="s">
        <v>15</v>
      </c>
      <c r="J70" s="40" t="s">
        <v>89</v>
      </c>
      <c r="K70" s="38" t="s">
        <v>94</v>
      </c>
      <c r="L70" s="32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</row>
    <row r="71" ht="15.75" customHeight="1">
      <c r="A71" s="27"/>
      <c r="B71" s="16">
        <f t="shared" si="1"/>
        <v>45769</v>
      </c>
      <c r="C71" s="28">
        <v>45769.0</v>
      </c>
      <c r="D71" s="44">
        <v>7.0</v>
      </c>
      <c r="E71" s="45" t="s">
        <v>97</v>
      </c>
      <c r="F71" s="20" t="s">
        <v>101</v>
      </c>
      <c r="H71" s="39" t="s">
        <v>29</v>
      </c>
      <c r="I71" s="32" t="s">
        <v>15</v>
      </c>
      <c r="J71" s="32" t="s">
        <v>89</v>
      </c>
      <c r="K71" s="38" t="s">
        <v>94</v>
      </c>
      <c r="L71" s="32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</row>
    <row r="72" ht="15.75" customHeight="1">
      <c r="A72" s="27"/>
      <c r="B72" s="16">
        <f t="shared" si="1"/>
        <v>45769</v>
      </c>
      <c r="C72" s="28">
        <v>45769.0</v>
      </c>
      <c r="D72" s="44">
        <v>8.0</v>
      </c>
      <c r="E72" s="45" t="s">
        <v>65</v>
      </c>
      <c r="F72" s="20" t="s">
        <v>102</v>
      </c>
      <c r="H72" s="39" t="s">
        <v>29</v>
      </c>
      <c r="I72" s="32" t="s">
        <v>15</v>
      </c>
      <c r="J72" s="32" t="s">
        <v>89</v>
      </c>
      <c r="K72" s="38" t="s">
        <v>94</v>
      </c>
      <c r="L72" s="32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</row>
    <row r="73" ht="15.75" customHeight="1">
      <c r="A73" s="27"/>
      <c r="B73" s="16">
        <f t="shared" si="1"/>
        <v>45769</v>
      </c>
      <c r="C73" s="28">
        <v>45769.0</v>
      </c>
      <c r="D73" s="44">
        <v>3.0</v>
      </c>
      <c r="E73" s="45" t="s">
        <v>97</v>
      </c>
      <c r="F73" s="20" t="s">
        <v>67</v>
      </c>
      <c r="G73" s="40"/>
      <c r="H73" s="37"/>
      <c r="I73" s="32" t="s">
        <v>13</v>
      </c>
      <c r="J73" s="32" t="s">
        <v>103</v>
      </c>
      <c r="K73" s="38" t="s">
        <v>94</v>
      </c>
      <c r="L73" s="32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</row>
    <row r="74" ht="15.75" customHeight="1">
      <c r="A74" s="27"/>
      <c r="B74" s="16">
        <f t="shared" si="1"/>
        <v>45769</v>
      </c>
      <c r="C74" s="28">
        <v>45769.0</v>
      </c>
      <c r="D74" s="44">
        <v>4.0</v>
      </c>
      <c r="E74" s="45" t="s">
        <v>97</v>
      </c>
      <c r="F74" s="20" t="s">
        <v>81</v>
      </c>
      <c r="G74" s="39" t="s">
        <v>58</v>
      </c>
      <c r="H74" s="37"/>
      <c r="I74" s="32" t="s">
        <v>13</v>
      </c>
      <c r="J74" s="32" t="s">
        <v>103</v>
      </c>
      <c r="K74" s="38" t="s">
        <v>94</v>
      </c>
      <c r="L74" s="32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</row>
    <row r="75" ht="15.75" customHeight="1">
      <c r="A75" s="27"/>
      <c r="B75" s="16">
        <f t="shared" si="1"/>
        <v>45769</v>
      </c>
      <c r="C75" s="28">
        <v>45769.0</v>
      </c>
      <c r="D75" s="44">
        <v>5.0</v>
      </c>
      <c r="E75" s="46"/>
      <c r="F75" s="20"/>
      <c r="G75" s="40"/>
      <c r="H75" s="37"/>
      <c r="I75" s="32" t="s">
        <v>13</v>
      </c>
      <c r="J75" s="32" t="s">
        <v>103</v>
      </c>
      <c r="K75" s="38" t="s">
        <v>94</v>
      </c>
      <c r="L75" s="32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</row>
    <row r="76" ht="15.75" customHeight="1">
      <c r="A76" s="27"/>
      <c r="B76" s="16">
        <f t="shared" si="1"/>
        <v>45769</v>
      </c>
      <c r="C76" s="28">
        <v>45769.0</v>
      </c>
      <c r="D76" s="44">
        <v>6.0</v>
      </c>
      <c r="E76" s="45" t="s">
        <v>100</v>
      </c>
      <c r="F76" s="47" t="s">
        <v>67</v>
      </c>
      <c r="G76" s="40"/>
      <c r="H76" s="37"/>
      <c r="I76" s="32" t="s">
        <v>13</v>
      </c>
      <c r="J76" s="32" t="s">
        <v>103</v>
      </c>
      <c r="K76" s="38" t="s">
        <v>94</v>
      </c>
      <c r="L76" s="32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</row>
    <row r="77" ht="15.75" customHeight="1">
      <c r="A77" s="27"/>
      <c r="B77" s="16">
        <f t="shared" si="1"/>
        <v>45769</v>
      </c>
      <c r="C77" s="28">
        <v>45769.0</v>
      </c>
      <c r="D77" s="44">
        <v>7.0</v>
      </c>
      <c r="E77" s="46"/>
      <c r="F77" s="20"/>
      <c r="G77" s="40"/>
      <c r="H77" s="37"/>
      <c r="I77" s="32" t="s">
        <v>13</v>
      </c>
      <c r="J77" s="32" t="s">
        <v>103</v>
      </c>
      <c r="K77" s="38" t="s">
        <v>94</v>
      </c>
      <c r="L77" s="32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</row>
    <row r="78" ht="15.75" customHeight="1">
      <c r="A78" s="27"/>
      <c r="B78" s="16">
        <f t="shared" si="1"/>
        <v>45769</v>
      </c>
      <c r="C78" s="28">
        <v>45769.0</v>
      </c>
      <c r="D78" s="44">
        <v>8.0</v>
      </c>
      <c r="E78" s="45" t="s">
        <v>100</v>
      </c>
      <c r="F78" s="20" t="s">
        <v>81</v>
      </c>
      <c r="G78" s="40"/>
      <c r="H78" s="37"/>
      <c r="I78" s="32" t="s">
        <v>13</v>
      </c>
      <c r="J78" s="32" t="s">
        <v>103</v>
      </c>
      <c r="K78" s="38" t="s">
        <v>94</v>
      </c>
      <c r="L78" s="32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ht="15.75" customHeight="1">
      <c r="A79" s="27"/>
      <c r="B79" s="16" t="str">
        <f t="shared" si="1"/>
        <v/>
      </c>
      <c r="C79" s="28"/>
      <c r="D79" s="44">
        <v>5.0</v>
      </c>
      <c r="E79" s="45" t="s">
        <v>104</v>
      </c>
      <c r="F79" s="20" t="s">
        <v>59</v>
      </c>
      <c r="G79" s="37"/>
      <c r="H79" s="37"/>
      <c r="I79" s="48" t="s">
        <v>11</v>
      </c>
      <c r="J79" s="32" t="s">
        <v>105</v>
      </c>
      <c r="K79" s="38" t="s">
        <v>94</v>
      </c>
      <c r="L79" s="32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ht="15.75" customHeight="1">
      <c r="A80" s="27"/>
      <c r="B80" s="16" t="str">
        <f t="shared" si="1"/>
        <v/>
      </c>
      <c r="C80" s="28"/>
      <c r="D80" s="44">
        <v>6.0</v>
      </c>
      <c r="E80" s="45" t="s">
        <v>106</v>
      </c>
      <c r="F80" s="20" t="s">
        <v>59</v>
      </c>
      <c r="G80" s="37"/>
      <c r="H80" s="37"/>
      <c r="I80" s="48" t="s">
        <v>11</v>
      </c>
      <c r="J80" s="32" t="s">
        <v>105</v>
      </c>
      <c r="K80" s="38" t="s">
        <v>94</v>
      </c>
      <c r="L80" s="32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</row>
    <row r="81" ht="15.75" customHeight="1">
      <c r="A81" s="27"/>
      <c r="B81" s="16">
        <f t="shared" si="1"/>
        <v>45771</v>
      </c>
      <c r="C81" s="28">
        <v>45771.0</v>
      </c>
      <c r="D81" s="44">
        <v>6.0</v>
      </c>
      <c r="E81" s="45" t="s">
        <v>82</v>
      </c>
      <c r="F81" s="20" t="s">
        <v>81</v>
      </c>
      <c r="G81" s="40"/>
      <c r="H81" s="37"/>
      <c r="I81" s="32" t="s">
        <v>15</v>
      </c>
      <c r="J81" s="32" t="s">
        <v>89</v>
      </c>
      <c r="K81" s="38" t="s">
        <v>94</v>
      </c>
      <c r="L81" s="32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</row>
    <row r="82" ht="15.75" customHeight="1">
      <c r="A82" s="27"/>
      <c r="B82" s="16">
        <f t="shared" si="1"/>
        <v>45771</v>
      </c>
      <c r="C82" s="28">
        <v>45771.0</v>
      </c>
      <c r="D82" s="44">
        <v>7.0</v>
      </c>
      <c r="E82" s="45" t="s">
        <v>97</v>
      </c>
      <c r="F82" s="20" t="s">
        <v>101</v>
      </c>
      <c r="G82" s="40"/>
      <c r="H82" s="37"/>
      <c r="I82" s="32" t="s">
        <v>15</v>
      </c>
      <c r="J82" s="32" t="s">
        <v>89</v>
      </c>
      <c r="K82" s="38" t="s">
        <v>94</v>
      </c>
      <c r="L82" s="32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</row>
    <row r="83" ht="15.75" customHeight="1">
      <c r="A83" s="27"/>
      <c r="B83" s="16">
        <f t="shared" si="1"/>
        <v>45771</v>
      </c>
      <c r="C83" s="28">
        <v>45771.0</v>
      </c>
      <c r="D83" s="44">
        <v>8.0</v>
      </c>
      <c r="E83" s="45" t="s">
        <v>65</v>
      </c>
      <c r="F83" s="20" t="s">
        <v>63</v>
      </c>
      <c r="G83" s="37"/>
      <c r="H83" s="37"/>
      <c r="I83" s="32" t="s">
        <v>15</v>
      </c>
      <c r="J83" s="32" t="s">
        <v>89</v>
      </c>
      <c r="K83" s="38" t="s">
        <v>94</v>
      </c>
      <c r="L83" s="32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</row>
    <row r="84" ht="15.75" customHeight="1">
      <c r="A84" s="27"/>
      <c r="B84" s="16">
        <f t="shared" si="1"/>
        <v>45771</v>
      </c>
      <c r="C84" s="28">
        <v>45771.0</v>
      </c>
      <c r="D84" s="44">
        <v>2.0</v>
      </c>
      <c r="E84" s="45" t="s">
        <v>104</v>
      </c>
      <c r="F84" s="20" t="s">
        <v>105</v>
      </c>
      <c r="G84" s="40"/>
      <c r="H84" s="37"/>
      <c r="I84" s="32" t="s">
        <v>8</v>
      </c>
      <c r="J84" s="32" t="s">
        <v>107</v>
      </c>
      <c r="K84" s="38" t="s">
        <v>94</v>
      </c>
      <c r="L84" s="32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ht="15.75" customHeight="1">
      <c r="A85" s="27"/>
      <c r="B85" s="16">
        <f t="shared" si="1"/>
        <v>45771</v>
      </c>
      <c r="C85" s="28">
        <v>45771.0</v>
      </c>
      <c r="D85" s="44">
        <v>3.0</v>
      </c>
      <c r="E85" s="45" t="s">
        <v>56</v>
      </c>
      <c r="F85" s="20" t="s">
        <v>98</v>
      </c>
      <c r="G85" s="37"/>
      <c r="H85" s="37"/>
      <c r="I85" s="32" t="s">
        <v>8</v>
      </c>
      <c r="J85" s="32" t="s">
        <v>107</v>
      </c>
      <c r="K85" s="38" t="s">
        <v>94</v>
      </c>
      <c r="L85" s="32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</row>
    <row r="86" ht="15.75" customHeight="1">
      <c r="A86" s="27"/>
      <c r="B86" s="16">
        <f t="shared" si="1"/>
        <v>45771</v>
      </c>
      <c r="C86" s="28">
        <v>45771.0</v>
      </c>
      <c r="D86" s="44">
        <v>4.0</v>
      </c>
      <c r="E86" s="45" t="s">
        <v>56</v>
      </c>
      <c r="F86" s="20"/>
      <c r="G86" s="37"/>
      <c r="H86" s="37"/>
      <c r="I86" s="32" t="s">
        <v>8</v>
      </c>
      <c r="J86" s="32" t="s">
        <v>107</v>
      </c>
      <c r="K86" s="38" t="s">
        <v>94</v>
      </c>
      <c r="L86" s="32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ht="15.75" customHeight="1">
      <c r="A87" s="27"/>
      <c r="B87" s="16">
        <f t="shared" si="1"/>
        <v>45771</v>
      </c>
      <c r="C87" s="28">
        <v>45771.0</v>
      </c>
      <c r="D87" s="44">
        <v>5.0</v>
      </c>
      <c r="E87" s="45" t="s">
        <v>108</v>
      </c>
      <c r="F87" s="20" t="s">
        <v>109</v>
      </c>
      <c r="G87" s="37"/>
      <c r="H87" s="37"/>
      <c r="I87" s="32" t="s">
        <v>8</v>
      </c>
      <c r="J87" s="32" t="s">
        <v>107</v>
      </c>
      <c r="K87" s="38" t="s">
        <v>94</v>
      </c>
      <c r="L87" s="32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ht="15.75" customHeight="1">
      <c r="A88" s="27"/>
      <c r="B88" s="16">
        <f t="shared" si="1"/>
        <v>45771</v>
      </c>
      <c r="C88" s="28">
        <v>45771.0</v>
      </c>
      <c r="D88" s="44">
        <v>6.0</v>
      </c>
      <c r="E88" s="45" t="s">
        <v>72</v>
      </c>
      <c r="F88" s="20" t="s">
        <v>71</v>
      </c>
      <c r="G88" s="40"/>
      <c r="H88" s="37"/>
      <c r="I88" s="32" t="s">
        <v>8</v>
      </c>
      <c r="J88" s="32" t="s">
        <v>107</v>
      </c>
      <c r="K88" s="38" t="s">
        <v>94</v>
      </c>
      <c r="L88" s="32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15.75" customHeight="1">
      <c r="A89" s="27"/>
      <c r="B89" s="16">
        <f t="shared" si="1"/>
        <v>45771</v>
      </c>
      <c r="C89" s="28">
        <v>45771.0</v>
      </c>
      <c r="D89" s="44">
        <v>7.0</v>
      </c>
      <c r="E89" s="45" t="s">
        <v>72</v>
      </c>
      <c r="F89" s="20" t="s">
        <v>110</v>
      </c>
      <c r="G89" s="40"/>
      <c r="H89" s="37"/>
      <c r="I89" s="32" t="s">
        <v>8</v>
      </c>
      <c r="J89" s="32" t="s">
        <v>107</v>
      </c>
      <c r="K89" s="38" t="s">
        <v>94</v>
      </c>
      <c r="L89" s="32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15.75" customHeight="1">
      <c r="A90" s="27"/>
      <c r="B90" s="16">
        <f t="shared" si="1"/>
        <v>45771</v>
      </c>
      <c r="C90" s="28">
        <v>45771.0</v>
      </c>
      <c r="D90" s="44">
        <v>8.0</v>
      </c>
      <c r="E90" s="45" t="s">
        <v>61</v>
      </c>
      <c r="F90" s="20" t="s">
        <v>102</v>
      </c>
      <c r="G90" s="40"/>
      <c r="H90" s="37"/>
      <c r="I90" s="32" t="s">
        <v>8</v>
      </c>
      <c r="J90" s="32" t="s">
        <v>107</v>
      </c>
      <c r="K90" s="38" t="s">
        <v>94</v>
      </c>
      <c r="L90" s="32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15.75" customHeight="1">
      <c r="A91" s="27"/>
      <c r="B91" s="16">
        <f t="shared" si="1"/>
        <v>45771</v>
      </c>
      <c r="C91" s="28">
        <v>45771.0</v>
      </c>
      <c r="D91" s="44">
        <v>1.0</v>
      </c>
      <c r="E91" s="45" t="s">
        <v>100</v>
      </c>
      <c r="F91" s="20" t="s">
        <v>84</v>
      </c>
      <c r="G91" s="40"/>
      <c r="H91" s="37"/>
      <c r="I91" s="32" t="s">
        <v>6</v>
      </c>
      <c r="J91" s="20" t="s">
        <v>86</v>
      </c>
      <c r="K91" s="38" t="s">
        <v>94</v>
      </c>
      <c r="L91" s="32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15.75" customHeight="1">
      <c r="A92" s="27"/>
      <c r="B92" s="16">
        <f t="shared" si="1"/>
        <v>45771</v>
      </c>
      <c r="C92" s="28">
        <v>45771.0</v>
      </c>
      <c r="D92" s="44">
        <v>3.0</v>
      </c>
      <c r="E92" s="45" t="s">
        <v>100</v>
      </c>
      <c r="F92" s="20" t="s">
        <v>111</v>
      </c>
      <c r="G92" s="20" t="s">
        <v>58</v>
      </c>
      <c r="H92" s="37"/>
      <c r="I92" s="32" t="s">
        <v>6</v>
      </c>
      <c r="J92" s="20" t="s">
        <v>86</v>
      </c>
      <c r="K92" s="38" t="s">
        <v>94</v>
      </c>
      <c r="L92" s="32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15.75" customHeight="1">
      <c r="A93" s="27"/>
      <c r="B93" s="16">
        <f t="shared" si="1"/>
        <v>45771</v>
      </c>
      <c r="C93" s="28">
        <v>45771.0</v>
      </c>
      <c r="D93" s="44">
        <v>5.0</v>
      </c>
      <c r="E93" s="49" t="s">
        <v>65</v>
      </c>
      <c r="F93" s="20" t="s">
        <v>111</v>
      </c>
      <c r="G93" s="20" t="s">
        <v>58</v>
      </c>
      <c r="H93" s="37"/>
      <c r="I93" s="32" t="s">
        <v>6</v>
      </c>
      <c r="J93" s="20" t="s">
        <v>86</v>
      </c>
      <c r="K93" s="38" t="s">
        <v>94</v>
      </c>
      <c r="L93" s="32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15.75" customHeight="1">
      <c r="A94" s="27"/>
      <c r="B94" s="16">
        <f t="shared" si="1"/>
        <v>45771</v>
      </c>
      <c r="C94" s="28">
        <v>45771.0</v>
      </c>
      <c r="D94" s="44">
        <v>6.0</v>
      </c>
      <c r="E94" s="49" t="s">
        <v>65</v>
      </c>
      <c r="F94" s="20" t="s">
        <v>112</v>
      </c>
      <c r="G94" s="37"/>
      <c r="H94" s="37"/>
      <c r="I94" s="32" t="s">
        <v>6</v>
      </c>
      <c r="J94" s="20" t="s">
        <v>86</v>
      </c>
      <c r="K94" s="38" t="s">
        <v>94</v>
      </c>
      <c r="L94" s="32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15.75" customHeight="1">
      <c r="A95" s="27"/>
      <c r="B95" s="16">
        <f t="shared" si="1"/>
        <v>45772</v>
      </c>
      <c r="C95" s="28">
        <v>45772.0</v>
      </c>
      <c r="D95" s="44">
        <v>3.0</v>
      </c>
      <c r="E95" s="50" t="s">
        <v>100</v>
      </c>
      <c r="F95" s="20" t="s">
        <v>113</v>
      </c>
      <c r="G95" s="37"/>
      <c r="H95" s="37"/>
      <c r="I95" s="32" t="s">
        <v>13</v>
      </c>
      <c r="J95" s="32" t="s">
        <v>114</v>
      </c>
      <c r="K95" s="38" t="s">
        <v>94</v>
      </c>
      <c r="L95" s="32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15.75" customHeight="1">
      <c r="A96" s="27"/>
      <c r="B96" s="16">
        <f t="shared" si="1"/>
        <v>45772</v>
      </c>
      <c r="C96" s="28">
        <v>45772.0</v>
      </c>
      <c r="D96" s="44">
        <v>4.0</v>
      </c>
      <c r="E96" s="50" t="s">
        <v>97</v>
      </c>
      <c r="F96" s="20" t="s">
        <v>59</v>
      </c>
      <c r="G96" s="37"/>
      <c r="H96" s="37"/>
      <c r="I96" s="32" t="s">
        <v>13</v>
      </c>
      <c r="J96" s="32" t="s">
        <v>114</v>
      </c>
      <c r="K96" s="38" t="s">
        <v>94</v>
      </c>
      <c r="L96" s="32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15.75" customHeight="1">
      <c r="A97" s="27"/>
      <c r="B97" s="16">
        <f t="shared" si="1"/>
        <v>45772</v>
      </c>
      <c r="C97" s="28">
        <v>45772.0</v>
      </c>
      <c r="D97" s="44">
        <v>5.0</v>
      </c>
      <c r="E97" s="50" t="s">
        <v>62</v>
      </c>
      <c r="F97" s="20" t="s">
        <v>115</v>
      </c>
      <c r="H97" s="37"/>
      <c r="I97" s="32" t="s">
        <v>13</v>
      </c>
      <c r="J97" s="32" t="s">
        <v>114</v>
      </c>
      <c r="K97" s="38" t="s">
        <v>94</v>
      </c>
      <c r="L97" s="32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15.75" customHeight="1">
      <c r="A98" s="27"/>
      <c r="B98" s="16">
        <f t="shared" si="1"/>
        <v>45772</v>
      </c>
      <c r="C98" s="28">
        <v>45772.0</v>
      </c>
      <c r="D98" s="44">
        <v>6.0</v>
      </c>
      <c r="E98" s="50" t="s">
        <v>62</v>
      </c>
      <c r="F98" s="20" t="s">
        <v>115</v>
      </c>
      <c r="H98" s="37"/>
      <c r="I98" s="32" t="s">
        <v>13</v>
      </c>
      <c r="J98" s="32" t="s">
        <v>114</v>
      </c>
      <c r="K98" s="38" t="s">
        <v>94</v>
      </c>
      <c r="L98" s="32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15.75" customHeight="1">
      <c r="A99" s="27"/>
      <c r="B99" s="16">
        <f t="shared" si="1"/>
        <v>45772</v>
      </c>
      <c r="C99" s="28">
        <v>45772.0</v>
      </c>
      <c r="D99" s="44">
        <v>7.0</v>
      </c>
      <c r="E99" s="50" t="s">
        <v>100</v>
      </c>
      <c r="F99" s="20" t="s">
        <v>59</v>
      </c>
      <c r="G99" s="39" t="s">
        <v>58</v>
      </c>
      <c r="H99" s="37"/>
      <c r="I99" s="32" t="s">
        <v>13</v>
      </c>
      <c r="J99" s="32" t="s">
        <v>114</v>
      </c>
      <c r="K99" s="38" t="s">
        <v>94</v>
      </c>
      <c r="L99" s="32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15.75" customHeight="1">
      <c r="A100" s="27"/>
      <c r="B100" s="16">
        <f t="shared" si="1"/>
        <v>45772</v>
      </c>
      <c r="C100" s="28">
        <v>45772.0</v>
      </c>
      <c r="D100" s="44">
        <v>8.0</v>
      </c>
      <c r="E100" s="50" t="s">
        <v>97</v>
      </c>
      <c r="F100" s="20" t="s">
        <v>59</v>
      </c>
      <c r="G100" s="20" t="s">
        <v>58</v>
      </c>
      <c r="H100" s="37"/>
      <c r="I100" s="32" t="s">
        <v>13</v>
      </c>
      <c r="J100" s="32" t="s">
        <v>114</v>
      </c>
      <c r="K100" s="38" t="s">
        <v>94</v>
      </c>
      <c r="L100" s="32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ht="15.75" customHeight="1">
      <c r="A101" s="27"/>
      <c r="B101" s="16">
        <f t="shared" si="1"/>
        <v>45775</v>
      </c>
      <c r="C101" s="28">
        <v>45775.0</v>
      </c>
      <c r="D101" s="44">
        <v>1.0</v>
      </c>
      <c r="E101" s="50" t="s">
        <v>93</v>
      </c>
      <c r="F101" s="20" t="s">
        <v>63</v>
      </c>
      <c r="G101" s="20" t="s">
        <v>58</v>
      </c>
      <c r="H101" s="37"/>
      <c r="I101" s="32" t="s">
        <v>15</v>
      </c>
      <c r="J101" s="32" t="s">
        <v>89</v>
      </c>
      <c r="K101" s="51" t="s">
        <v>116</v>
      </c>
      <c r="L101" s="32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ht="15.75" customHeight="1">
      <c r="A102" s="27"/>
      <c r="B102" s="16">
        <f t="shared" si="1"/>
        <v>45775</v>
      </c>
      <c r="C102" s="28">
        <v>45775.0</v>
      </c>
      <c r="D102" s="44">
        <v>2.0</v>
      </c>
      <c r="E102" s="50" t="s">
        <v>93</v>
      </c>
      <c r="F102" s="20" t="s">
        <v>63</v>
      </c>
      <c r="G102" s="39" t="s">
        <v>58</v>
      </c>
      <c r="H102" s="37"/>
      <c r="I102" s="32" t="s">
        <v>15</v>
      </c>
      <c r="J102" s="32" t="s">
        <v>89</v>
      </c>
      <c r="K102" s="51" t="s">
        <v>116</v>
      </c>
      <c r="L102" s="32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ht="15.75" customHeight="1">
      <c r="A103" s="27"/>
      <c r="B103" s="16">
        <f t="shared" si="1"/>
        <v>45775</v>
      </c>
      <c r="C103" s="28">
        <v>45775.0</v>
      </c>
      <c r="D103" s="44">
        <v>3.0</v>
      </c>
      <c r="E103" s="50" t="s">
        <v>93</v>
      </c>
      <c r="F103" s="20" t="s">
        <v>63</v>
      </c>
      <c r="G103" s="39" t="s">
        <v>58</v>
      </c>
      <c r="H103" s="37"/>
      <c r="I103" s="32" t="s">
        <v>15</v>
      </c>
      <c r="J103" s="32" t="s">
        <v>89</v>
      </c>
      <c r="K103" s="51" t="s">
        <v>116</v>
      </c>
      <c r="L103" s="32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ht="15.75" customHeight="1">
      <c r="A104" s="27"/>
      <c r="B104" s="16">
        <f t="shared" si="1"/>
        <v>45775</v>
      </c>
      <c r="C104" s="28">
        <v>45775.0</v>
      </c>
      <c r="D104" s="44">
        <v>4.0</v>
      </c>
      <c r="E104" s="50" t="s">
        <v>93</v>
      </c>
      <c r="F104" s="20" t="s">
        <v>63</v>
      </c>
      <c r="G104" s="39" t="s">
        <v>58</v>
      </c>
      <c r="H104" s="37"/>
      <c r="I104" s="32" t="s">
        <v>15</v>
      </c>
      <c r="J104" s="32" t="s">
        <v>89</v>
      </c>
      <c r="K104" s="51" t="s">
        <v>116</v>
      </c>
      <c r="L104" s="32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ht="15.75" customHeight="1">
      <c r="A105" s="27"/>
      <c r="B105" s="16">
        <f t="shared" si="1"/>
        <v>45775</v>
      </c>
      <c r="C105" s="28">
        <v>45775.0</v>
      </c>
      <c r="D105" s="44">
        <v>5.0</v>
      </c>
      <c r="E105" s="50" t="s">
        <v>93</v>
      </c>
      <c r="F105" s="20" t="s">
        <v>63</v>
      </c>
      <c r="G105" s="20" t="s">
        <v>58</v>
      </c>
      <c r="H105" s="37"/>
      <c r="I105" s="32" t="s">
        <v>15</v>
      </c>
      <c r="J105" s="32" t="s">
        <v>89</v>
      </c>
      <c r="K105" s="51" t="s">
        <v>116</v>
      </c>
      <c r="L105" s="32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ht="15.75" customHeight="1">
      <c r="A106" s="27"/>
      <c r="B106" s="16">
        <f t="shared" si="1"/>
        <v>45775</v>
      </c>
      <c r="C106" s="28">
        <v>45775.0</v>
      </c>
      <c r="D106" s="44">
        <v>6.0</v>
      </c>
      <c r="E106" s="45" t="s">
        <v>69</v>
      </c>
      <c r="F106" s="20" t="s">
        <v>96</v>
      </c>
      <c r="G106" s="20"/>
      <c r="H106" s="37"/>
      <c r="I106" s="32" t="s">
        <v>15</v>
      </c>
      <c r="J106" s="32" t="s">
        <v>89</v>
      </c>
      <c r="K106" s="51" t="s">
        <v>116</v>
      </c>
      <c r="L106" s="32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ht="15.75" customHeight="1">
      <c r="A107" s="27"/>
      <c r="B107" s="16">
        <f t="shared" si="1"/>
        <v>45776</v>
      </c>
      <c r="C107" s="28">
        <v>45776.0</v>
      </c>
      <c r="D107" s="44">
        <v>2.0</v>
      </c>
      <c r="E107" s="45" t="s">
        <v>82</v>
      </c>
      <c r="F107" s="20" t="s">
        <v>102</v>
      </c>
      <c r="G107" s="20"/>
      <c r="H107" s="20" t="s">
        <v>31</v>
      </c>
      <c r="I107" s="32" t="s">
        <v>15</v>
      </c>
      <c r="J107" s="32" t="s">
        <v>89</v>
      </c>
      <c r="K107" s="51" t="s">
        <v>116</v>
      </c>
      <c r="L107" s="32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ht="15.75" customHeight="1">
      <c r="A108" s="27"/>
      <c r="B108" s="16">
        <f t="shared" si="1"/>
        <v>45776</v>
      </c>
      <c r="C108" s="28">
        <v>45776.0</v>
      </c>
      <c r="D108" s="44">
        <v>3.0</v>
      </c>
      <c r="E108" s="45" t="s">
        <v>65</v>
      </c>
      <c r="F108" s="20" t="s">
        <v>59</v>
      </c>
      <c r="G108" s="20" t="s">
        <v>58</v>
      </c>
      <c r="H108" s="37"/>
      <c r="I108" s="32" t="s">
        <v>15</v>
      </c>
      <c r="J108" s="32" t="s">
        <v>89</v>
      </c>
      <c r="K108" s="51" t="s">
        <v>116</v>
      </c>
      <c r="L108" s="32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ht="15.75" customHeight="1">
      <c r="A109" s="27"/>
      <c r="B109" s="16">
        <f t="shared" si="1"/>
        <v>45776</v>
      </c>
      <c r="C109" s="28">
        <v>45776.0</v>
      </c>
      <c r="D109" s="44">
        <v>4.0</v>
      </c>
      <c r="E109" s="45" t="s">
        <v>82</v>
      </c>
      <c r="F109" s="20" t="s">
        <v>59</v>
      </c>
      <c r="G109" s="20" t="s">
        <v>58</v>
      </c>
      <c r="H109" s="37"/>
      <c r="I109" s="32" t="s">
        <v>15</v>
      </c>
      <c r="J109" s="32" t="s">
        <v>89</v>
      </c>
      <c r="K109" s="51" t="s">
        <v>116</v>
      </c>
      <c r="L109" s="32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</row>
    <row r="110" ht="15.75" customHeight="1">
      <c r="A110" s="27"/>
      <c r="B110" s="16">
        <f t="shared" si="1"/>
        <v>45776</v>
      </c>
      <c r="C110" s="28">
        <v>45776.0</v>
      </c>
      <c r="D110" s="44">
        <v>5.0</v>
      </c>
      <c r="E110" s="46"/>
      <c r="F110" s="20"/>
      <c r="G110" s="20"/>
      <c r="H110" s="37"/>
      <c r="I110" s="32" t="s">
        <v>15</v>
      </c>
      <c r="J110" s="32" t="s">
        <v>89</v>
      </c>
      <c r="K110" s="51" t="s">
        <v>116</v>
      </c>
      <c r="L110" s="32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</row>
    <row r="111" ht="15.75" customHeight="1">
      <c r="A111" s="27"/>
      <c r="B111" s="16">
        <f t="shared" si="1"/>
        <v>45776</v>
      </c>
      <c r="C111" s="28">
        <v>45776.0</v>
      </c>
      <c r="D111" s="44">
        <v>6.0</v>
      </c>
      <c r="E111" s="45" t="s">
        <v>69</v>
      </c>
      <c r="F111" s="20" t="s">
        <v>77</v>
      </c>
      <c r="G111" s="20"/>
      <c r="H111" s="37"/>
      <c r="I111" s="32" t="s">
        <v>15</v>
      </c>
      <c r="J111" s="32" t="s">
        <v>89</v>
      </c>
      <c r="K111" s="51" t="s">
        <v>116</v>
      </c>
      <c r="L111" s="32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</row>
    <row r="112" ht="15.75" customHeight="1">
      <c r="A112" s="27"/>
      <c r="B112" s="16">
        <f t="shared" si="1"/>
        <v>45776</v>
      </c>
      <c r="C112" s="28">
        <v>45776.0</v>
      </c>
      <c r="D112" s="44">
        <v>7.0</v>
      </c>
      <c r="E112" s="45" t="s">
        <v>97</v>
      </c>
      <c r="F112" s="20" t="s">
        <v>103</v>
      </c>
      <c r="G112" s="20" t="s">
        <v>58</v>
      </c>
      <c r="H112" s="37"/>
      <c r="I112" s="32" t="s">
        <v>15</v>
      </c>
      <c r="J112" s="32" t="s">
        <v>89</v>
      </c>
      <c r="K112" s="51" t="s">
        <v>116</v>
      </c>
      <c r="L112" s="32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</row>
    <row r="113" ht="15.75" customHeight="1">
      <c r="A113" s="27"/>
      <c r="B113" s="16">
        <f t="shared" si="1"/>
        <v>45776</v>
      </c>
      <c r="C113" s="28">
        <v>45776.0</v>
      </c>
      <c r="D113" s="44">
        <v>8.0</v>
      </c>
      <c r="E113" s="45" t="s">
        <v>82</v>
      </c>
      <c r="F113" s="20" t="s">
        <v>102</v>
      </c>
      <c r="G113" s="20" t="s">
        <v>58</v>
      </c>
      <c r="H113" s="37"/>
      <c r="I113" s="32" t="s">
        <v>15</v>
      </c>
      <c r="J113" s="32" t="s">
        <v>89</v>
      </c>
      <c r="K113" s="51" t="s">
        <v>116</v>
      </c>
      <c r="L113" s="32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</row>
    <row r="114" ht="15.75" customHeight="1">
      <c r="A114" s="27"/>
      <c r="B114" s="16">
        <f t="shared" si="1"/>
        <v>45776</v>
      </c>
      <c r="C114" s="28">
        <v>45776.0</v>
      </c>
      <c r="D114" s="44">
        <v>1.0</v>
      </c>
      <c r="E114" s="45" t="s">
        <v>97</v>
      </c>
      <c r="F114" s="20" t="s">
        <v>59</v>
      </c>
      <c r="G114" s="20" t="s">
        <v>58</v>
      </c>
      <c r="H114" s="37"/>
      <c r="I114" s="32" t="s">
        <v>13</v>
      </c>
      <c r="J114" s="32" t="s">
        <v>109</v>
      </c>
      <c r="K114" s="51" t="s">
        <v>116</v>
      </c>
      <c r="L114" s="32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</row>
    <row r="115" ht="15.75" customHeight="1">
      <c r="A115" s="27"/>
      <c r="B115" s="16">
        <f t="shared" si="1"/>
        <v>45776</v>
      </c>
      <c r="C115" s="28">
        <v>45776.0</v>
      </c>
      <c r="D115" s="44">
        <v>2.0</v>
      </c>
      <c r="E115" s="45" t="s">
        <v>100</v>
      </c>
      <c r="F115" s="20" t="s">
        <v>59</v>
      </c>
      <c r="G115" s="20" t="s">
        <v>58</v>
      </c>
      <c r="H115" s="37"/>
      <c r="I115" s="32" t="s">
        <v>13</v>
      </c>
      <c r="J115" s="32" t="s">
        <v>109</v>
      </c>
      <c r="K115" s="51" t="s">
        <v>116</v>
      </c>
      <c r="L115" s="32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</row>
    <row r="116" ht="15.75" customHeight="1">
      <c r="A116" s="27"/>
      <c r="B116" s="16">
        <f t="shared" si="1"/>
        <v>45776</v>
      </c>
      <c r="C116" s="28">
        <v>45776.0</v>
      </c>
      <c r="D116" s="44">
        <v>3.0</v>
      </c>
      <c r="E116" s="46"/>
      <c r="F116" s="20"/>
      <c r="G116" s="37"/>
      <c r="H116" s="37"/>
      <c r="I116" s="32" t="s">
        <v>13</v>
      </c>
      <c r="J116" s="32" t="s">
        <v>109</v>
      </c>
      <c r="K116" s="51" t="s">
        <v>116</v>
      </c>
      <c r="L116" s="32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</row>
    <row r="117" ht="15.75" customHeight="1">
      <c r="A117" s="27"/>
      <c r="B117" s="16">
        <f t="shared" si="1"/>
        <v>45776</v>
      </c>
      <c r="C117" s="28">
        <v>45776.0</v>
      </c>
      <c r="D117" s="44">
        <v>4.0</v>
      </c>
      <c r="E117" s="46"/>
      <c r="F117" s="20"/>
      <c r="G117" s="37"/>
      <c r="H117" s="37"/>
      <c r="I117" s="32" t="s">
        <v>13</v>
      </c>
      <c r="J117" s="32" t="s">
        <v>109</v>
      </c>
      <c r="K117" s="51" t="s">
        <v>116</v>
      </c>
      <c r="L117" s="32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</row>
    <row r="118" ht="15.75" customHeight="1">
      <c r="A118" s="27"/>
      <c r="B118" s="16">
        <f t="shared" si="1"/>
        <v>45776</v>
      </c>
      <c r="C118" s="28">
        <v>45776.0</v>
      </c>
      <c r="D118" s="44">
        <v>5.0</v>
      </c>
      <c r="E118" s="45" t="s">
        <v>61</v>
      </c>
      <c r="F118" s="20" t="s">
        <v>98</v>
      </c>
      <c r="G118" s="39" t="s">
        <v>58</v>
      </c>
      <c r="H118" s="37"/>
      <c r="I118" s="32" t="s">
        <v>13</v>
      </c>
      <c r="J118" s="32" t="s">
        <v>109</v>
      </c>
      <c r="K118" s="51" t="s">
        <v>116</v>
      </c>
      <c r="L118" s="32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</row>
    <row r="119" ht="15.75" customHeight="1">
      <c r="A119" s="27"/>
      <c r="B119" s="16">
        <f t="shared" si="1"/>
        <v>45776</v>
      </c>
      <c r="C119" s="28">
        <v>45776.0</v>
      </c>
      <c r="D119" s="44">
        <v>6.0</v>
      </c>
      <c r="E119" s="45" t="s">
        <v>56</v>
      </c>
      <c r="F119" s="20" t="s">
        <v>110</v>
      </c>
      <c r="G119" s="37"/>
      <c r="H119" s="37"/>
      <c r="I119" s="32" t="s">
        <v>13</v>
      </c>
      <c r="J119" s="32" t="s">
        <v>109</v>
      </c>
      <c r="K119" s="51" t="s">
        <v>116</v>
      </c>
      <c r="L119" s="32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</row>
    <row r="120" ht="15.75" customHeight="1">
      <c r="A120" s="27"/>
      <c r="B120" s="16">
        <f t="shared" si="1"/>
        <v>45776</v>
      </c>
      <c r="C120" s="28">
        <v>45776.0</v>
      </c>
      <c r="D120" s="44">
        <v>7.0</v>
      </c>
      <c r="E120" s="45" t="s">
        <v>72</v>
      </c>
      <c r="F120" s="20" t="s">
        <v>110</v>
      </c>
      <c r="G120" s="37"/>
      <c r="H120" s="37"/>
      <c r="I120" s="32" t="s">
        <v>13</v>
      </c>
      <c r="J120" s="32" t="s">
        <v>109</v>
      </c>
      <c r="K120" s="51" t="s">
        <v>116</v>
      </c>
      <c r="L120" s="32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</row>
    <row r="121">
      <c r="A121" s="27"/>
      <c r="B121" s="16">
        <f t="shared" si="1"/>
        <v>45776</v>
      </c>
      <c r="C121" s="28">
        <v>45776.0</v>
      </c>
      <c r="D121" s="52">
        <v>5.0</v>
      </c>
      <c r="E121" s="45" t="s">
        <v>97</v>
      </c>
      <c r="F121" s="20" t="s">
        <v>112</v>
      </c>
      <c r="G121" s="40"/>
      <c r="H121" s="37"/>
      <c r="I121" s="32" t="s">
        <v>14</v>
      </c>
      <c r="J121" s="32" t="s">
        <v>117</v>
      </c>
      <c r="K121" s="51" t="s">
        <v>116</v>
      </c>
      <c r="L121" s="32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  <row r="122" ht="15.75" customHeight="1">
      <c r="A122" s="27"/>
      <c r="B122" s="16">
        <f t="shared" si="1"/>
        <v>45776</v>
      </c>
      <c r="C122" s="28">
        <v>45776.0</v>
      </c>
      <c r="D122" s="44">
        <v>1.0</v>
      </c>
      <c r="E122" s="50" t="s">
        <v>118</v>
      </c>
      <c r="F122" s="20" t="s">
        <v>63</v>
      </c>
      <c r="G122" s="39"/>
      <c r="H122" s="39" t="s">
        <v>31</v>
      </c>
      <c r="I122" s="32" t="s">
        <v>14</v>
      </c>
      <c r="J122" s="53" t="s">
        <v>119</v>
      </c>
      <c r="K122" s="51" t="s">
        <v>116</v>
      </c>
      <c r="L122" s="32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</row>
    <row r="123" ht="15.75" customHeight="1">
      <c r="A123" s="27"/>
      <c r="B123" s="16">
        <f t="shared" si="1"/>
        <v>45776</v>
      </c>
      <c r="C123" s="28">
        <v>45776.0</v>
      </c>
      <c r="D123" s="44">
        <v>2.0</v>
      </c>
      <c r="E123" s="50" t="s">
        <v>120</v>
      </c>
      <c r="F123" s="20" t="s">
        <v>121</v>
      </c>
      <c r="G123" s="39"/>
      <c r="H123" s="39" t="s">
        <v>19</v>
      </c>
      <c r="I123" s="32" t="s">
        <v>14</v>
      </c>
      <c r="J123" s="53" t="s">
        <v>119</v>
      </c>
      <c r="K123" s="51" t="s">
        <v>116</v>
      </c>
      <c r="L123" s="32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</row>
    <row r="124" ht="15.75" customHeight="1">
      <c r="A124" s="27"/>
      <c r="B124" s="16">
        <f t="shared" si="1"/>
        <v>45776</v>
      </c>
      <c r="C124" s="28">
        <v>45776.0</v>
      </c>
      <c r="D124" s="44">
        <v>3.0</v>
      </c>
      <c r="E124" s="50" t="s">
        <v>122</v>
      </c>
      <c r="F124" s="37"/>
      <c r="G124" s="40"/>
      <c r="H124" s="37"/>
      <c r="I124" s="32" t="s">
        <v>14</v>
      </c>
      <c r="J124" s="53" t="s">
        <v>119</v>
      </c>
      <c r="K124" s="51" t="s">
        <v>116</v>
      </c>
      <c r="L124" s="32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</row>
    <row r="125" ht="15.75" customHeight="1">
      <c r="A125" s="27"/>
      <c r="B125" s="16">
        <f t="shared" si="1"/>
        <v>45776</v>
      </c>
      <c r="C125" s="28">
        <v>45776.0</v>
      </c>
      <c r="D125" s="44">
        <v>4.0</v>
      </c>
      <c r="E125" s="50" t="s">
        <v>123</v>
      </c>
      <c r="F125" s="37"/>
      <c r="G125" s="37"/>
      <c r="H125" s="37"/>
      <c r="I125" s="32" t="s">
        <v>14</v>
      </c>
      <c r="J125" s="53" t="s">
        <v>119</v>
      </c>
      <c r="K125" s="51" t="s">
        <v>116</v>
      </c>
      <c r="L125" s="32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</row>
    <row r="126" ht="15.75" customHeight="1">
      <c r="A126" s="27"/>
      <c r="B126" s="16">
        <f t="shared" si="1"/>
        <v>45782</v>
      </c>
      <c r="C126" s="28">
        <v>45782.0</v>
      </c>
      <c r="D126" s="52">
        <v>4.0</v>
      </c>
      <c r="E126" s="45" t="s">
        <v>72</v>
      </c>
      <c r="F126" s="20" t="s">
        <v>84</v>
      </c>
      <c r="G126" s="31"/>
      <c r="H126" s="37"/>
      <c r="I126" s="32"/>
      <c r="J126" s="32"/>
      <c r="K126" s="54" t="s">
        <v>124</v>
      </c>
      <c r="L126" s="32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</row>
    <row r="127" ht="15.75" customHeight="1">
      <c r="A127" s="27"/>
      <c r="B127" s="16">
        <f t="shared" si="1"/>
        <v>45782</v>
      </c>
      <c r="C127" s="28">
        <v>45782.0</v>
      </c>
      <c r="D127" s="44">
        <v>1.0</v>
      </c>
      <c r="E127" s="55" t="s">
        <v>65</v>
      </c>
      <c r="F127" s="20" t="s">
        <v>59</v>
      </c>
      <c r="G127" s="37"/>
      <c r="H127" s="37"/>
      <c r="I127" s="20" t="s">
        <v>12</v>
      </c>
      <c r="J127" s="32" t="s">
        <v>96</v>
      </c>
      <c r="K127" s="51" t="s">
        <v>125</v>
      </c>
      <c r="L127" s="32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</row>
    <row r="128" ht="15.75" customHeight="1">
      <c r="A128" s="27"/>
      <c r="B128" s="16">
        <f t="shared" si="1"/>
        <v>45782</v>
      </c>
      <c r="C128" s="28">
        <v>45782.0</v>
      </c>
      <c r="D128" s="44">
        <v>2.0</v>
      </c>
      <c r="E128" s="55" t="s">
        <v>97</v>
      </c>
      <c r="F128" s="20" t="s">
        <v>77</v>
      </c>
      <c r="G128" s="40"/>
      <c r="H128" s="37"/>
      <c r="I128" s="20" t="s">
        <v>12</v>
      </c>
      <c r="J128" s="32" t="s">
        <v>96</v>
      </c>
      <c r="K128" s="51" t="s">
        <v>125</v>
      </c>
      <c r="L128" s="32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</row>
    <row r="129" ht="15.75" customHeight="1">
      <c r="A129" s="27"/>
      <c r="B129" s="16">
        <f t="shared" si="1"/>
        <v>45782</v>
      </c>
      <c r="C129" s="28">
        <v>45782.0</v>
      </c>
      <c r="D129" s="44">
        <v>3.0</v>
      </c>
      <c r="E129" s="56" t="s">
        <v>69</v>
      </c>
      <c r="F129" s="20" t="s">
        <v>59</v>
      </c>
      <c r="G129" s="40"/>
      <c r="H129" s="37"/>
      <c r="I129" s="20" t="s">
        <v>12</v>
      </c>
      <c r="J129" s="32" t="s">
        <v>96</v>
      </c>
      <c r="K129" s="51" t="s">
        <v>125</v>
      </c>
      <c r="L129" s="32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</row>
    <row r="130" ht="15.75" customHeight="1">
      <c r="A130" s="27"/>
      <c r="B130" s="16">
        <f t="shared" si="1"/>
        <v>45782</v>
      </c>
      <c r="C130" s="28">
        <v>45782.0</v>
      </c>
      <c r="D130" s="44">
        <v>4.0</v>
      </c>
      <c r="E130" s="57" t="s">
        <v>65</v>
      </c>
      <c r="F130" s="20" t="s">
        <v>59</v>
      </c>
      <c r="G130" s="40"/>
      <c r="H130" s="37"/>
      <c r="I130" s="20" t="s">
        <v>12</v>
      </c>
      <c r="J130" s="32" t="s">
        <v>96</v>
      </c>
      <c r="K130" s="51" t="s">
        <v>125</v>
      </c>
      <c r="L130" s="32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</row>
    <row r="131" ht="15.75" customHeight="1">
      <c r="A131" s="27"/>
      <c r="B131" s="16">
        <f t="shared" si="1"/>
        <v>45782</v>
      </c>
      <c r="C131" s="28">
        <v>45782.0</v>
      </c>
      <c r="D131" s="44">
        <v>5.0</v>
      </c>
      <c r="E131" s="44" t="s">
        <v>97</v>
      </c>
      <c r="F131" s="20" t="s">
        <v>59</v>
      </c>
      <c r="G131" s="37"/>
      <c r="H131" s="37"/>
      <c r="I131" s="20" t="s">
        <v>12</v>
      </c>
      <c r="J131" s="32" t="s">
        <v>96</v>
      </c>
      <c r="K131" s="51" t="s">
        <v>125</v>
      </c>
      <c r="L131" s="32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</row>
    <row r="132" ht="15.75" customHeight="1">
      <c r="A132" s="27"/>
      <c r="B132" s="16">
        <f t="shared" si="1"/>
        <v>45782</v>
      </c>
      <c r="C132" s="28">
        <v>45782.0</v>
      </c>
      <c r="D132" s="44">
        <v>8.0</v>
      </c>
      <c r="E132" s="45" t="s">
        <v>69</v>
      </c>
      <c r="F132" s="20" t="s">
        <v>59</v>
      </c>
      <c r="G132" s="37"/>
      <c r="H132" s="37"/>
      <c r="I132" s="20" t="s">
        <v>12</v>
      </c>
      <c r="J132" s="32" t="s">
        <v>96</v>
      </c>
      <c r="K132" s="51" t="s">
        <v>125</v>
      </c>
      <c r="L132" s="32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</row>
    <row r="133" ht="15.75" customHeight="1">
      <c r="A133" s="27"/>
      <c r="B133" s="16">
        <f t="shared" si="1"/>
        <v>45782</v>
      </c>
      <c r="C133" s="28">
        <v>45782.0</v>
      </c>
      <c r="D133" s="44">
        <v>1.0</v>
      </c>
      <c r="E133" s="45" t="s">
        <v>69</v>
      </c>
      <c r="F133" s="20" t="s">
        <v>73</v>
      </c>
      <c r="G133" s="37"/>
      <c r="H133" s="37"/>
      <c r="I133" s="32" t="s">
        <v>8</v>
      </c>
      <c r="J133" s="32" t="s">
        <v>126</v>
      </c>
      <c r="K133" s="51" t="s">
        <v>125</v>
      </c>
      <c r="L133" s="32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</row>
    <row r="134" ht="15.75" customHeight="1">
      <c r="A134" s="27"/>
      <c r="B134" s="16">
        <f t="shared" si="1"/>
        <v>45782</v>
      </c>
      <c r="C134" s="28">
        <v>45782.0</v>
      </c>
      <c r="D134" s="44">
        <v>2.0</v>
      </c>
      <c r="E134" s="50" t="s">
        <v>69</v>
      </c>
      <c r="F134" s="20" t="s">
        <v>127</v>
      </c>
      <c r="G134" s="37"/>
      <c r="H134" s="37"/>
      <c r="I134" s="32" t="s">
        <v>8</v>
      </c>
      <c r="J134" s="32" t="s">
        <v>126</v>
      </c>
      <c r="K134" s="51" t="s">
        <v>125</v>
      </c>
      <c r="L134" s="32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</row>
    <row r="135" ht="15.75" customHeight="1">
      <c r="A135" s="27"/>
      <c r="B135" s="16">
        <f t="shared" si="1"/>
        <v>45782</v>
      </c>
      <c r="C135" s="28">
        <v>45782.0</v>
      </c>
      <c r="D135" s="44">
        <v>3.0</v>
      </c>
      <c r="E135" s="55" t="s">
        <v>65</v>
      </c>
      <c r="F135" s="20" t="s">
        <v>128</v>
      </c>
      <c r="G135" s="40"/>
      <c r="H135" s="37"/>
      <c r="I135" s="32" t="s">
        <v>8</v>
      </c>
      <c r="J135" s="32" t="s">
        <v>126</v>
      </c>
      <c r="K135" s="51" t="s">
        <v>125</v>
      </c>
      <c r="L135" s="32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</row>
    <row r="136" ht="15.75" customHeight="1">
      <c r="A136" s="27"/>
      <c r="B136" s="16">
        <f t="shared" si="1"/>
        <v>45782</v>
      </c>
      <c r="C136" s="28">
        <v>45782.0</v>
      </c>
      <c r="D136" s="44">
        <v>4.0</v>
      </c>
      <c r="E136" s="55" t="s">
        <v>76</v>
      </c>
      <c r="F136" s="20" t="s">
        <v>129</v>
      </c>
      <c r="G136" s="40"/>
      <c r="H136" s="37"/>
      <c r="I136" s="32" t="s">
        <v>8</v>
      </c>
      <c r="J136" s="32" t="s">
        <v>126</v>
      </c>
      <c r="K136" s="51" t="s">
        <v>125</v>
      </c>
      <c r="L136" s="32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</row>
    <row r="137" ht="15.75" customHeight="1">
      <c r="A137" s="27"/>
      <c r="B137" s="16">
        <f t="shared" si="1"/>
        <v>45783</v>
      </c>
      <c r="C137" s="28">
        <v>45783.0</v>
      </c>
      <c r="D137" s="44">
        <v>4.0</v>
      </c>
      <c r="E137" s="58"/>
      <c r="F137" s="59" t="s">
        <v>81</v>
      </c>
      <c r="G137" s="20" t="s">
        <v>58</v>
      </c>
      <c r="H137" s="37"/>
      <c r="I137" s="32" t="s">
        <v>4</v>
      </c>
      <c r="J137" s="32" t="s">
        <v>67</v>
      </c>
      <c r="K137" s="51" t="s">
        <v>125</v>
      </c>
      <c r="L137" s="32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</row>
    <row r="138" ht="15.75" customHeight="1">
      <c r="A138" s="27"/>
      <c r="B138" s="16">
        <f t="shared" si="1"/>
        <v>45783</v>
      </c>
      <c r="C138" s="28">
        <v>45783.0</v>
      </c>
      <c r="D138" s="44">
        <v>4.0</v>
      </c>
      <c r="E138" s="45" t="s">
        <v>64</v>
      </c>
      <c r="F138" s="20" t="s">
        <v>109</v>
      </c>
      <c r="G138" s="37"/>
      <c r="H138" s="37"/>
      <c r="I138" s="32" t="s">
        <v>10</v>
      </c>
      <c r="J138" s="32" t="s">
        <v>66</v>
      </c>
      <c r="K138" s="51" t="s">
        <v>125</v>
      </c>
      <c r="L138" s="32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</row>
    <row r="139" ht="15.75" customHeight="1">
      <c r="A139" s="27"/>
      <c r="B139" s="16">
        <f t="shared" si="1"/>
        <v>45783</v>
      </c>
      <c r="C139" s="28">
        <v>45783.0</v>
      </c>
      <c r="D139" s="44">
        <v>2.0</v>
      </c>
      <c r="E139" s="56" t="s">
        <v>62</v>
      </c>
      <c r="F139" s="20" t="s">
        <v>110</v>
      </c>
      <c r="G139" s="37"/>
      <c r="H139" s="37"/>
      <c r="I139" s="32" t="s">
        <v>10</v>
      </c>
      <c r="J139" s="32" t="s">
        <v>66</v>
      </c>
      <c r="K139" s="51" t="s">
        <v>125</v>
      </c>
      <c r="L139" s="32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</row>
    <row r="140" ht="15.75" customHeight="1">
      <c r="A140" s="27"/>
      <c r="B140" s="16">
        <f t="shared" si="1"/>
        <v>45784</v>
      </c>
      <c r="C140" s="28">
        <v>45784.0</v>
      </c>
      <c r="D140" s="44">
        <v>3.0</v>
      </c>
      <c r="E140" s="50" t="s">
        <v>130</v>
      </c>
      <c r="F140" s="20" t="s">
        <v>99</v>
      </c>
      <c r="G140" s="37"/>
      <c r="H140" s="37"/>
      <c r="I140" s="32" t="s">
        <v>6</v>
      </c>
      <c r="J140" s="32" t="s">
        <v>87</v>
      </c>
      <c r="K140" s="51" t="s">
        <v>125</v>
      </c>
      <c r="L140" s="32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</row>
    <row r="141" ht="15.75" customHeight="1">
      <c r="A141" s="27"/>
      <c r="B141" s="16">
        <f t="shared" si="1"/>
        <v>45784</v>
      </c>
      <c r="C141" s="28">
        <v>45784.0</v>
      </c>
      <c r="D141" s="44">
        <v>4.0</v>
      </c>
      <c r="E141" s="50" t="s">
        <v>85</v>
      </c>
      <c r="F141" s="20" t="s">
        <v>84</v>
      </c>
      <c r="G141" s="37"/>
      <c r="H141" s="37"/>
      <c r="I141" s="32" t="s">
        <v>6</v>
      </c>
      <c r="J141" s="32" t="s">
        <v>87</v>
      </c>
      <c r="K141" s="51" t="s">
        <v>125</v>
      </c>
      <c r="L141" s="32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</row>
    <row r="142" ht="15.75" customHeight="1">
      <c r="A142" s="27"/>
      <c r="B142" s="16">
        <f t="shared" si="1"/>
        <v>45785</v>
      </c>
      <c r="C142" s="28">
        <v>45785.0</v>
      </c>
      <c r="D142" s="44">
        <v>1.0</v>
      </c>
      <c r="E142" s="60" t="s">
        <v>62</v>
      </c>
      <c r="F142" s="61" t="s">
        <v>107</v>
      </c>
      <c r="G142" s="37"/>
      <c r="H142" s="62" t="s">
        <v>21</v>
      </c>
      <c r="I142" s="32" t="s">
        <v>13</v>
      </c>
      <c r="J142" s="32" t="s">
        <v>63</v>
      </c>
      <c r="K142" s="51" t="s">
        <v>125</v>
      </c>
      <c r="L142" s="32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</row>
    <row r="143" ht="15.75" customHeight="1">
      <c r="A143" s="27"/>
      <c r="B143" s="16">
        <f t="shared" si="1"/>
        <v>45785</v>
      </c>
      <c r="C143" s="28">
        <v>45785.0</v>
      </c>
      <c r="D143" s="44">
        <v>2.0</v>
      </c>
      <c r="E143" s="60" t="s">
        <v>74</v>
      </c>
      <c r="F143" s="20" t="s">
        <v>105</v>
      </c>
      <c r="G143" s="37"/>
      <c r="H143" s="63" t="s">
        <v>21</v>
      </c>
      <c r="I143" s="32" t="s">
        <v>13</v>
      </c>
      <c r="J143" s="32" t="s">
        <v>63</v>
      </c>
      <c r="K143" s="51" t="s">
        <v>125</v>
      </c>
      <c r="L143" s="32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</row>
    <row r="144" ht="15.75" customHeight="1">
      <c r="A144" s="27"/>
      <c r="B144" s="16">
        <f t="shared" si="1"/>
        <v>45785</v>
      </c>
      <c r="C144" s="28">
        <v>45785.0</v>
      </c>
      <c r="D144" s="44">
        <v>3.0</v>
      </c>
      <c r="E144" s="60" t="s">
        <v>74</v>
      </c>
      <c r="F144" s="61" t="s">
        <v>79</v>
      </c>
      <c r="G144" s="37"/>
      <c r="H144" s="62"/>
      <c r="I144" s="32" t="s">
        <v>13</v>
      </c>
      <c r="J144" s="32" t="s">
        <v>63</v>
      </c>
      <c r="K144" s="51" t="s">
        <v>125</v>
      </c>
      <c r="L144" s="32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</row>
    <row r="145" ht="15.75" customHeight="1">
      <c r="A145" s="27"/>
      <c r="B145" s="16">
        <f t="shared" si="1"/>
        <v>45785</v>
      </c>
      <c r="C145" s="28">
        <v>45785.0</v>
      </c>
      <c r="D145" s="44">
        <v>4.0</v>
      </c>
      <c r="E145" s="60" t="s">
        <v>62</v>
      </c>
      <c r="F145" s="61" t="s">
        <v>126</v>
      </c>
      <c r="G145" s="37"/>
      <c r="H145" s="63" t="s">
        <v>21</v>
      </c>
      <c r="I145" s="32" t="s">
        <v>13</v>
      </c>
      <c r="J145" s="32" t="s">
        <v>63</v>
      </c>
      <c r="K145" s="51" t="s">
        <v>125</v>
      </c>
      <c r="L145" s="32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</row>
    <row r="146" ht="15.75" customHeight="1">
      <c r="A146" s="27"/>
      <c r="B146" s="16">
        <f t="shared" si="1"/>
        <v>45785</v>
      </c>
      <c r="C146" s="28">
        <v>45785.0</v>
      </c>
      <c r="D146" s="44">
        <v>5.0</v>
      </c>
      <c r="E146" s="45" t="s">
        <v>56</v>
      </c>
      <c r="F146" s="59" t="s">
        <v>117</v>
      </c>
      <c r="G146" s="37"/>
      <c r="H146" s="62" t="s">
        <v>39</v>
      </c>
      <c r="I146" s="32" t="s">
        <v>13</v>
      </c>
      <c r="J146" s="32" t="s">
        <v>63</v>
      </c>
      <c r="K146" s="51" t="s">
        <v>125</v>
      </c>
      <c r="L146" s="32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</row>
    <row r="147" ht="15.75" customHeight="1">
      <c r="A147" s="27"/>
      <c r="B147" s="16">
        <f t="shared" si="1"/>
        <v>45785</v>
      </c>
      <c r="C147" s="28">
        <v>45785.0</v>
      </c>
      <c r="D147" s="44">
        <v>6.0</v>
      </c>
      <c r="E147" s="45" t="s">
        <v>56</v>
      </c>
      <c r="F147" s="20" t="s">
        <v>81</v>
      </c>
      <c r="G147" s="37"/>
      <c r="H147" s="64" t="s">
        <v>33</v>
      </c>
      <c r="I147" s="32" t="s">
        <v>13</v>
      </c>
      <c r="J147" s="32" t="s">
        <v>63</v>
      </c>
      <c r="K147" s="51" t="s">
        <v>125</v>
      </c>
      <c r="L147" s="32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</row>
    <row r="148" ht="15.75" customHeight="1">
      <c r="A148" s="27"/>
      <c r="B148" s="16"/>
      <c r="C148" s="28"/>
      <c r="D148" s="44">
        <v>1.0</v>
      </c>
      <c r="E148" s="45" t="s">
        <v>69</v>
      </c>
      <c r="F148" s="59" t="s">
        <v>99</v>
      </c>
      <c r="G148" s="37"/>
      <c r="H148" s="62"/>
      <c r="I148" s="32" t="s">
        <v>8</v>
      </c>
      <c r="J148" s="20" t="s">
        <v>67</v>
      </c>
      <c r="K148" s="51" t="s">
        <v>125</v>
      </c>
      <c r="L148" s="32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</row>
    <row r="149" ht="15.75" customHeight="1">
      <c r="A149" s="27"/>
      <c r="B149" s="16"/>
      <c r="C149" s="28"/>
      <c r="D149" s="44">
        <v>2.0</v>
      </c>
      <c r="E149" s="45" t="s">
        <v>82</v>
      </c>
      <c r="F149" s="59" t="s">
        <v>59</v>
      </c>
      <c r="G149" s="20"/>
      <c r="H149" s="20" t="s">
        <v>19</v>
      </c>
      <c r="I149" s="32" t="s">
        <v>8</v>
      </c>
      <c r="J149" s="20" t="s">
        <v>67</v>
      </c>
      <c r="K149" s="51" t="s">
        <v>125</v>
      </c>
      <c r="L149" s="32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</row>
    <row r="150" ht="15.75" customHeight="1">
      <c r="A150" s="27"/>
      <c r="B150" s="16" t="str">
        <f t="shared" ref="B150:B304" si="2">C150</f>
        <v/>
      </c>
      <c r="C150" s="28"/>
      <c r="D150" s="44">
        <v>3.0</v>
      </c>
      <c r="E150" s="50" t="s">
        <v>69</v>
      </c>
      <c r="F150" s="20" t="s">
        <v>77</v>
      </c>
      <c r="G150" s="40"/>
      <c r="H150" s="37"/>
      <c r="I150" s="32" t="s">
        <v>8</v>
      </c>
      <c r="J150" s="20" t="s">
        <v>67</v>
      </c>
      <c r="K150" s="51" t="s">
        <v>125</v>
      </c>
      <c r="L150" s="32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</row>
    <row r="151" ht="15.75" customHeight="1">
      <c r="A151" s="27"/>
      <c r="B151" s="16" t="str">
        <f t="shared" si="2"/>
        <v/>
      </c>
      <c r="C151" s="28"/>
      <c r="D151" s="44">
        <v>4.0</v>
      </c>
      <c r="E151" s="50" t="s">
        <v>76</v>
      </c>
      <c r="F151" s="20" t="s">
        <v>77</v>
      </c>
      <c r="G151" s="40"/>
      <c r="H151" s="37"/>
      <c r="I151" s="32" t="s">
        <v>8</v>
      </c>
      <c r="J151" s="20" t="s">
        <v>67</v>
      </c>
      <c r="K151" s="51" t="s">
        <v>125</v>
      </c>
      <c r="L151" s="32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15.75" customHeight="1">
      <c r="A152" s="27"/>
      <c r="B152" s="16" t="str">
        <f t="shared" si="2"/>
        <v/>
      </c>
      <c r="C152" s="28"/>
      <c r="D152" s="44">
        <v>1.0</v>
      </c>
      <c r="E152" s="60" t="s">
        <v>72</v>
      </c>
      <c r="F152" s="20" t="s">
        <v>84</v>
      </c>
      <c r="G152" s="37"/>
      <c r="H152" s="37"/>
      <c r="I152" s="32" t="s">
        <v>6</v>
      </c>
      <c r="J152" s="53" t="s">
        <v>131</v>
      </c>
      <c r="K152" s="51" t="s">
        <v>125</v>
      </c>
      <c r="L152" s="32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15.75" customHeight="1">
      <c r="A153" s="27"/>
      <c r="B153" s="16" t="str">
        <f t="shared" si="2"/>
        <v/>
      </c>
      <c r="C153" s="28"/>
      <c r="D153" s="44">
        <v>2.0</v>
      </c>
      <c r="E153" s="60" t="s">
        <v>61</v>
      </c>
      <c r="F153" s="20"/>
      <c r="G153" s="37"/>
      <c r="H153" s="37"/>
      <c r="I153" s="32" t="s">
        <v>6</v>
      </c>
      <c r="J153" s="53" t="s">
        <v>131</v>
      </c>
      <c r="K153" s="51" t="s">
        <v>125</v>
      </c>
      <c r="L153" s="32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15.75" customHeight="1">
      <c r="A154" s="27"/>
      <c r="B154" s="16" t="str">
        <f t="shared" si="2"/>
        <v/>
      </c>
      <c r="C154" s="28"/>
      <c r="D154" s="44">
        <v>3.0</v>
      </c>
      <c r="E154" s="50" t="s">
        <v>74</v>
      </c>
      <c r="F154" s="20" t="s">
        <v>132</v>
      </c>
      <c r="G154" s="39"/>
      <c r="H154" s="37"/>
      <c r="I154" s="32" t="s">
        <v>6</v>
      </c>
      <c r="J154" s="53" t="s">
        <v>131</v>
      </c>
      <c r="K154" s="51" t="s">
        <v>125</v>
      </c>
      <c r="L154" s="32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15.75" customHeight="1">
      <c r="A155" s="27"/>
      <c r="B155" s="16" t="str">
        <f t="shared" si="2"/>
        <v/>
      </c>
      <c r="C155" s="28"/>
      <c r="D155" s="44">
        <v>4.0</v>
      </c>
      <c r="E155" s="50" t="s">
        <v>56</v>
      </c>
      <c r="F155" s="20" t="s">
        <v>112</v>
      </c>
      <c r="G155" s="40"/>
      <c r="H155" s="37"/>
      <c r="I155" s="32" t="s">
        <v>6</v>
      </c>
      <c r="J155" s="53" t="s">
        <v>131</v>
      </c>
      <c r="K155" s="51" t="s">
        <v>125</v>
      </c>
      <c r="L155" s="32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15.75" customHeight="1">
      <c r="A156" s="27"/>
      <c r="B156" s="16">
        <f t="shared" si="2"/>
        <v>45789</v>
      </c>
      <c r="C156" s="28">
        <v>45789.0</v>
      </c>
      <c r="D156" s="52">
        <v>1.0</v>
      </c>
      <c r="E156" s="65" t="s">
        <v>65</v>
      </c>
      <c r="F156" s="20" t="s">
        <v>59</v>
      </c>
      <c r="G156" s="62"/>
      <c r="H156" s="37"/>
      <c r="I156" s="20" t="s">
        <v>12</v>
      </c>
      <c r="J156" s="32" t="s">
        <v>96</v>
      </c>
      <c r="K156" s="51" t="s">
        <v>133</v>
      </c>
      <c r="L156" s="32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15.75" customHeight="1">
      <c r="A157" s="27"/>
      <c r="B157" s="16">
        <f t="shared" si="2"/>
        <v>45789</v>
      </c>
      <c r="C157" s="28">
        <v>45789.0</v>
      </c>
      <c r="D157" s="52">
        <v>2.0</v>
      </c>
      <c r="E157" s="66" t="s">
        <v>97</v>
      </c>
      <c r="F157" s="20" t="s">
        <v>98</v>
      </c>
      <c r="G157" s="63"/>
      <c r="H157" s="63" t="s">
        <v>17</v>
      </c>
      <c r="I157" s="20" t="s">
        <v>12</v>
      </c>
      <c r="J157" s="32" t="s">
        <v>96</v>
      </c>
      <c r="K157" s="51" t="s">
        <v>133</v>
      </c>
      <c r="L157" s="32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15.75" customHeight="1">
      <c r="A158" s="27"/>
      <c r="B158" s="16">
        <f t="shared" si="2"/>
        <v>45789</v>
      </c>
      <c r="C158" s="28">
        <v>45789.0</v>
      </c>
      <c r="D158" s="52">
        <v>3.0</v>
      </c>
      <c r="E158" s="65" t="s">
        <v>69</v>
      </c>
      <c r="F158" s="20" t="s">
        <v>59</v>
      </c>
      <c r="G158" s="62"/>
      <c r="H158" s="37"/>
      <c r="I158" s="20" t="s">
        <v>12</v>
      </c>
      <c r="J158" s="32" t="s">
        <v>96</v>
      </c>
      <c r="K158" s="51" t="s">
        <v>133</v>
      </c>
      <c r="L158" s="32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</row>
    <row r="159" ht="15.75" customHeight="1">
      <c r="A159" s="27"/>
      <c r="B159" s="16">
        <f t="shared" si="2"/>
        <v>45789</v>
      </c>
      <c r="C159" s="28">
        <v>45789.0</v>
      </c>
      <c r="D159" s="52">
        <v>4.0</v>
      </c>
      <c r="E159" s="66" t="s">
        <v>65</v>
      </c>
      <c r="F159" s="20" t="s">
        <v>59</v>
      </c>
      <c r="G159" s="63"/>
      <c r="H159" s="37"/>
      <c r="I159" s="20" t="s">
        <v>12</v>
      </c>
      <c r="J159" s="32" t="s">
        <v>96</v>
      </c>
      <c r="K159" s="51" t="s">
        <v>133</v>
      </c>
      <c r="L159" s="32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</row>
    <row r="160" ht="15.75" customHeight="1">
      <c r="A160" s="27"/>
      <c r="B160" s="16">
        <f t="shared" si="2"/>
        <v>45789</v>
      </c>
      <c r="C160" s="28">
        <v>45789.0</v>
      </c>
      <c r="D160" s="52">
        <v>5.0</v>
      </c>
      <c r="E160" s="65" t="s">
        <v>97</v>
      </c>
      <c r="F160" s="20" t="s">
        <v>59</v>
      </c>
      <c r="G160" s="62"/>
      <c r="H160" s="37"/>
      <c r="I160" s="20" t="s">
        <v>12</v>
      </c>
      <c r="J160" s="32" t="s">
        <v>96</v>
      </c>
      <c r="K160" s="51" t="s">
        <v>133</v>
      </c>
      <c r="L160" s="32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</row>
    <row r="161" ht="15.75" customHeight="1">
      <c r="A161" s="27"/>
      <c r="B161" s="16">
        <f t="shared" si="2"/>
        <v>45789</v>
      </c>
      <c r="C161" s="28">
        <v>45789.0</v>
      </c>
      <c r="D161" s="52">
        <v>6.0</v>
      </c>
      <c r="E161" s="67"/>
      <c r="F161" s="20"/>
      <c r="G161" s="63"/>
      <c r="H161" s="37"/>
      <c r="I161" s="20" t="s">
        <v>12</v>
      </c>
      <c r="J161" s="32" t="s">
        <v>96</v>
      </c>
      <c r="K161" s="51" t="s">
        <v>133</v>
      </c>
      <c r="L161" s="32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</row>
    <row r="162" ht="15.75" customHeight="1">
      <c r="A162" s="27"/>
      <c r="B162" s="16">
        <f t="shared" si="2"/>
        <v>45789</v>
      </c>
      <c r="C162" s="28">
        <v>45789.0</v>
      </c>
      <c r="D162" s="52">
        <v>7.0</v>
      </c>
      <c r="E162" s="68"/>
      <c r="F162" s="20"/>
      <c r="G162" s="62"/>
      <c r="H162" s="37"/>
      <c r="I162" s="20" t="s">
        <v>12</v>
      </c>
      <c r="J162" s="32" t="s">
        <v>96</v>
      </c>
      <c r="K162" s="51" t="s">
        <v>133</v>
      </c>
      <c r="L162" s="32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</row>
    <row r="163" ht="15.75" customHeight="1">
      <c r="A163" s="27"/>
      <c r="B163" s="16">
        <f t="shared" si="2"/>
        <v>45789</v>
      </c>
      <c r="C163" s="28">
        <v>45789.0</v>
      </c>
      <c r="D163" s="52">
        <v>8.0</v>
      </c>
      <c r="E163" s="69" t="s">
        <v>69</v>
      </c>
      <c r="F163" s="20" t="s">
        <v>59</v>
      </c>
      <c r="G163" s="63"/>
      <c r="H163" s="37"/>
      <c r="I163" s="20" t="s">
        <v>12</v>
      </c>
      <c r="J163" s="32" t="s">
        <v>96</v>
      </c>
      <c r="K163" s="51" t="s">
        <v>133</v>
      </c>
      <c r="L163" s="32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</row>
    <row r="164" ht="15.75" customHeight="1">
      <c r="A164" s="27"/>
      <c r="B164" s="16">
        <f t="shared" si="2"/>
        <v>45789</v>
      </c>
      <c r="C164" s="28">
        <v>45789.0</v>
      </c>
      <c r="D164" s="52">
        <v>4.0</v>
      </c>
      <c r="E164" s="70" t="s">
        <v>82</v>
      </c>
      <c r="F164" s="20" t="s">
        <v>134</v>
      </c>
      <c r="G164" s="37"/>
      <c r="H164" s="37"/>
      <c r="I164" s="32" t="s">
        <v>5</v>
      </c>
      <c r="J164" s="32" t="s">
        <v>67</v>
      </c>
      <c r="K164" s="51" t="s">
        <v>133</v>
      </c>
      <c r="L164" s="32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</row>
    <row r="165" ht="15.75" customHeight="1">
      <c r="A165" s="27"/>
      <c r="B165" s="16">
        <f t="shared" si="2"/>
        <v>45789</v>
      </c>
      <c r="C165" s="28">
        <v>45789.0</v>
      </c>
      <c r="D165" s="52">
        <v>5.0</v>
      </c>
      <c r="E165" s="67" t="s">
        <v>76</v>
      </c>
      <c r="F165" s="20" t="s">
        <v>134</v>
      </c>
      <c r="G165" s="37"/>
      <c r="H165" s="37"/>
      <c r="I165" s="32" t="s">
        <v>5</v>
      </c>
      <c r="J165" s="32" t="s">
        <v>67</v>
      </c>
      <c r="K165" s="51" t="s">
        <v>133</v>
      </c>
      <c r="L165" s="32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</row>
    <row r="166" ht="15.75" customHeight="1">
      <c r="A166" s="27"/>
      <c r="B166" s="16">
        <f t="shared" si="2"/>
        <v>45789</v>
      </c>
      <c r="C166" s="28">
        <v>45789.0</v>
      </c>
      <c r="D166" s="52">
        <v>6.0</v>
      </c>
      <c r="E166" s="67" t="s">
        <v>65</v>
      </c>
      <c r="F166" s="20" t="s">
        <v>134</v>
      </c>
      <c r="G166" s="37"/>
      <c r="H166" s="37"/>
      <c r="I166" s="32" t="s">
        <v>5</v>
      </c>
      <c r="J166" s="32" t="s">
        <v>67</v>
      </c>
      <c r="K166" s="51" t="s">
        <v>133</v>
      </c>
      <c r="L166" s="32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</row>
    <row r="167" ht="15.75" customHeight="1">
      <c r="A167" s="27"/>
      <c r="B167" s="16">
        <f t="shared" si="2"/>
        <v>45790</v>
      </c>
      <c r="C167" s="28">
        <v>45790.0</v>
      </c>
      <c r="D167" s="52">
        <v>1.0</v>
      </c>
      <c r="E167" s="66" t="s">
        <v>69</v>
      </c>
      <c r="F167" s="20" t="s">
        <v>77</v>
      </c>
      <c r="G167" s="71"/>
      <c r="H167" s="37"/>
      <c r="I167" s="20" t="s">
        <v>12</v>
      </c>
      <c r="J167" s="32" t="s">
        <v>90</v>
      </c>
      <c r="K167" s="51" t="s">
        <v>133</v>
      </c>
      <c r="L167" s="32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</row>
    <row r="168" ht="15.75" customHeight="1">
      <c r="A168" s="27"/>
      <c r="B168" s="16">
        <f t="shared" si="2"/>
        <v>45790</v>
      </c>
      <c r="C168" s="28">
        <v>45790.0</v>
      </c>
      <c r="D168" s="52">
        <v>2.0</v>
      </c>
      <c r="E168" s="72" t="s">
        <v>65</v>
      </c>
      <c r="F168" s="20" t="s">
        <v>98</v>
      </c>
      <c r="G168" s="43" t="s">
        <v>58</v>
      </c>
      <c r="H168" s="37"/>
      <c r="I168" s="20" t="s">
        <v>12</v>
      </c>
      <c r="J168" s="32" t="s">
        <v>90</v>
      </c>
      <c r="K168" s="51" t="s">
        <v>133</v>
      </c>
      <c r="L168" s="32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</row>
    <row r="169" ht="15.75" customHeight="1">
      <c r="A169" s="27"/>
      <c r="B169" s="16">
        <f t="shared" si="2"/>
        <v>45790</v>
      </c>
      <c r="C169" s="28">
        <v>45790.0</v>
      </c>
      <c r="D169" s="52">
        <v>3.0</v>
      </c>
      <c r="E169" s="73" t="s">
        <v>69</v>
      </c>
      <c r="F169" s="20" t="s">
        <v>67</v>
      </c>
      <c r="G169" s="71"/>
      <c r="H169" s="37"/>
      <c r="I169" s="20" t="s">
        <v>12</v>
      </c>
      <c r="J169" s="32" t="s">
        <v>90</v>
      </c>
      <c r="K169" s="51" t="s">
        <v>133</v>
      </c>
      <c r="L169" s="32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</row>
    <row r="170" ht="21.0" customHeight="1">
      <c r="A170" s="27"/>
      <c r="B170" s="16">
        <f t="shared" si="2"/>
        <v>45790</v>
      </c>
      <c r="C170" s="28">
        <v>45790.0</v>
      </c>
      <c r="D170" s="52">
        <v>4.0</v>
      </c>
      <c r="E170" s="72" t="s">
        <v>65</v>
      </c>
      <c r="F170" s="20" t="s">
        <v>81</v>
      </c>
      <c r="G170" s="43" t="s">
        <v>58</v>
      </c>
      <c r="H170" s="37"/>
      <c r="I170" s="20" t="s">
        <v>12</v>
      </c>
      <c r="J170" s="32" t="s">
        <v>90</v>
      </c>
      <c r="K170" s="51" t="s">
        <v>133</v>
      </c>
      <c r="L170" s="32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</row>
    <row r="171" ht="15.75" customHeight="1">
      <c r="A171" s="27"/>
      <c r="B171" s="16">
        <f t="shared" si="2"/>
        <v>45790</v>
      </c>
      <c r="C171" s="28">
        <v>45790.0</v>
      </c>
      <c r="D171" s="52">
        <v>2.0</v>
      </c>
      <c r="E171" s="74" t="s">
        <v>135</v>
      </c>
      <c r="F171" s="20" t="s">
        <v>134</v>
      </c>
      <c r="G171" s="63"/>
      <c r="H171" s="20"/>
      <c r="I171" s="32" t="s">
        <v>7</v>
      </c>
      <c r="J171" s="32" t="s">
        <v>111</v>
      </c>
      <c r="K171" s="51" t="s">
        <v>133</v>
      </c>
      <c r="L171" s="32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</row>
    <row r="172" ht="15.75" customHeight="1">
      <c r="A172" s="27"/>
      <c r="B172" s="16">
        <f t="shared" si="2"/>
        <v>45790</v>
      </c>
      <c r="C172" s="28">
        <v>45790.0</v>
      </c>
      <c r="D172" s="52">
        <v>3.0</v>
      </c>
      <c r="E172" s="74" t="s">
        <v>135</v>
      </c>
      <c r="F172" s="20" t="s">
        <v>63</v>
      </c>
      <c r="G172" s="62"/>
      <c r="H172" s="20"/>
      <c r="I172" s="32" t="s">
        <v>7</v>
      </c>
      <c r="J172" s="32" t="s">
        <v>111</v>
      </c>
      <c r="K172" s="51" t="s">
        <v>133</v>
      </c>
      <c r="L172" s="32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</row>
    <row r="173" ht="15.75" customHeight="1">
      <c r="A173" s="27"/>
      <c r="B173" s="16">
        <f t="shared" si="2"/>
        <v>45790</v>
      </c>
      <c r="C173" s="28">
        <v>45790.0</v>
      </c>
      <c r="D173" s="52">
        <v>4.0</v>
      </c>
      <c r="E173" s="75"/>
      <c r="F173" s="20"/>
      <c r="G173" s="63"/>
      <c r="H173" s="20"/>
      <c r="I173" s="32" t="s">
        <v>7</v>
      </c>
      <c r="J173" s="32" t="s">
        <v>111</v>
      </c>
      <c r="K173" s="51" t="s">
        <v>133</v>
      </c>
      <c r="L173" s="32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</row>
    <row r="174" ht="15.75" customHeight="1">
      <c r="A174" s="27"/>
      <c r="B174" s="16">
        <f t="shared" si="2"/>
        <v>45790</v>
      </c>
      <c r="C174" s="28">
        <v>45790.0</v>
      </c>
      <c r="D174" s="76"/>
      <c r="E174" s="77"/>
      <c r="F174" s="20"/>
      <c r="G174" s="62"/>
      <c r="H174" s="20"/>
      <c r="I174" s="32" t="s">
        <v>7</v>
      </c>
      <c r="J174" s="32" t="s">
        <v>111</v>
      </c>
      <c r="K174" s="51" t="s">
        <v>133</v>
      </c>
      <c r="L174" s="32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</row>
    <row r="175" ht="15.75" customHeight="1">
      <c r="A175" s="27"/>
      <c r="B175" s="16">
        <f t="shared" si="2"/>
        <v>45790</v>
      </c>
      <c r="C175" s="28">
        <v>45790.0</v>
      </c>
      <c r="D175" s="52">
        <v>5.0</v>
      </c>
      <c r="E175" s="67" t="s">
        <v>136</v>
      </c>
      <c r="F175" s="20" t="s">
        <v>70</v>
      </c>
      <c r="G175" s="63"/>
      <c r="H175" s="37"/>
      <c r="I175" s="32" t="s">
        <v>7</v>
      </c>
      <c r="J175" s="32" t="s">
        <v>111</v>
      </c>
      <c r="K175" s="51" t="s">
        <v>133</v>
      </c>
      <c r="L175" s="32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</row>
    <row r="176" ht="15.75" customHeight="1">
      <c r="A176" s="27"/>
      <c r="B176" s="16">
        <f t="shared" si="2"/>
        <v>45790</v>
      </c>
      <c r="C176" s="28">
        <v>45790.0</v>
      </c>
      <c r="D176" s="52">
        <v>6.0</v>
      </c>
      <c r="E176" s="67" t="s">
        <v>137</v>
      </c>
      <c r="F176" s="20" t="s">
        <v>109</v>
      </c>
      <c r="G176" s="62"/>
      <c r="H176" s="37"/>
      <c r="I176" s="32" t="s">
        <v>7</v>
      </c>
      <c r="J176" s="32" t="s">
        <v>111</v>
      </c>
      <c r="K176" s="51" t="s">
        <v>133</v>
      </c>
      <c r="L176" s="32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</row>
    <row r="177" ht="15.75" customHeight="1">
      <c r="A177" s="27"/>
      <c r="B177" s="16">
        <f t="shared" si="2"/>
        <v>45791</v>
      </c>
      <c r="C177" s="28">
        <v>45791.0</v>
      </c>
      <c r="D177" s="52">
        <v>1.0</v>
      </c>
      <c r="E177" s="67" t="s">
        <v>56</v>
      </c>
      <c r="F177" s="20" t="s">
        <v>134</v>
      </c>
      <c r="G177" s="40"/>
      <c r="H177" s="20" t="s">
        <v>25</v>
      </c>
      <c r="I177" s="32" t="s">
        <v>13</v>
      </c>
      <c r="J177" s="32" t="s">
        <v>107</v>
      </c>
      <c r="K177" s="51" t="s">
        <v>133</v>
      </c>
      <c r="L177" s="32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</row>
    <row r="178" ht="15.75" customHeight="1">
      <c r="A178" s="27"/>
      <c r="B178" s="16">
        <f t="shared" si="2"/>
        <v>45791</v>
      </c>
      <c r="C178" s="28">
        <v>45791.0</v>
      </c>
      <c r="D178" s="52">
        <v>2.0</v>
      </c>
      <c r="E178" s="67" t="s">
        <v>61</v>
      </c>
      <c r="F178" s="20" t="s">
        <v>134</v>
      </c>
      <c r="G178" s="78"/>
      <c r="H178" s="20" t="s">
        <v>25</v>
      </c>
      <c r="I178" s="32" t="s">
        <v>13</v>
      </c>
      <c r="J178" s="32" t="s">
        <v>107</v>
      </c>
      <c r="K178" s="51" t="s">
        <v>133</v>
      </c>
      <c r="L178" s="32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</row>
    <row r="179" ht="15.75" customHeight="1">
      <c r="A179" s="27"/>
      <c r="B179" s="16" t="str">
        <f t="shared" si="2"/>
        <v/>
      </c>
      <c r="C179" s="28"/>
      <c r="D179" s="52">
        <v>3.0</v>
      </c>
      <c r="E179" s="79" t="s">
        <v>138</v>
      </c>
      <c r="F179" s="20" t="s">
        <v>98</v>
      </c>
      <c r="G179" s="63"/>
      <c r="H179" s="78"/>
      <c r="I179" s="32" t="s">
        <v>7</v>
      </c>
      <c r="J179" s="32" t="s">
        <v>117</v>
      </c>
      <c r="K179" s="51" t="s">
        <v>133</v>
      </c>
      <c r="L179" s="32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</row>
    <row r="180" ht="15.75" customHeight="1">
      <c r="A180" s="27"/>
      <c r="B180" s="16" t="str">
        <f t="shared" si="2"/>
        <v/>
      </c>
      <c r="C180" s="28"/>
      <c r="D180" s="52">
        <v>4.0</v>
      </c>
      <c r="E180" s="67" t="s">
        <v>139</v>
      </c>
      <c r="F180" s="20"/>
      <c r="G180" s="62"/>
      <c r="H180" s="78"/>
      <c r="I180" s="32" t="s">
        <v>7</v>
      </c>
      <c r="J180" s="32" t="s">
        <v>117</v>
      </c>
      <c r="K180" s="51" t="s">
        <v>133</v>
      </c>
      <c r="L180" s="32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</row>
    <row r="181" ht="15.75" customHeight="1">
      <c r="A181" s="27"/>
      <c r="B181" s="16">
        <f t="shared" si="2"/>
        <v>45792</v>
      </c>
      <c r="C181" s="28">
        <v>45792.0</v>
      </c>
      <c r="D181" s="44">
        <v>3.0</v>
      </c>
      <c r="E181" s="50" t="s">
        <v>140</v>
      </c>
      <c r="F181" s="20" t="s">
        <v>84</v>
      </c>
      <c r="G181" s="37"/>
      <c r="H181" s="37"/>
      <c r="I181" s="32" t="s">
        <v>7</v>
      </c>
      <c r="J181" s="32" t="s">
        <v>112</v>
      </c>
      <c r="K181" s="51" t="s">
        <v>133</v>
      </c>
      <c r="L181" s="32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</row>
    <row r="182" ht="15.75" customHeight="1">
      <c r="A182" s="27"/>
      <c r="B182" s="16">
        <f t="shared" si="2"/>
        <v>45792</v>
      </c>
      <c r="C182" s="28">
        <v>45792.0</v>
      </c>
      <c r="D182" s="44">
        <v>2.0</v>
      </c>
      <c r="E182" s="60" t="s">
        <v>82</v>
      </c>
      <c r="F182" s="20" t="s">
        <v>105</v>
      </c>
      <c r="G182" s="20" t="s">
        <v>58</v>
      </c>
      <c r="H182" s="37"/>
      <c r="I182" s="32"/>
      <c r="J182" s="32" t="s">
        <v>141</v>
      </c>
      <c r="K182" s="51" t="s">
        <v>133</v>
      </c>
      <c r="L182" s="32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</row>
    <row r="183" ht="15.75" customHeight="1">
      <c r="A183" s="27"/>
      <c r="B183" s="16">
        <f t="shared" si="2"/>
        <v>45792</v>
      </c>
      <c r="C183" s="28">
        <v>45792.0</v>
      </c>
      <c r="D183" s="44">
        <v>3.0</v>
      </c>
      <c r="E183" s="50" t="s">
        <v>82</v>
      </c>
      <c r="F183" s="20" t="s">
        <v>67</v>
      </c>
      <c r="G183" s="37"/>
      <c r="H183" s="37"/>
      <c r="I183" s="32"/>
      <c r="J183" s="32" t="s">
        <v>141</v>
      </c>
      <c r="K183" s="51" t="s">
        <v>133</v>
      </c>
      <c r="L183" s="32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</row>
    <row r="184" ht="15.75" customHeight="1">
      <c r="A184" s="27"/>
      <c r="B184" s="16">
        <f t="shared" si="2"/>
        <v>45792</v>
      </c>
      <c r="C184" s="28">
        <v>45792.0</v>
      </c>
      <c r="D184" s="44">
        <v>4.0</v>
      </c>
      <c r="E184" s="50" t="s">
        <v>74</v>
      </c>
      <c r="F184" s="20" t="s">
        <v>113</v>
      </c>
      <c r="G184" s="37"/>
      <c r="H184" s="37"/>
      <c r="I184" s="32"/>
      <c r="J184" s="32" t="s">
        <v>141</v>
      </c>
      <c r="K184" s="51" t="s">
        <v>133</v>
      </c>
      <c r="L184" s="32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</row>
    <row r="185" ht="15.75" customHeight="1">
      <c r="A185" s="27"/>
      <c r="B185" s="16">
        <f t="shared" si="2"/>
        <v>45792</v>
      </c>
      <c r="C185" s="28">
        <v>45792.0</v>
      </c>
      <c r="D185" s="44">
        <v>1.0</v>
      </c>
      <c r="E185" s="50" t="s">
        <v>65</v>
      </c>
      <c r="F185" s="20" t="s">
        <v>66</v>
      </c>
      <c r="G185" s="37"/>
      <c r="H185" s="37"/>
      <c r="I185" s="20" t="s">
        <v>12</v>
      </c>
      <c r="J185" s="32" t="s">
        <v>90</v>
      </c>
      <c r="K185" s="51" t="s">
        <v>133</v>
      </c>
      <c r="L185" s="32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</row>
    <row r="186" ht="15.75" customHeight="1">
      <c r="A186" s="27"/>
      <c r="B186" s="16">
        <f t="shared" si="2"/>
        <v>45792</v>
      </c>
      <c r="C186" s="28">
        <v>45792.0</v>
      </c>
      <c r="D186" s="44">
        <v>2.0</v>
      </c>
      <c r="E186" s="50" t="s">
        <v>69</v>
      </c>
      <c r="F186" s="20" t="s">
        <v>66</v>
      </c>
      <c r="G186" s="37"/>
      <c r="H186" s="37"/>
      <c r="I186" s="20" t="s">
        <v>12</v>
      </c>
      <c r="J186" s="32" t="s">
        <v>90</v>
      </c>
      <c r="K186" s="51" t="s">
        <v>133</v>
      </c>
      <c r="L186" s="32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</row>
    <row r="187" ht="15.75" customHeight="1">
      <c r="A187" s="27"/>
      <c r="B187" s="16">
        <f t="shared" si="2"/>
        <v>45792</v>
      </c>
      <c r="C187" s="28">
        <v>45792.0</v>
      </c>
      <c r="D187" s="44">
        <v>3.0</v>
      </c>
      <c r="E187" s="50" t="s">
        <v>65</v>
      </c>
      <c r="F187" s="20" t="s">
        <v>66</v>
      </c>
      <c r="G187" s="37"/>
      <c r="H187" s="37"/>
      <c r="I187" s="20" t="s">
        <v>12</v>
      </c>
      <c r="J187" s="32" t="s">
        <v>90</v>
      </c>
      <c r="K187" s="51" t="s">
        <v>133</v>
      </c>
      <c r="L187" s="32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</row>
    <row r="188" ht="15.75" customHeight="1">
      <c r="A188" s="27"/>
      <c r="B188" s="16">
        <f t="shared" si="2"/>
        <v>45792</v>
      </c>
      <c r="C188" s="28">
        <v>45792.0</v>
      </c>
      <c r="D188" s="44">
        <v>4.0</v>
      </c>
      <c r="E188" s="50" t="s">
        <v>69</v>
      </c>
      <c r="F188" s="20" t="s">
        <v>66</v>
      </c>
      <c r="G188" s="37"/>
      <c r="H188" s="37"/>
      <c r="I188" s="20" t="s">
        <v>12</v>
      </c>
      <c r="J188" s="32" t="s">
        <v>90</v>
      </c>
      <c r="K188" s="51" t="s">
        <v>133</v>
      </c>
      <c r="L188" s="32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</row>
    <row r="189" ht="15.75" customHeight="1">
      <c r="A189" s="27"/>
      <c r="B189" s="16">
        <f t="shared" si="2"/>
        <v>45796</v>
      </c>
      <c r="C189" s="28">
        <v>45796.0</v>
      </c>
      <c r="D189" s="44">
        <v>1.0</v>
      </c>
      <c r="E189" s="50" t="s">
        <v>65</v>
      </c>
      <c r="F189" s="20" t="s">
        <v>142</v>
      </c>
      <c r="G189" s="37"/>
      <c r="H189" s="37"/>
      <c r="I189" s="20" t="s">
        <v>12</v>
      </c>
      <c r="J189" s="32" t="s">
        <v>96</v>
      </c>
      <c r="K189" s="51" t="s">
        <v>143</v>
      </c>
      <c r="L189" s="32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</row>
    <row r="190" ht="15.75" customHeight="1">
      <c r="A190" s="27"/>
      <c r="B190" s="16">
        <f t="shared" si="2"/>
        <v>45796</v>
      </c>
      <c r="C190" s="28">
        <v>45796.0</v>
      </c>
      <c r="D190" s="44">
        <v>2.0</v>
      </c>
      <c r="E190" s="50" t="s">
        <v>97</v>
      </c>
      <c r="F190" s="20" t="s">
        <v>142</v>
      </c>
      <c r="G190" s="37"/>
      <c r="H190" s="37"/>
      <c r="I190" s="20" t="s">
        <v>12</v>
      </c>
      <c r="J190" s="32" t="s">
        <v>96</v>
      </c>
      <c r="K190" s="51" t="s">
        <v>143</v>
      </c>
      <c r="L190" s="32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</row>
    <row r="191" ht="15.75" customHeight="1">
      <c r="A191" s="27"/>
      <c r="B191" s="16">
        <f t="shared" si="2"/>
        <v>45796</v>
      </c>
      <c r="C191" s="28">
        <v>45796.0</v>
      </c>
      <c r="D191" s="44">
        <v>3.0</v>
      </c>
      <c r="E191" s="50" t="s">
        <v>69</v>
      </c>
      <c r="F191" s="20" t="s">
        <v>77</v>
      </c>
      <c r="G191" s="37"/>
      <c r="H191" s="37"/>
      <c r="I191" s="20" t="s">
        <v>12</v>
      </c>
      <c r="J191" s="32" t="s">
        <v>96</v>
      </c>
      <c r="K191" s="51" t="s">
        <v>143</v>
      </c>
      <c r="L191" s="32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</row>
    <row r="192" ht="15.75" customHeight="1">
      <c r="A192" s="27"/>
      <c r="B192" s="16">
        <f t="shared" si="2"/>
        <v>45796</v>
      </c>
      <c r="C192" s="28">
        <v>45796.0</v>
      </c>
      <c r="D192" s="44">
        <v>4.0</v>
      </c>
      <c r="E192" s="50" t="s">
        <v>65</v>
      </c>
      <c r="F192" s="20" t="s">
        <v>73</v>
      </c>
      <c r="G192" s="37"/>
      <c r="H192" s="37"/>
      <c r="I192" s="20" t="s">
        <v>12</v>
      </c>
      <c r="J192" s="32" t="s">
        <v>96</v>
      </c>
      <c r="K192" s="51" t="s">
        <v>143</v>
      </c>
      <c r="L192" s="32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</row>
    <row r="193" ht="15.75" customHeight="1">
      <c r="A193" s="27"/>
      <c r="B193" s="16">
        <f t="shared" si="2"/>
        <v>45796</v>
      </c>
      <c r="C193" s="28">
        <v>45796.0</v>
      </c>
      <c r="D193" s="44">
        <v>5.0</v>
      </c>
      <c r="E193" s="50" t="s">
        <v>97</v>
      </c>
      <c r="F193" s="20" t="s">
        <v>126</v>
      </c>
      <c r="G193" s="20"/>
      <c r="H193" s="20" t="s">
        <v>37</v>
      </c>
      <c r="I193" s="20" t="s">
        <v>12</v>
      </c>
      <c r="J193" s="32" t="s">
        <v>96</v>
      </c>
      <c r="K193" s="51" t="s">
        <v>143</v>
      </c>
      <c r="L193" s="32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</row>
    <row r="194" ht="15.75" customHeight="1">
      <c r="A194" s="27"/>
      <c r="B194" s="16">
        <f t="shared" si="2"/>
        <v>45796</v>
      </c>
      <c r="C194" s="28">
        <v>45796.0</v>
      </c>
      <c r="D194" s="44">
        <v>6.0</v>
      </c>
      <c r="E194" s="50"/>
      <c r="F194" s="20"/>
      <c r="G194" s="37"/>
      <c r="H194" s="37"/>
      <c r="I194" s="20" t="s">
        <v>12</v>
      </c>
      <c r="J194" s="32" t="s">
        <v>96</v>
      </c>
      <c r="K194" s="51" t="s">
        <v>143</v>
      </c>
      <c r="L194" s="32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</row>
    <row r="195" ht="15.75" customHeight="1">
      <c r="A195" s="27"/>
      <c r="B195" s="16">
        <f t="shared" si="2"/>
        <v>45796</v>
      </c>
      <c r="C195" s="28">
        <v>45796.0</v>
      </c>
      <c r="D195" s="44">
        <v>7.0</v>
      </c>
      <c r="E195" s="50"/>
      <c r="F195" s="20"/>
      <c r="G195" s="37"/>
      <c r="H195" s="37"/>
      <c r="I195" s="20" t="s">
        <v>12</v>
      </c>
      <c r="J195" s="32" t="s">
        <v>96</v>
      </c>
      <c r="K195" s="51" t="s">
        <v>143</v>
      </c>
      <c r="L195" s="32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</row>
    <row r="196" ht="15.75" customHeight="1">
      <c r="A196" s="27"/>
      <c r="B196" s="16">
        <f t="shared" si="2"/>
        <v>45796</v>
      </c>
      <c r="C196" s="28">
        <v>45796.0</v>
      </c>
      <c r="D196" s="44">
        <v>8.0</v>
      </c>
      <c r="E196" s="50" t="s">
        <v>69</v>
      </c>
      <c r="F196" s="20" t="s">
        <v>141</v>
      </c>
      <c r="G196" s="20"/>
      <c r="H196" s="20" t="s">
        <v>144</v>
      </c>
      <c r="I196" s="20" t="s">
        <v>12</v>
      </c>
      <c r="J196" s="32" t="s">
        <v>96</v>
      </c>
      <c r="K196" s="51" t="s">
        <v>143</v>
      </c>
      <c r="L196" s="32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</row>
    <row r="197" ht="15.75" customHeight="1">
      <c r="A197" s="27"/>
      <c r="B197" s="16">
        <f t="shared" si="2"/>
        <v>45796</v>
      </c>
      <c r="C197" s="28">
        <v>45796.0</v>
      </c>
      <c r="D197" s="44"/>
      <c r="E197" s="50"/>
      <c r="F197" s="20"/>
      <c r="G197" s="37"/>
      <c r="H197" s="37"/>
      <c r="I197" s="32"/>
      <c r="J197" s="32"/>
      <c r="K197" s="51" t="s">
        <v>143</v>
      </c>
      <c r="L197" s="32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</row>
    <row r="198" ht="15.75" customHeight="1">
      <c r="A198" s="27"/>
      <c r="B198" s="16">
        <f t="shared" si="2"/>
        <v>45796</v>
      </c>
      <c r="C198" s="28">
        <v>45796.0</v>
      </c>
      <c r="D198" s="44"/>
      <c r="E198" s="50"/>
      <c r="F198" s="20"/>
      <c r="G198" s="37"/>
      <c r="H198" s="37"/>
      <c r="I198" s="32"/>
      <c r="J198" s="32"/>
      <c r="K198" s="51" t="s">
        <v>143</v>
      </c>
      <c r="L198" s="32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</row>
    <row r="199" ht="15.75" customHeight="1">
      <c r="A199" s="27"/>
      <c r="B199" s="16">
        <f t="shared" si="2"/>
        <v>45796</v>
      </c>
      <c r="C199" s="28">
        <v>45796.0</v>
      </c>
      <c r="D199" s="44"/>
      <c r="E199" s="50"/>
      <c r="F199" s="20"/>
      <c r="G199" s="37"/>
      <c r="H199" s="37"/>
      <c r="I199" s="32"/>
      <c r="J199" s="32"/>
      <c r="K199" s="51" t="s">
        <v>143</v>
      </c>
      <c r="L199" s="32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</row>
    <row r="200" ht="15.75" customHeight="1">
      <c r="A200" s="27"/>
      <c r="B200" s="16">
        <f t="shared" si="2"/>
        <v>45796</v>
      </c>
      <c r="C200" s="28">
        <v>45796.0</v>
      </c>
      <c r="D200" s="44">
        <v>7.0</v>
      </c>
      <c r="E200" s="50" t="s">
        <v>61</v>
      </c>
      <c r="F200" s="20" t="s">
        <v>145</v>
      </c>
      <c r="G200" s="37"/>
      <c r="H200" s="20" t="s">
        <v>23</v>
      </c>
      <c r="I200" s="32" t="s">
        <v>7</v>
      </c>
      <c r="J200" s="32" t="s">
        <v>107</v>
      </c>
      <c r="K200" s="51" t="s">
        <v>143</v>
      </c>
      <c r="L200" s="32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</row>
    <row r="201" ht="15.75" customHeight="1">
      <c r="A201" s="27"/>
      <c r="B201" s="16">
        <f t="shared" si="2"/>
        <v>45796</v>
      </c>
      <c r="C201" s="28">
        <v>45796.0</v>
      </c>
      <c r="D201" s="44">
        <v>7.0</v>
      </c>
      <c r="E201" s="50" t="s">
        <v>64</v>
      </c>
      <c r="F201" s="20" t="s">
        <v>66</v>
      </c>
      <c r="G201" s="37"/>
      <c r="H201" s="20" t="s">
        <v>23</v>
      </c>
      <c r="I201" s="32" t="s">
        <v>7</v>
      </c>
      <c r="J201" s="32" t="s">
        <v>98</v>
      </c>
      <c r="K201" s="51" t="s">
        <v>143</v>
      </c>
      <c r="L201" s="32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</row>
    <row r="202" ht="15.75" customHeight="1">
      <c r="A202" s="27"/>
      <c r="B202" s="16">
        <f t="shared" si="2"/>
        <v>45796</v>
      </c>
      <c r="C202" s="28">
        <v>45796.0</v>
      </c>
      <c r="D202" s="44">
        <v>7.0</v>
      </c>
      <c r="E202" s="50" t="s">
        <v>62</v>
      </c>
      <c r="F202" s="20" t="s">
        <v>146</v>
      </c>
      <c r="G202" s="37"/>
      <c r="H202" s="20" t="s">
        <v>23</v>
      </c>
      <c r="I202" s="32" t="s">
        <v>7</v>
      </c>
      <c r="J202" s="32" t="s">
        <v>109</v>
      </c>
      <c r="K202" s="51" t="s">
        <v>143</v>
      </c>
      <c r="L202" s="32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</row>
    <row r="203" ht="15.75" customHeight="1">
      <c r="A203" s="27"/>
      <c r="B203" s="16">
        <f t="shared" si="2"/>
        <v>45796</v>
      </c>
      <c r="C203" s="28">
        <v>45796.0</v>
      </c>
      <c r="D203" s="44">
        <v>7.0</v>
      </c>
      <c r="E203" s="50" t="s">
        <v>72</v>
      </c>
      <c r="F203" s="20" t="s">
        <v>73</v>
      </c>
      <c r="G203" s="37"/>
      <c r="H203" s="20" t="s">
        <v>23</v>
      </c>
      <c r="I203" s="32" t="s">
        <v>7</v>
      </c>
      <c r="J203" s="32" t="s">
        <v>141</v>
      </c>
      <c r="K203" s="51" t="s">
        <v>143</v>
      </c>
      <c r="L203" s="32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</row>
    <row r="204" ht="15.75" customHeight="1">
      <c r="A204" s="27"/>
      <c r="B204" s="16">
        <f t="shared" si="2"/>
        <v>45796</v>
      </c>
      <c r="C204" s="28">
        <v>45796.0</v>
      </c>
      <c r="D204" s="44">
        <v>7.0</v>
      </c>
      <c r="E204" s="50" t="s">
        <v>69</v>
      </c>
      <c r="F204" s="20" t="s">
        <v>77</v>
      </c>
      <c r="G204" s="37"/>
      <c r="H204" s="20" t="s">
        <v>23</v>
      </c>
      <c r="I204" s="32" t="s">
        <v>7</v>
      </c>
      <c r="J204" s="32" t="s">
        <v>102</v>
      </c>
      <c r="K204" s="51" t="s">
        <v>143</v>
      </c>
      <c r="L204" s="32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</row>
    <row r="205" ht="15.75" customHeight="1">
      <c r="A205" s="27"/>
      <c r="B205" s="16">
        <f t="shared" si="2"/>
        <v>45796</v>
      </c>
      <c r="C205" s="28">
        <v>45796.0</v>
      </c>
      <c r="D205" s="44">
        <v>4.0</v>
      </c>
      <c r="E205" s="50" t="s">
        <v>72</v>
      </c>
      <c r="F205" s="20" t="s">
        <v>147</v>
      </c>
      <c r="G205" s="37"/>
      <c r="H205" s="20" t="s">
        <v>23</v>
      </c>
      <c r="I205" s="32" t="s">
        <v>7</v>
      </c>
      <c r="J205" s="32" t="s">
        <v>66</v>
      </c>
      <c r="K205" s="51" t="s">
        <v>143</v>
      </c>
      <c r="L205" s="32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</row>
    <row r="206" ht="15.75" customHeight="1">
      <c r="A206" s="27"/>
      <c r="B206" s="16">
        <f t="shared" si="2"/>
        <v>45796</v>
      </c>
      <c r="C206" s="28">
        <v>45796.0</v>
      </c>
      <c r="D206" s="44">
        <v>4.0</v>
      </c>
      <c r="E206" s="50" t="s">
        <v>82</v>
      </c>
      <c r="F206" s="20" t="s">
        <v>99</v>
      </c>
      <c r="G206" s="37"/>
      <c r="H206" s="20" t="s">
        <v>23</v>
      </c>
      <c r="I206" s="32" t="s">
        <v>7</v>
      </c>
      <c r="J206" s="32" t="s">
        <v>67</v>
      </c>
      <c r="K206" s="51" t="s">
        <v>143</v>
      </c>
      <c r="L206" s="32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</row>
    <row r="207" ht="15.75" customHeight="1">
      <c r="A207" s="27"/>
      <c r="B207" s="16">
        <f t="shared" si="2"/>
        <v>45797</v>
      </c>
      <c r="C207" s="28">
        <v>45797.0</v>
      </c>
      <c r="D207" s="44"/>
      <c r="E207" s="50" t="s">
        <v>69</v>
      </c>
      <c r="F207" s="20" t="s">
        <v>67</v>
      </c>
      <c r="G207" s="20" t="s">
        <v>58</v>
      </c>
      <c r="H207" s="20"/>
      <c r="I207" s="20" t="s">
        <v>12</v>
      </c>
      <c r="J207" s="32" t="s">
        <v>90</v>
      </c>
      <c r="K207" s="51" t="s">
        <v>143</v>
      </c>
      <c r="L207" s="32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</row>
    <row r="208" ht="15.75" customHeight="1">
      <c r="A208" s="27"/>
      <c r="B208" s="16">
        <f t="shared" si="2"/>
        <v>45797</v>
      </c>
      <c r="C208" s="28">
        <v>45797.0</v>
      </c>
      <c r="D208" s="44"/>
      <c r="E208" s="50" t="s">
        <v>65</v>
      </c>
      <c r="F208" s="20" t="s">
        <v>67</v>
      </c>
      <c r="G208" s="20" t="s">
        <v>58</v>
      </c>
      <c r="H208" s="20"/>
      <c r="I208" s="20" t="s">
        <v>12</v>
      </c>
      <c r="J208" s="32" t="s">
        <v>90</v>
      </c>
      <c r="K208" s="51" t="s">
        <v>143</v>
      </c>
      <c r="L208" s="32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</row>
    <row r="209" ht="15.75" customHeight="1">
      <c r="A209" s="27"/>
      <c r="B209" s="16">
        <f t="shared" si="2"/>
        <v>45797</v>
      </c>
      <c r="C209" s="28">
        <v>45797.0</v>
      </c>
      <c r="D209" s="44"/>
      <c r="E209" s="50" t="s">
        <v>69</v>
      </c>
      <c r="F209" s="20" t="s">
        <v>67</v>
      </c>
      <c r="G209" s="20" t="s">
        <v>58</v>
      </c>
      <c r="H209" s="20"/>
      <c r="I209" s="20" t="s">
        <v>12</v>
      </c>
      <c r="J209" s="32" t="s">
        <v>90</v>
      </c>
      <c r="K209" s="51" t="s">
        <v>143</v>
      </c>
      <c r="L209" s="32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</row>
    <row r="210" ht="15.75" customHeight="1">
      <c r="A210" s="27"/>
      <c r="B210" s="16">
        <f t="shared" si="2"/>
        <v>45797</v>
      </c>
      <c r="C210" s="28">
        <v>45797.0</v>
      </c>
      <c r="D210" s="44"/>
      <c r="E210" s="50" t="s">
        <v>65</v>
      </c>
      <c r="F210" s="20" t="s">
        <v>67</v>
      </c>
      <c r="G210" s="20" t="s">
        <v>58</v>
      </c>
      <c r="H210" s="20"/>
      <c r="I210" s="20" t="s">
        <v>12</v>
      </c>
      <c r="J210" s="32" t="s">
        <v>90</v>
      </c>
      <c r="K210" s="51" t="s">
        <v>143</v>
      </c>
      <c r="L210" s="32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</row>
    <row r="211" ht="15.75" customHeight="1">
      <c r="A211" s="27"/>
      <c r="B211" s="16">
        <f t="shared" si="2"/>
        <v>45797</v>
      </c>
      <c r="C211" s="28">
        <v>45797.0</v>
      </c>
      <c r="D211" s="52">
        <v>1.0</v>
      </c>
      <c r="E211" s="50" t="s">
        <v>148</v>
      </c>
      <c r="F211" s="20" t="s">
        <v>79</v>
      </c>
      <c r="G211" s="20"/>
      <c r="H211" s="20" t="s">
        <v>144</v>
      </c>
      <c r="I211" s="32" t="s">
        <v>6</v>
      </c>
      <c r="J211" s="32" t="s">
        <v>102</v>
      </c>
      <c r="K211" s="51" t="s">
        <v>143</v>
      </c>
      <c r="L211" s="32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</row>
    <row r="212" ht="15.75" customHeight="1">
      <c r="A212" s="27"/>
      <c r="B212" s="16">
        <f t="shared" si="2"/>
        <v>45797</v>
      </c>
      <c r="C212" s="28">
        <v>45797.0</v>
      </c>
      <c r="D212" s="52">
        <v>2.0</v>
      </c>
      <c r="E212" s="50" t="s">
        <v>148</v>
      </c>
      <c r="F212" s="20" t="s">
        <v>98</v>
      </c>
      <c r="G212" s="20" t="s">
        <v>58</v>
      </c>
      <c r="H212" s="20"/>
      <c r="I212" s="32" t="s">
        <v>6</v>
      </c>
      <c r="J212" s="32" t="s">
        <v>102</v>
      </c>
      <c r="K212" s="51" t="s">
        <v>143</v>
      </c>
      <c r="L212" s="32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</row>
    <row r="213" ht="15.75" customHeight="1">
      <c r="A213" s="27"/>
      <c r="B213" s="16">
        <f t="shared" si="2"/>
        <v>45797</v>
      </c>
      <c r="C213" s="28">
        <v>45797.0</v>
      </c>
      <c r="D213" s="52">
        <v>3.0</v>
      </c>
      <c r="E213" s="50" t="s">
        <v>149</v>
      </c>
      <c r="F213" s="20" t="s">
        <v>109</v>
      </c>
      <c r="G213" s="20"/>
      <c r="H213" s="20" t="s">
        <v>144</v>
      </c>
      <c r="I213" s="32" t="s">
        <v>6</v>
      </c>
      <c r="J213" s="32" t="s">
        <v>102</v>
      </c>
      <c r="K213" s="51" t="s">
        <v>143</v>
      </c>
      <c r="L213" s="32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</row>
    <row r="214" ht="15.75" customHeight="1">
      <c r="A214" s="27"/>
      <c r="B214" s="16">
        <f t="shared" si="2"/>
        <v>45797</v>
      </c>
      <c r="C214" s="28">
        <v>45797.0</v>
      </c>
      <c r="D214" s="52">
        <v>4.0</v>
      </c>
      <c r="E214" s="50" t="s">
        <v>149</v>
      </c>
      <c r="F214" s="20" t="s">
        <v>111</v>
      </c>
      <c r="G214" s="20" t="s">
        <v>58</v>
      </c>
      <c r="H214" s="20"/>
      <c r="I214" s="32" t="s">
        <v>6</v>
      </c>
      <c r="J214" s="32" t="s">
        <v>102</v>
      </c>
      <c r="K214" s="51" t="s">
        <v>143</v>
      </c>
      <c r="L214" s="32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</row>
    <row r="215" ht="15.75" customHeight="1">
      <c r="A215" s="27"/>
      <c r="B215" s="16">
        <f t="shared" si="2"/>
        <v>45797</v>
      </c>
      <c r="C215" s="28">
        <v>45797.0</v>
      </c>
      <c r="D215" s="52">
        <v>5.0</v>
      </c>
      <c r="E215" s="50" t="s">
        <v>150</v>
      </c>
      <c r="F215" s="20"/>
      <c r="G215" s="37"/>
      <c r="H215" s="20"/>
      <c r="I215" s="32" t="s">
        <v>6</v>
      </c>
      <c r="J215" s="32" t="s">
        <v>102</v>
      </c>
      <c r="K215" s="51" t="s">
        <v>143</v>
      </c>
      <c r="L215" s="32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</row>
    <row r="216" ht="15.75" customHeight="1">
      <c r="A216" s="27"/>
      <c r="B216" s="16">
        <f t="shared" si="2"/>
        <v>45797</v>
      </c>
      <c r="C216" s="28">
        <v>45797.0</v>
      </c>
      <c r="D216" s="52">
        <v>6.0</v>
      </c>
      <c r="E216" s="50" t="s">
        <v>150</v>
      </c>
      <c r="F216" s="20" t="s">
        <v>81</v>
      </c>
      <c r="G216" s="20" t="s">
        <v>58</v>
      </c>
      <c r="H216" s="20"/>
      <c r="I216" s="32" t="s">
        <v>6</v>
      </c>
      <c r="J216" s="32" t="s">
        <v>102</v>
      </c>
      <c r="K216" s="51" t="s">
        <v>143</v>
      </c>
      <c r="L216" s="32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</row>
    <row r="217" ht="15.75" customHeight="1">
      <c r="A217" s="27"/>
      <c r="B217" s="16">
        <f t="shared" si="2"/>
        <v>45797</v>
      </c>
      <c r="C217" s="28">
        <v>45797.0</v>
      </c>
      <c r="D217" s="52">
        <v>7.0</v>
      </c>
      <c r="E217" s="50" t="s">
        <v>150</v>
      </c>
      <c r="F217" s="20" t="s">
        <v>103</v>
      </c>
      <c r="G217" s="20" t="s">
        <v>58</v>
      </c>
      <c r="H217" s="20"/>
      <c r="I217" s="32" t="s">
        <v>6</v>
      </c>
      <c r="J217" s="32" t="s">
        <v>102</v>
      </c>
      <c r="K217" s="51" t="s">
        <v>143</v>
      </c>
      <c r="L217" s="32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</row>
    <row r="218" ht="15.75" customHeight="1">
      <c r="A218" s="27"/>
      <c r="B218" s="16">
        <f t="shared" si="2"/>
        <v>45799</v>
      </c>
      <c r="C218" s="28">
        <v>45799.0</v>
      </c>
      <c r="D218" s="80">
        <v>1.0</v>
      </c>
      <c r="E218" s="50" t="s">
        <v>62</v>
      </c>
      <c r="F218" s="20" t="s">
        <v>107</v>
      </c>
      <c r="G218" s="37"/>
      <c r="H218" s="20"/>
      <c r="I218" s="32" t="s">
        <v>151</v>
      </c>
      <c r="J218" s="32" t="s">
        <v>63</v>
      </c>
      <c r="K218" s="51" t="s">
        <v>143</v>
      </c>
      <c r="L218" s="32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</row>
    <row r="219" ht="15.75" customHeight="1">
      <c r="A219" s="27"/>
      <c r="B219" s="16">
        <f t="shared" si="2"/>
        <v>45799</v>
      </c>
      <c r="C219" s="28">
        <v>45799.0</v>
      </c>
      <c r="D219" s="44">
        <v>2.0</v>
      </c>
      <c r="E219" s="50" t="s">
        <v>74</v>
      </c>
      <c r="F219" s="20" t="s">
        <v>105</v>
      </c>
      <c r="G219" s="37"/>
      <c r="H219" s="20"/>
      <c r="I219" s="32" t="s">
        <v>151</v>
      </c>
      <c r="J219" s="32" t="s">
        <v>63</v>
      </c>
      <c r="K219" s="51" t="s">
        <v>143</v>
      </c>
      <c r="L219" s="32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</row>
    <row r="220" ht="15.75" customHeight="1">
      <c r="A220" s="27"/>
      <c r="B220" s="16">
        <f t="shared" si="2"/>
        <v>45799</v>
      </c>
      <c r="C220" s="28">
        <v>45799.0</v>
      </c>
      <c r="D220" s="44">
        <v>3.0</v>
      </c>
      <c r="E220" s="50" t="s">
        <v>74</v>
      </c>
      <c r="F220" s="20" t="s">
        <v>105</v>
      </c>
      <c r="G220" s="20" t="s">
        <v>58</v>
      </c>
      <c r="H220" s="20"/>
      <c r="I220" s="32" t="s">
        <v>151</v>
      </c>
      <c r="J220" s="32" t="s">
        <v>63</v>
      </c>
      <c r="K220" s="51" t="s">
        <v>143</v>
      </c>
      <c r="L220" s="32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ht="15.75" customHeight="1">
      <c r="A221" s="27"/>
      <c r="B221" s="16">
        <f t="shared" si="2"/>
        <v>45799</v>
      </c>
      <c r="C221" s="28">
        <v>45799.0</v>
      </c>
      <c r="D221" s="44">
        <v>4.0</v>
      </c>
      <c r="E221" s="50" t="s">
        <v>62</v>
      </c>
      <c r="F221" s="20" t="s">
        <v>79</v>
      </c>
      <c r="G221" s="37"/>
      <c r="H221" s="20"/>
      <c r="I221" s="32" t="s">
        <v>151</v>
      </c>
      <c r="J221" s="32" t="s">
        <v>63</v>
      </c>
      <c r="K221" s="51" t="s">
        <v>143</v>
      </c>
      <c r="L221" s="32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ht="15.75" customHeight="1">
      <c r="A222" s="27"/>
      <c r="B222" s="16">
        <f t="shared" si="2"/>
        <v>45799</v>
      </c>
      <c r="C222" s="28">
        <v>45799.0</v>
      </c>
      <c r="D222" s="44">
        <v>5.0</v>
      </c>
      <c r="E222" s="50" t="s">
        <v>56</v>
      </c>
      <c r="F222" s="20" t="s">
        <v>79</v>
      </c>
      <c r="G222" s="37"/>
      <c r="H222" s="20"/>
      <c r="I222" s="32" t="s">
        <v>151</v>
      </c>
      <c r="J222" s="32" t="s">
        <v>63</v>
      </c>
      <c r="K222" s="51" t="s">
        <v>143</v>
      </c>
      <c r="L222" s="32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</row>
    <row r="223" ht="15.75" customHeight="1">
      <c r="A223" s="27"/>
      <c r="B223" s="16">
        <f t="shared" si="2"/>
        <v>45799</v>
      </c>
      <c r="C223" s="28">
        <v>45799.0</v>
      </c>
      <c r="D223" s="44">
        <v>6.0</v>
      </c>
      <c r="E223" s="50" t="s">
        <v>56</v>
      </c>
      <c r="F223" s="20" t="s">
        <v>70</v>
      </c>
      <c r="G223" s="20" t="s">
        <v>58</v>
      </c>
      <c r="H223" s="20"/>
      <c r="I223" s="32" t="s">
        <v>151</v>
      </c>
      <c r="J223" s="32" t="s">
        <v>63</v>
      </c>
      <c r="K223" s="51" t="s">
        <v>143</v>
      </c>
      <c r="L223" s="32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</row>
    <row r="224" ht="15.75" customHeight="1">
      <c r="A224" s="27"/>
      <c r="B224" s="16">
        <f t="shared" si="2"/>
        <v>45799</v>
      </c>
      <c r="C224" s="28">
        <v>45799.0</v>
      </c>
      <c r="D224" s="44">
        <v>7.0</v>
      </c>
      <c r="E224" s="50" t="s">
        <v>56</v>
      </c>
      <c r="F224" s="20" t="s">
        <v>110</v>
      </c>
      <c r="G224" s="37"/>
      <c r="H224" s="20"/>
      <c r="I224" s="32" t="s">
        <v>151</v>
      </c>
      <c r="J224" s="32" t="s">
        <v>63</v>
      </c>
      <c r="K224" s="51" t="s">
        <v>143</v>
      </c>
      <c r="L224" s="32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</row>
    <row r="225" ht="15.75" customHeight="1">
      <c r="A225" s="27"/>
      <c r="B225" s="16">
        <f t="shared" si="2"/>
        <v>45799</v>
      </c>
      <c r="C225" s="28">
        <v>45799.0</v>
      </c>
      <c r="D225" s="44">
        <v>8.0</v>
      </c>
      <c r="E225" s="50" t="s">
        <v>62</v>
      </c>
      <c r="F225" s="20" t="s">
        <v>146</v>
      </c>
      <c r="G225" s="37"/>
      <c r="H225" s="20"/>
      <c r="I225" s="32" t="s">
        <v>151</v>
      </c>
      <c r="J225" s="32" t="s">
        <v>63</v>
      </c>
      <c r="K225" s="51" t="s">
        <v>143</v>
      </c>
      <c r="L225" s="32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</row>
    <row r="226" ht="15.75" customHeight="1">
      <c r="A226" s="27"/>
      <c r="B226" s="16">
        <f t="shared" si="2"/>
        <v>45799</v>
      </c>
      <c r="C226" s="28">
        <v>45799.0</v>
      </c>
      <c r="D226" s="44">
        <v>1.0</v>
      </c>
      <c r="E226" s="50" t="s">
        <v>65</v>
      </c>
      <c r="F226" s="20" t="s">
        <v>66</v>
      </c>
      <c r="G226" s="37"/>
      <c r="H226" s="20"/>
      <c r="I226" s="20" t="s">
        <v>12</v>
      </c>
      <c r="J226" s="32" t="s">
        <v>90</v>
      </c>
      <c r="K226" s="51" t="s">
        <v>143</v>
      </c>
      <c r="L226" s="32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</row>
    <row r="227" ht="15.75" customHeight="1">
      <c r="A227" s="27"/>
      <c r="B227" s="16">
        <f t="shared" si="2"/>
        <v>45799</v>
      </c>
      <c r="C227" s="28">
        <v>45799.0</v>
      </c>
      <c r="D227" s="44">
        <v>2.0</v>
      </c>
      <c r="E227" s="50" t="s">
        <v>69</v>
      </c>
      <c r="F227" s="20" t="s">
        <v>66</v>
      </c>
      <c r="G227" s="37"/>
      <c r="H227" s="20"/>
      <c r="I227" s="20" t="s">
        <v>12</v>
      </c>
      <c r="J227" s="32" t="s">
        <v>90</v>
      </c>
      <c r="K227" s="51" t="s">
        <v>143</v>
      </c>
      <c r="L227" s="32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</row>
    <row r="228" ht="15.75" customHeight="1">
      <c r="A228" s="27"/>
      <c r="B228" s="16">
        <f t="shared" si="2"/>
        <v>45799</v>
      </c>
      <c r="C228" s="28">
        <v>45799.0</v>
      </c>
      <c r="D228" s="44">
        <v>3.0</v>
      </c>
      <c r="E228" s="50" t="s">
        <v>65</v>
      </c>
      <c r="F228" s="20" t="s">
        <v>66</v>
      </c>
      <c r="G228" s="37"/>
      <c r="H228" s="20"/>
      <c r="I228" s="20" t="s">
        <v>12</v>
      </c>
      <c r="J228" s="32" t="s">
        <v>90</v>
      </c>
      <c r="K228" s="51" t="s">
        <v>143</v>
      </c>
      <c r="L228" s="32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</row>
    <row r="229" ht="15.75" customHeight="1">
      <c r="A229" s="27"/>
      <c r="B229" s="16">
        <f t="shared" si="2"/>
        <v>45799</v>
      </c>
      <c r="C229" s="28">
        <v>45799.0</v>
      </c>
      <c r="D229" s="44">
        <v>4.0</v>
      </c>
      <c r="E229" s="50" t="s">
        <v>69</v>
      </c>
      <c r="F229" s="20" t="s">
        <v>66</v>
      </c>
      <c r="G229" s="37"/>
      <c r="H229" s="20"/>
      <c r="I229" s="20" t="s">
        <v>12</v>
      </c>
      <c r="J229" s="32" t="s">
        <v>90</v>
      </c>
      <c r="K229" s="51" t="s">
        <v>143</v>
      </c>
      <c r="L229" s="32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</row>
    <row r="230" ht="15.75" customHeight="1">
      <c r="A230" s="27"/>
      <c r="B230" s="16">
        <f t="shared" si="2"/>
        <v>45799</v>
      </c>
      <c r="C230" s="28">
        <v>45799.0</v>
      </c>
      <c r="D230" s="44">
        <v>3.0</v>
      </c>
      <c r="E230" s="50" t="s">
        <v>136</v>
      </c>
      <c r="F230" s="20" t="s">
        <v>134</v>
      </c>
      <c r="G230" s="20" t="s">
        <v>58</v>
      </c>
      <c r="H230" s="20"/>
      <c r="I230" s="32" t="s">
        <v>7</v>
      </c>
      <c r="J230" s="32" t="s">
        <v>117</v>
      </c>
      <c r="K230" s="51" t="s">
        <v>143</v>
      </c>
      <c r="L230" s="32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</row>
    <row r="231" ht="15.75" customHeight="1">
      <c r="A231" s="27"/>
      <c r="B231" s="16">
        <f t="shared" si="2"/>
        <v>45799</v>
      </c>
      <c r="C231" s="28">
        <v>45799.0</v>
      </c>
      <c r="D231" s="44">
        <v>3.0</v>
      </c>
      <c r="E231" s="50" t="s">
        <v>152</v>
      </c>
      <c r="F231" s="20" t="s">
        <v>84</v>
      </c>
      <c r="G231" s="37"/>
      <c r="H231" s="20"/>
      <c r="I231" s="32" t="s">
        <v>7</v>
      </c>
      <c r="J231" s="32" t="s">
        <v>112</v>
      </c>
      <c r="K231" s="51" t="s">
        <v>143</v>
      </c>
      <c r="L231" s="32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</row>
    <row r="232" ht="15.75" customHeight="1">
      <c r="A232" s="27"/>
      <c r="B232" s="16">
        <f t="shared" si="2"/>
        <v>45799</v>
      </c>
      <c r="C232" s="28">
        <v>45799.0</v>
      </c>
      <c r="D232" s="44">
        <v>1.0</v>
      </c>
      <c r="E232" s="50" t="s">
        <v>97</v>
      </c>
      <c r="F232" s="20" t="s">
        <v>77</v>
      </c>
      <c r="G232" s="37"/>
      <c r="H232" s="20"/>
      <c r="I232" s="32" t="s">
        <v>6</v>
      </c>
      <c r="J232" s="32" t="s">
        <v>103</v>
      </c>
      <c r="K232" s="51" t="s">
        <v>143</v>
      </c>
      <c r="L232" s="32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</row>
    <row r="233" ht="15.75" customHeight="1">
      <c r="A233" s="27"/>
      <c r="B233" s="16">
        <f t="shared" si="2"/>
        <v>45799</v>
      </c>
      <c r="C233" s="28">
        <v>45799.0</v>
      </c>
      <c r="D233" s="44">
        <v>2.0</v>
      </c>
      <c r="E233" s="50"/>
      <c r="F233" s="20"/>
      <c r="G233" s="37"/>
      <c r="H233" s="20"/>
      <c r="I233" s="32" t="s">
        <v>6</v>
      </c>
      <c r="J233" s="32" t="s">
        <v>103</v>
      </c>
      <c r="K233" s="51" t="s">
        <v>143</v>
      </c>
      <c r="L233" s="32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</row>
    <row r="234" ht="15.75" customHeight="1">
      <c r="A234" s="27"/>
      <c r="B234" s="16">
        <f t="shared" si="2"/>
        <v>45799</v>
      </c>
      <c r="C234" s="28">
        <v>45799.0</v>
      </c>
      <c r="D234" s="44">
        <v>4.0</v>
      </c>
      <c r="E234" s="50" t="s">
        <v>97</v>
      </c>
      <c r="F234" s="20"/>
      <c r="G234" s="20"/>
      <c r="H234" s="20" t="s">
        <v>153</v>
      </c>
      <c r="I234" s="32" t="s">
        <v>6</v>
      </c>
      <c r="J234" s="32" t="s">
        <v>103</v>
      </c>
      <c r="K234" s="51" t="s">
        <v>143</v>
      </c>
      <c r="L234" s="32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</row>
    <row r="235" ht="15.75" customHeight="1">
      <c r="A235" s="27"/>
      <c r="B235" s="16">
        <f t="shared" si="2"/>
        <v>45799</v>
      </c>
      <c r="C235" s="28">
        <v>45799.0</v>
      </c>
      <c r="D235" s="44">
        <v>4.0</v>
      </c>
      <c r="E235" s="50"/>
      <c r="F235" s="20"/>
      <c r="G235" s="37"/>
      <c r="H235" s="20"/>
      <c r="I235" s="32" t="s">
        <v>6</v>
      </c>
      <c r="J235" s="32" t="s">
        <v>103</v>
      </c>
      <c r="K235" s="51" t="s">
        <v>143</v>
      </c>
      <c r="L235" s="32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ht="15.75" customHeight="1">
      <c r="A236" s="27"/>
      <c r="B236" s="16">
        <f t="shared" si="2"/>
        <v>45799</v>
      </c>
      <c r="C236" s="28">
        <v>45799.0</v>
      </c>
      <c r="D236" s="44">
        <v>5.0</v>
      </c>
      <c r="E236" s="50" t="s">
        <v>100</v>
      </c>
      <c r="F236" s="20" t="s">
        <v>67</v>
      </c>
      <c r="G236" s="37"/>
      <c r="H236" s="20"/>
      <c r="I236" s="32" t="s">
        <v>6</v>
      </c>
      <c r="J236" s="32" t="s">
        <v>103</v>
      </c>
      <c r="K236" s="51" t="s">
        <v>143</v>
      </c>
      <c r="L236" s="32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</row>
    <row r="237" ht="15.75" customHeight="1">
      <c r="A237" s="27"/>
      <c r="B237" s="16">
        <f t="shared" si="2"/>
        <v>45799</v>
      </c>
      <c r="C237" s="28">
        <v>45799.0</v>
      </c>
      <c r="D237" s="44">
        <v>6.0</v>
      </c>
      <c r="E237" s="50" t="s">
        <v>97</v>
      </c>
      <c r="F237" s="20" t="s">
        <v>81</v>
      </c>
      <c r="G237" s="20" t="s">
        <v>58</v>
      </c>
      <c r="H237" s="20"/>
      <c r="I237" s="32" t="s">
        <v>6</v>
      </c>
      <c r="J237" s="32" t="s">
        <v>103</v>
      </c>
      <c r="K237" s="51" t="s">
        <v>143</v>
      </c>
      <c r="L237" s="32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</row>
    <row r="238" ht="15.75" customHeight="1">
      <c r="A238" s="27"/>
      <c r="B238" s="16">
        <f t="shared" si="2"/>
        <v>45799</v>
      </c>
      <c r="C238" s="28">
        <v>45799.0</v>
      </c>
      <c r="D238" s="44">
        <v>7.0</v>
      </c>
      <c r="E238" s="50" t="s">
        <v>100</v>
      </c>
      <c r="F238" s="20" t="s">
        <v>66</v>
      </c>
      <c r="G238" s="37"/>
      <c r="H238" s="20"/>
      <c r="I238" s="32" t="s">
        <v>6</v>
      </c>
      <c r="J238" s="32" t="s">
        <v>103</v>
      </c>
      <c r="K238" s="51" t="s">
        <v>143</v>
      </c>
      <c r="L238" s="32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</row>
    <row r="239" ht="15.75" customHeight="1">
      <c r="A239" s="27"/>
      <c r="B239" s="16">
        <f t="shared" si="2"/>
        <v>45799</v>
      </c>
      <c r="C239" s="28">
        <v>45799.0</v>
      </c>
      <c r="D239" s="44">
        <v>8.0</v>
      </c>
      <c r="E239" s="50" t="s">
        <v>100</v>
      </c>
      <c r="F239" s="20" t="s">
        <v>99</v>
      </c>
      <c r="G239" s="37"/>
      <c r="H239" s="20"/>
      <c r="I239" s="32" t="s">
        <v>6</v>
      </c>
      <c r="J239" s="32" t="s">
        <v>103</v>
      </c>
      <c r="K239" s="51" t="s">
        <v>143</v>
      </c>
      <c r="L239" s="32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</row>
    <row r="240" ht="15.75" customHeight="1">
      <c r="A240" s="27"/>
      <c r="B240" s="16">
        <f t="shared" si="2"/>
        <v>45800</v>
      </c>
      <c r="C240" s="28">
        <v>45800.0</v>
      </c>
      <c r="D240" s="44">
        <v>1.0</v>
      </c>
      <c r="E240" s="50"/>
      <c r="F240" s="20"/>
      <c r="G240" s="37"/>
      <c r="H240" s="20"/>
      <c r="I240" s="32" t="s">
        <v>8</v>
      </c>
      <c r="J240" s="32" t="s">
        <v>114</v>
      </c>
      <c r="K240" s="51" t="s">
        <v>143</v>
      </c>
      <c r="L240" s="32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</row>
    <row r="241" ht="15.75" customHeight="1">
      <c r="A241" s="27"/>
      <c r="B241" s="16">
        <f t="shared" si="2"/>
        <v>45800</v>
      </c>
      <c r="C241" s="28">
        <v>45800.0</v>
      </c>
      <c r="D241" s="44">
        <v>2.0</v>
      </c>
      <c r="E241" s="50"/>
      <c r="F241" s="20"/>
      <c r="G241" s="37"/>
      <c r="H241" s="20"/>
      <c r="I241" s="32" t="s">
        <v>8</v>
      </c>
      <c r="J241" s="32" t="s">
        <v>114</v>
      </c>
      <c r="K241" s="51" t="s">
        <v>143</v>
      </c>
      <c r="L241" s="32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</row>
    <row r="242" ht="15.75" customHeight="1">
      <c r="A242" s="27"/>
      <c r="B242" s="16">
        <f t="shared" si="2"/>
        <v>45800</v>
      </c>
      <c r="C242" s="28">
        <v>45800.0</v>
      </c>
      <c r="D242" s="44">
        <v>3.0</v>
      </c>
      <c r="E242" s="50" t="s">
        <v>100</v>
      </c>
      <c r="F242" s="20"/>
      <c r="G242" s="20"/>
      <c r="H242" s="20" t="s">
        <v>154</v>
      </c>
      <c r="I242" s="32" t="s">
        <v>8</v>
      </c>
      <c r="J242" s="32" t="s">
        <v>114</v>
      </c>
      <c r="K242" s="51" t="s">
        <v>143</v>
      </c>
      <c r="L242" s="32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</row>
    <row r="243" ht="15.75" customHeight="1">
      <c r="A243" s="27"/>
      <c r="B243" s="16">
        <f t="shared" si="2"/>
        <v>45800</v>
      </c>
      <c r="C243" s="28">
        <v>45800.0</v>
      </c>
      <c r="D243" s="44">
        <v>4.0</v>
      </c>
      <c r="E243" s="50" t="s">
        <v>97</v>
      </c>
      <c r="F243" s="20" t="s">
        <v>77</v>
      </c>
      <c r="G243" s="37"/>
      <c r="H243" s="20"/>
      <c r="I243" s="32" t="s">
        <v>8</v>
      </c>
      <c r="J243" s="32" t="s">
        <v>114</v>
      </c>
      <c r="K243" s="51" t="s">
        <v>143</v>
      </c>
      <c r="L243" s="32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</row>
    <row r="244" ht="15.75" customHeight="1">
      <c r="A244" s="27"/>
      <c r="B244" s="16">
        <f t="shared" si="2"/>
        <v>45800</v>
      </c>
      <c r="C244" s="28">
        <v>45800.0</v>
      </c>
      <c r="D244" s="44">
        <v>5.0</v>
      </c>
      <c r="E244" s="50" t="s">
        <v>62</v>
      </c>
      <c r="F244" s="20" t="s">
        <v>57</v>
      </c>
      <c r="G244" s="20" t="s">
        <v>58</v>
      </c>
      <c r="H244" s="20"/>
      <c r="I244" s="32" t="s">
        <v>8</v>
      </c>
      <c r="J244" s="32" t="s">
        <v>114</v>
      </c>
      <c r="K244" s="51" t="s">
        <v>143</v>
      </c>
      <c r="L244" s="32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</row>
    <row r="245" ht="15.75" customHeight="1">
      <c r="A245" s="27"/>
      <c r="B245" s="16">
        <f t="shared" si="2"/>
        <v>45800</v>
      </c>
      <c r="C245" s="28">
        <v>45800.0</v>
      </c>
      <c r="D245" s="44">
        <v>6.0</v>
      </c>
      <c r="E245" s="50" t="s">
        <v>62</v>
      </c>
      <c r="F245" s="20" t="s">
        <v>81</v>
      </c>
      <c r="G245" s="20" t="s">
        <v>58</v>
      </c>
      <c r="H245" s="20"/>
      <c r="I245" s="32" t="s">
        <v>8</v>
      </c>
      <c r="J245" s="32" t="s">
        <v>114</v>
      </c>
      <c r="K245" s="51" t="s">
        <v>143</v>
      </c>
      <c r="L245" s="32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</row>
    <row r="246" ht="15.75" customHeight="1">
      <c r="A246" s="27"/>
      <c r="B246" s="16">
        <f t="shared" si="2"/>
        <v>45800</v>
      </c>
      <c r="C246" s="28">
        <v>45800.0</v>
      </c>
      <c r="D246" s="44">
        <v>7.0</v>
      </c>
      <c r="E246" s="50" t="s">
        <v>100</v>
      </c>
      <c r="F246" s="20" t="s">
        <v>81</v>
      </c>
      <c r="G246" s="20" t="s">
        <v>58</v>
      </c>
      <c r="H246" s="20"/>
      <c r="I246" s="32" t="s">
        <v>8</v>
      </c>
      <c r="J246" s="32" t="s">
        <v>114</v>
      </c>
      <c r="K246" s="51" t="s">
        <v>143</v>
      </c>
      <c r="L246" s="32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</row>
    <row r="247" ht="15.75" customHeight="1">
      <c r="A247" s="27"/>
      <c r="B247" s="16">
        <f t="shared" si="2"/>
        <v>45800</v>
      </c>
      <c r="C247" s="28">
        <v>45800.0</v>
      </c>
      <c r="D247" s="44">
        <v>8.0</v>
      </c>
      <c r="E247" s="50" t="s">
        <v>97</v>
      </c>
      <c r="F247" s="20" t="s">
        <v>81</v>
      </c>
      <c r="G247" s="20" t="s">
        <v>58</v>
      </c>
      <c r="H247" s="20"/>
      <c r="I247" s="32" t="s">
        <v>8</v>
      </c>
      <c r="J247" s="32" t="s">
        <v>114</v>
      </c>
      <c r="K247" s="51" t="s">
        <v>143</v>
      </c>
      <c r="L247" s="32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</row>
    <row r="248" ht="15.75" customHeight="1">
      <c r="A248" s="27"/>
      <c r="B248" s="16">
        <f t="shared" si="2"/>
        <v>45800</v>
      </c>
      <c r="C248" s="28">
        <v>45800.0</v>
      </c>
      <c r="D248" s="44">
        <v>1.0</v>
      </c>
      <c r="E248" s="50" t="s">
        <v>64</v>
      </c>
      <c r="F248" s="20" t="s">
        <v>84</v>
      </c>
      <c r="G248" s="37"/>
      <c r="H248" s="20"/>
      <c r="I248" s="32" t="s">
        <v>8</v>
      </c>
      <c r="J248" s="32" t="s">
        <v>70</v>
      </c>
      <c r="K248" s="51" t="s">
        <v>143</v>
      </c>
      <c r="L248" s="32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</row>
    <row r="249" ht="15.75" customHeight="1">
      <c r="A249" s="27"/>
      <c r="B249" s="16">
        <f t="shared" si="2"/>
        <v>45800</v>
      </c>
      <c r="C249" s="28">
        <v>45800.0</v>
      </c>
      <c r="D249" s="44">
        <v>2.0</v>
      </c>
      <c r="E249" s="50" t="s">
        <v>65</v>
      </c>
      <c r="F249" s="20" t="s">
        <v>99</v>
      </c>
      <c r="G249" s="37"/>
      <c r="H249" s="20"/>
      <c r="I249" s="32" t="s">
        <v>8</v>
      </c>
      <c r="J249" s="32" t="s">
        <v>70</v>
      </c>
      <c r="K249" s="51" t="s">
        <v>143</v>
      </c>
      <c r="L249" s="32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</row>
    <row r="250" ht="15.75" customHeight="1">
      <c r="A250" s="27"/>
      <c r="B250" s="16">
        <f t="shared" si="2"/>
        <v>45800</v>
      </c>
      <c r="C250" s="28">
        <v>45800.0</v>
      </c>
      <c r="D250" s="44">
        <v>3.0</v>
      </c>
      <c r="E250" s="50" t="s">
        <v>97</v>
      </c>
      <c r="F250" s="20" t="s">
        <v>77</v>
      </c>
      <c r="G250" s="37"/>
      <c r="H250" s="20"/>
      <c r="I250" s="32" t="s">
        <v>8</v>
      </c>
      <c r="J250" s="32" t="s">
        <v>70</v>
      </c>
      <c r="K250" s="51" t="s">
        <v>143</v>
      </c>
      <c r="L250" s="32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</row>
    <row r="251" ht="15.75" customHeight="1">
      <c r="A251" s="27"/>
      <c r="B251" s="16">
        <f t="shared" si="2"/>
        <v>45800</v>
      </c>
      <c r="C251" s="28">
        <v>45800.0</v>
      </c>
      <c r="D251" s="44">
        <v>4.0</v>
      </c>
      <c r="E251" s="50" t="s">
        <v>62</v>
      </c>
      <c r="F251" s="20" t="s">
        <v>146</v>
      </c>
      <c r="G251" s="37"/>
      <c r="H251" s="20"/>
      <c r="I251" s="32" t="s">
        <v>8</v>
      </c>
      <c r="J251" s="32" t="s">
        <v>70</v>
      </c>
      <c r="K251" s="51" t="s">
        <v>143</v>
      </c>
      <c r="L251" s="32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</row>
    <row r="252" ht="15.75" customHeight="1">
      <c r="A252" s="27"/>
      <c r="B252" s="16">
        <f t="shared" si="2"/>
        <v>45800</v>
      </c>
      <c r="C252" s="28">
        <v>45800.0</v>
      </c>
      <c r="D252" s="44">
        <v>5.0</v>
      </c>
      <c r="E252" s="50" t="s">
        <v>64</v>
      </c>
      <c r="F252" s="20" t="s">
        <v>73</v>
      </c>
      <c r="G252" s="37"/>
      <c r="H252" s="20"/>
      <c r="I252" s="32" t="s">
        <v>8</v>
      </c>
      <c r="J252" s="32" t="s">
        <v>70</v>
      </c>
      <c r="K252" s="51" t="s">
        <v>143</v>
      </c>
      <c r="L252" s="32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</row>
    <row r="253" ht="15.75" customHeight="1">
      <c r="A253" s="27"/>
      <c r="B253" s="16">
        <f t="shared" si="2"/>
        <v>45800</v>
      </c>
      <c r="C253" s="28">
        <v>45800.0</v>
      </c>
      <c r="D253" s="44">
        <v>6.0</v>
      </c>
      <c r="E253" s="50" t="s">
        <v>64</v>
      </c>
      <c r="F253" s="20" t="s">
        <v>57</v>
      </c>
      <c r="G253" s="20" t="s">
        <v>58</v>
      </c>
      <c r="H253" s="20"/>
      <c r="I253" s="32" t="s">
        <v>8</v>
      </c>
      <c r="J253" s="32" t="s">
        <v>70</v>
      </c>
      <c r="K253" s="51" t="s">
        <v>143</v>
      </c>
      <c r="L253" s="32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</row>
    <row r="254" ht="15.75" customHeight="1">
      <c r="A254" s="27"/>
      <c r="B254" s="16">
        <f t="shared" si="2"/>
        <v>45800</v>
      </c>
      <c r="C254" s="28">
        <v>45800.0</v>
      </c>
      <c r="D254" s="44">
        <v>7.0</v>
      </c>
      <c r="E254" s="50" t="s">
        <v>69</v>
      </c>
      <c r="F254" s="20" t="s">
        <v>57</v>
      </c>
      <c r="G254" s="20" t="s">
        <v>58</v>
      </c>
      <c r="H254" s="20"/>
      <c r="I254" s="32" t="s">
        <v>8</v>
      </c>
      <c r="J254" s="32" t="s">
        <v>70</v>
      </c>
      <c r="K254" s="51" t="s">
        <v>143</v>
      </c>
      <c r="L254" s="32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</row>
    <row r="255" ht="15.75" customHeight="1">
      <c r="A255" s="27"/>
      <c r="B255" s="16">
        <f t="shared" si="2"/>
        <v>45800</v>
      </c>
      <c r="C255" s="28">
        <v>45800.0</v>
      </c>
      <c r="D255" s="44">
        <v>8.0</v>
      </c>
      <c r="E255" s="50" t="s">
        <v>100</v>
      </c>
      <c r="F255" s="20" t="s">
        <v>57</v>
      </c>
      <c r="G255" s="20" t="s">
        <v>58</v>
      </c>
      <c r="H255" s="20"/>
      <c r="I255" s="32" t="s">
        <v>8</v>
      </c>
      <c r="J255" s="32" t="s">
        <v>70</v>
      </c>
      <c r="K255" s="51" t="s">
        <v>143</v>
      </c>
      <c r="L255" s="32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</row>
    <row r="256" ht="15.75" customHeight="1">
      <c r="A256" s="27"/>
      <c r="B256" s="16">
        <f t="shared" si="2"/>
        <v>45800</v>
      </c>
      <c r="C256" s="28">
        <v>45800.0</v>
      </c>
      <c r="D256" s="44">
        <v>5.0</v>
      </c>
      <c r="E256" s="50" t="s">
        <v>56</v>
      </c>
      <c r="F256" s="20" t="s">
        <v>112</v>
      </c>
      <c r="G256" s="37"/>
      <c r="H256" s="20"/>
      <c r="I256" s="32" t="s">
        <v>6</v>
      </c>
      <c r="J256" s="32" t="s">
        <v>142</v>
      </c>
      <c r="K256" s="51" t="s">
        <v>143</v>
      </c>
      <c r="L256" s="32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</row>
    <row r="257" ht="15.75" customHeight="1">
      <c r="A257" s="27"/>
      <c r="B257" s="16">
        <f t="shared" si="2"/>
        <v>45800</v>
      </c>
      <c r="C257" s="28">
        <v>45800.0</v>
      </c>
      <c r="D257" s="44">
        <v>6.0</v>
      </c>
      <c r="E257" s="50" t="s">
        <v>61</v>
      </c>
      <c r="F257" s="20" t="s">
        <v>73</v>
      </c>
      <c r="G257" s="37"/>
      <c r="H257" s="20"/>
      <c r="I257" s="32" t="s">
        <v>6</v>
      </c>
      <c r="J257" s="32" t="s">
        <v>142</v>
      </c>
      <c r="K257" s="51" t="s">
        <v>143</v>
      </c>
      <c r="L257" s="32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</row>
    <row r="258" ht="15.75" customHeight="1">
      <c r="A258" s="27"/>
      <c r="B258" s="16">
        <f t="shared" si="2"/>
        <v>45800</v>
      </c>
      <c r="C258" s="28">
        <v>45800.0</v>
      </c>
      <c r="D258" s="44">
        <v>7.0</v>
      </c>
      <c r="E258" s="50" t="s">
        <v>76</v>
      </c>
      <c r="F258" s="20" t="s">
        <v>155</v>
      </c>
      <c r="G258" s="37"/>
      <c r="H258" s="20"/>
      <c r="I258" s="32" t="s">
        <v>6</v>
      </c>
      <c r="J258" s="32" t="s">
        <v>142</v>
      </c>
      <c r="K258" s="51" t="s">
        <v>143</v>
      </c>
      <c r="L258" s="32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</row>
    <row r="259" ht="15.75" customHeight="1">
      <c r="A259" s="27"/>
      <c r="B259" s="16">
        <f t="shared" si="2"/>
        <v>45800</v>
      </c>
      <c r="C259" s="28">
        <v>45800.0</v>
      </c>
      <c r="D259" s="44">
        <v>8.0</v>
      </c>
      <c r="E259" s="50" t="s">
        <v>76</v>
      </c>
      <c r="F259" s="20" t="s">
        <v>155</v>
      </c>
      <c r="G259" s="37"/>
      <c r="H259" s="20"/>
      <c r="I259" s="32" t="s">
        <v>6</v>
      </c>
      <c r="J259" s="32" t="s">
        <v>142</v>
      </c>
      <c r="K259" s="51" t="s">
        <v>143</v>
      </c>
      <c r="L259" s="32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</row>
    <row r="260" ht="15.75" customHeight="1">
      <c r="A260" s="27"/>
      <c r="B260" s="16">
        <f t="shared" si="2"/>
        <v>45803</v>
      </c>
      <c r="C260" s="28">
        <v>45803.0</v>
      </c>
      <c r="D260" s="44">
        <v>1.0</v>
      </c>
      <c r="E260" s="50" t="s">
        <v>65</v>
      </c>
      <c r="F260" s="20" t="s">
        <v>109</v>
      </c>
      <c r="H260" s="20" t="s">
        <v>156</v>
      </c>
      <c r="I260" s="20" t="s">
        <v>12</v>
      </c>
      <c r="J260" s="32" t="s">
        <v>96</v>
      </c>
      <c r="K260" s="81" t="s">
        <v>157</v>
      </c>
      <c r="L260" s="32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</row>
    <row r="261" ht="15.75" customHeight="1">
      <c r="A261" s="27"/>
      <c r="B261" s="16">
        <f t="shared" si="2"/>
        <v>45803</v>
      </c>
      <c r="C261" s="28">
        <v>45803.0</v>
      </c>
      <c r="D261" s="44">
        <v>2.0</v>
      </c>
      <c r="E261" s="50" t="s">
        <v>97</v>
      </c>
      <c r="F261" s="20" t="s">
        <v>109</v>
      </c>
      <c r="H261" s="20" t="s">
        <v>156</v>
      </c>
      <c r="I261" s="20" t="s">
        <v>12</v>
      </c>
      <c r="J261" s="32" t="s">
        <v>96</v>
      </c>
      <c r="K261" s="82" t="s">
        <v>157</v>
      </c>
      <c r="L261" s="32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</row>
    <row r="262" ht="15.75" customHeight="1">
      <c r="A262" s="27"/>
      <c r="B262" s="16">
        <f t="shared" si="2"/>
        <v>45803</v>
      </c>
      <c r="C262" s="28">
        <v>45803.0</v>
      </c>
      <c r="D262" s="44">
        <v>3.0</v>
      </c>
      <c r="E262" s="50" t="s">
        <v>69</v>
      </c>
      <c r="F262" s="20" t="s">
        <v>98</v>
      </c>
      <c r="H262" s="20" t="s">
        <v>156</v>
      </c>
      <c r="I262" s="20" t="s">
        <v>12</v>
      </c>
      <c r="J262" s="32" t="s">
        <v>96</v>
      </c>
      <c r="K262" s="81" t="s">
        <v>157</v>
      </c>
      <c r="L262" s="32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</row>
    <row r="263" ht="15.75" customHeight="1">
      <c r="A263" s="27"/>
      <c r="B263" s="16">
        <f t="shared" si="2"/>
        <v>45803</v>
      </c>
      <c r="C263" s="28">
        <v>45803.0</v>
      </c>
      <c r="D263" s="44">
        <v>4.0</v>
      </c>
      <c r="E263" s="50" t="s">
        <v>65</v>
      </c>
      <c r="F263" s="20" t="s">
        <v>107</v>
      </c>
      <c r="H263" s="20" t="s">
        <v>156</v>
      </c>
      <c r="I263" s="20" t="s">
        <v>12</v>
      </c>
      <c r="J263" s="32" t="s">
        <v>96</v>
      </c>
      <c r="K263" s="82" t="s">
        <v>157</v>
      </c>
      <c r="L263" s="32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</row>
    <row r="264" ht="15.75" customHeight="1">
      <c r="A264" s="27"/>
      <c r="B264" s="16">
        <f t="shared" si="2"/>
        <v>45803</v>
      </c>
      <c r="C264" s="28">
        <v>45803.0</v>
      </c>
      <c r="D264" s="44">
        <v>5.0</v>
      </c>
      <c r="E264" s="50"/>
      <c r="F264" s="20"/>
      <c r="H264" s="20" t="s">
        <v>156</v>
      </c>
      <c r="I264" s="20" t="s">
        <v>12</v>
      </c>
      <c r="J264" s="32" t="s">
        <v>96</v>
      </c>
      <c r="K264" s="81" t="s">
        <v>157</v>
      </c>
      <c r="L264" s="32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</row>
    <row r="265" ht="15.75" customHeight="1">
      <c r="A265" s="27"/>
      <c r="B265" s="16">
        <f t="shared" si="2"/>
        <v>45803</v>
      </c>
      <c r="C265" s="28">
        <v>45803.0</v>
      </c>
      <c r="D265" s="44">
        <v>6.0</v>
      </c>
      <c r="E265" s="50" t="s">
        <v>97</v>
      </c>
      <c r="F265" s="20" t="s">
        <v>142</v>
      </c>
      <c r="H265" s="20" t="s">
        <v>156</v>
      </c>
      <c r="I265" s="20" t="s">
        <v>12</v>
      </c>
      <c r="J265" s="32" t="s">
        <v>96</v>
      </c>
      <c r="K265" s="82" t="s">
        <v>157</v>
      </c>
      <c r="L265" s="32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</row>
    <row r="266" ht="15.75" customHeight="1">
      <c r="A266" s="27"/>
      <c r="B266" s="16">
        <f t="shared" si="2"/>
        <v>45803</v>
      </c>
      <c r="C266" s="28">
        <v>45803.0</v>
      </c>
      <c r="D266" s="44">
        <v>7.0</v>
      </c>
      <c r="E266" s="50" t="s">
        <v>69</v>
      </c>
      <c r="F266" s="20" t="s">
        <v>102</v>
      </c>
      <c r="G266" s="20"/>
      <c r="H266" s="20" t="s">
        <v>156</v>
      </c>
      <c r="I266" s="20" t="s">
        <v>12</v>
      </c>
      <c r="J266" s="32" t="s">
        <v>96</v>
      </c>
      <c r="K266" s="81" t="s">
        <v>157</v>
      </c>
      <c r="L266" s="32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</row>
    <row r="267" ht="15.75" customHeight="1">
      <c r="A267" s="27"/>
      <c r="B267" s="16">
        <f t="shared" si="2"/>
        <v>45804</v>
      </c>
      <c r="C267" s="28">
        <v>45804.0</v>
      </c>
      <c r="D267" s="44">
        <v>1.0</v>
      </c>
      <c r="E267" s="50" t="s">
        <v>69</v>
      </c>
      <c r="F267" s="20" t="s">
        <v>67</v>
      </c>
      <c r="G267" s="20" t="s">
        <v>58</v>
      </c>
      <c r="H267" s="20"/>
      <c r="I267" s="20" t="s">
        <v>12</v>
      </c>
      <c r="J267" s="32" t="s">
        <v>90</v>
      </c>
      <c r="K267" s="82" t="s">
        <v>157</v>
      </c>
      <c r="L267" s="32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</row>
    <row r="268" ht="15.75" customHeight="1">
      <c r="A268" s="27"/>
      <c r="B268" s="16">
        <f t="shared" si="2"/>
        <v>45804</v>
      </c>
      <c r="C268" s="28">
        <v>45804.0</v>
      </c>
      <c r="D268" s="44">
        <v>2.0</v>
      </c>
      <c r="E268" s="50" t="s">
        <v>65</v>
      </c>
      <c r="F268" s="20" t="s">
        <v>67</v>
      </c>
      <c r="G268" s="20" t="s">
        <v>58</v>
      </c>
      <c r="H268" s="20"/>
      <c r="I268" s="20" t="s">
        <v>12</v>
      </c>
      <c r="J268" s="32" t="s">
        <v>90</v>
      </c>
      <c r="K268" s="81" t="s">
        <v>157</v>
      </c>
      <c r="L268" s="32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</row>
    <row r="269" ht="15.75" customHeight="1">
      <c r="A269" s="27"/>
      <c r="B269" s="16">
        <f t="shared" si="2"/>
        <v>45804</v>
      </c>
      <c r="C269" s="28">
        <v>45804.0</v>
      </c>
      <c r="D269" s="44">
        <v>3.0</v>
      </c>
      <c r="E269" s="50" t="s">
        <v>69</v>
      </c>
      <c r="F269" s="20" t="s">
        <v>67</v>
      </c>
      <c r="G269" s="20" t="s">
        <v>58</v>
      </c>
      <c r="H269" s="20"/>
      <c r="I269" s="20" t="s">
        <v>12</v>
      </c>
      <c r="J269" s="32" t="s">
        <v>90</v>
      </c>
      <c r="K269" s="82" t="s">
        <v>157</v>
      </c>
      <c r="L269" s="32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</row>
    <row r="270" ht="15.75" customHeight="1">
      <c r="A270" s="27"/>
      <c r="B270" s="16">
        <f t="shared" si="2"/>
        <v>45804</v>
      </c>
      <c r="C270" s="28">
        <v>45804.0</v>
      </c>
      <c r="D270" s="44">
        <v>4.0</v>
      </c>
      <c r="E270" s="50" t="s">
        <v>65</v>
      </c>
      <c r="F270" s="20" t="s">
        <v>67</v>
      </c>
      <c r="G270" s="20" t="s">
        <v>58</v>
      </c>
      <c r="H270" s="20"/>
      <c r="I270" s="20" t="s">
        <v>12</v>
      </c>
      <c r="J270" s="32" t="s">
        <v>90</v>
      </c>
      <c r="K270" s="81" t="s">
        <v>157</v>
      </c>
      <c r="L270" s="32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</row>
    <row r="271" ht="15.75" customHeight="1">
      <c r="A271" s="27"/>
      <c r="B271" s="16">
        <f t="shared" si="2"/>
        <v>45804</v>
      </c>
      <c r="C271" s="28">
        <v>45804.0</v>
      </c>
      <c r="D271" s="44">
        <v>2.0</v>
      </c>
      <c r="E271" s="50" t="s">
        <v>158</v>
      </c>
      <c r="F271" s="20" t="s">
        <v>63</v>
      </c>
      <c r="G271" s="37"/>
      <c r="H271" s="20" t="s">
        <v>156</v>
      </c>
      <c r="I271" s="32" t="s">
        <v>10</v>
      </c>
      <c r="J271" s="32" t="s">
        <v>111</v>
      </c>
      <c r="K271" s="53"/>
      <c r="L271" s="32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</row>
    <row r="272" ht="15.75" customHeight="1">
      <c r="A272" s="27"/>
      <c r="B272" s="16">
        <f t="shared" si="2"/>
        <v>45804</v>
      </c>
      <c r="C272" s="28">
        <v>45804.0</v>
      </c>
      <c r="D272" s="44">
        <v>3.0</v>
      </c>
      <c r="E272" s="50" t="s">
        <v>158</v>
      </c>
      <c r="F272" s="20" t="s">
        <v>134</v>
      </c>
      <c r="G272" s="37"/>
      <c r="H272" s="20" t="s">
        <v>156</v>
      </c>
      <c r="I272" s="32" t="s">
        <v>10</v>
      </c>
      <c r="J272" s="32" t="s">
        <v>111</v>
      </c>
      <c r="K272" s="83"/>
      <c r="L272" s="32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</row>
    <row r="273" ht="15.75" customHeight="1">
      <c r="A273" s="27"/>
      <c r="B273" s="16">
        <f t="shared" si="2"/>
        <v>45804</v>
      </c>
      <c r="C273" s="28">
        <v>45804.0</v>
      </c>
      <c r="D273" s="44">
        <v>5.0</v>
      </c>
      <c r="E273" s="50" t="s">
        <v>76</v>
      </c>
      <c r="F273" s="20" t="s">
        <v>113</v>
      </c>
      <c r="G273" s="37"/>
      <c r="H273" s="20" t="s">
        <v>156</v>
      </c>
      <c r="I273" s="32" t="s">
        <v>10</v>
      </c>
      <c r="J273" s="32" t="s">
        <v>111</v>
      </c>
      <c r="K273" s="53"/>
      <c r="L273" s="32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</row>
    <row r="274" ht="15.75" customHeight="1">
      <c r="A274" s="27"/>
      <c r="B274" s="16">
        <f t="shared" si="2"/>
        <v>45804</v>
      </c>
      <c r="C274" s="28">
        <v>45804.0</v>
      </c>
      <c r="D274" s="44">
        <v>6.0</v>
      </c>
      <c r="E274" s="50" t="s">
        <v>97</v>
      </c>
      <c r="F274" s="20" t="s">
        <v>66</v>
      </c>
      <c r="G274" s="37"/>
      <c r="H274" s="20" t="s">
        <v>156</v>
      </c>
      <c r="I274" s="32" t="s">
        <v>10</v>
      </c>
      <c r="J274" s="32" t="s">
        <v>111</v>
      </c>
      <c r="K274" s="83"/>
      <c r="L274" s="32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</row>
    <row r="275" ht="15.75" customHeight="1">
      <c r="A275" s="27"/>
      <c r="B275" s="16">
        <f t="shared" si="2"/>
        <v>45806</v>
      </c>
      <c r="C275" s="28">
        <v>45806.0</v>
      </c>
      <c r="D275" s="44">
        <v>1.0</v>
      </c>
      <c r="E275" s="50" t="s">
        <v>65</v>
      </c>
      <c r="F275" s="20" t="s">
        <v>66</v>
      </c>
      <c r="G275" s="37"/>
      <c r="H275" s="20"/>
      <c r="I275" s="20" t="s">
        <v>12</v>
      </c>
      <c r="J275" s="32" t="s">
        <v>90</v>
      </c>
      <c r="K275" s="82" t="s">
        <v>157</v>
      </c>
      <c r="L275" s="32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</row>
    <row r="276" ht="15.75" customHeight="1">
      <c r="A276" s="27"/>
      <c r="B276" s="16">
        <f t="shared" si="2"/>
        <v>45806</v>
      </c>
      <c r="C276" s="28">
        <v>45806.0</v>
      </c>
      <c r="D276" s="44">
        <v>2.0</v>
      </c>
      <c r="E276" s="50" t="s">
        <v>69</v>
      </c>
      <c r="F276" s="20" t="s">
        <v>66</v>
      </c>
      <c r="G276" s="37"/>
      <c r="H276" s="20"/>
      <c r="I276" s="20" t="s">
        <v>12</v>
      </c>
      <c r="J276" s="32" t="s">
        <v>90</v>
      </c>
      <c r="K276" s="81" t="s">
        <v>157</v>
      </c>
      <c r="L276" s="32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</row>
    <row r="277" ht="15.75" customHeight="1">
      <c r="A277" s="27"/>
      <c r="B277" s="16">
        <f t="shared" si="2"/>
        <v>45806</v>
      </c>
      <c r="C277" s="28">
        <v>45806.0</v>
      </c>
      <c r="D277" s="44">
        <v>3.0</v>
      </c>
      <c r="E277" s="50" t="s">
        <v>65</v>
      </c>
      <c r="F277" s="20" t="s">
        <v>66</v>
      </c>
      <c r="G277" s="37"/>
      <c r="H277" s="84"/>
      <c r="I277" s="20" t="s">
        <v>12</v>
      </c>
      <c r="J277" s="40" t="s">
        <v>90</v>
      </c>
      <c r="K277" s="85" t="s">
        <v>157</v>
      </c>
      <c r="L277" s="32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</row>
    <row r="278" ht="15.75" customHeight="1">
      <c r="A278" s="27"/>
      <c r="B278" s="86">
        <f t="shared" si="2"/>
        <v>45806</v>
      </c>
      <c r="C278" s="28">
        <v>45806.0</v>
      </c>
      <c r="D278" s="44">
        <v>4.0</v>
      </c>
      <c r="E278" s="50" t="s">
        <v>69</v>
      </c>
      <c r="F278" s="20" t="s">
        <v>66</v>
      </c>
      <c r="G278" s="37"/>
      <c r="H278" s="84"/>
      <c r="I278" s="20" t="s">
        <v>12</v>
      </c>
      <c r="J278" s="87" t="s">
        <v>90</v>
      </c>
      <c r="K278" s="88" t="s">
        <v>157</v>
      </c>
      <c r="L278" s="32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</row>
    <row r="279" ht="15.75" customHeight="1">
      <c r="A279" s="27"/>
      <c r="B279" s="16">
        <f t="shared" si="2"/>
        <v>45810</v>
      </c>
      <c r="C279" s="28">
        <v>45810.0</v>
      </c>
      <c r="D279" s="44">
        <v>1.0</v>
      </c>
      <c r="E279" s="50" t="s">
        <v>65</v>
      </c>
      <c r="F279" s="20" t="s">
        <v>73</v>
      </c>
      <c r="G279" s="37"/>
      <c r="H279" s="20" t="s">
        <v>159</v>
      </c>
      <c r="I279" s="20" t="s">
        <v>12</v>
      </c>
      <c r="J279" s="32" t="s">
        <v>96</v>
      </c>
      <c r="K279" s="51" t="s">
        <v>160</v>
      </c>
      <c r="L279" s="32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</row>
    <row r="280" ht="15.75" customHeight="1">
      <c r="A280" s="27"/>
      <c r="B280" s="16">
        <f t="shared" si="2"/>
        <v>45810</v>
      </c>
      <c r="C280" s="28">
        <v>45810.0</v>
      </c>
      <c r="D280" s="44">
        <v>2.0</v>
      </c>
      <c r="E280" s="50" t="s">
        <v>97</v>
      </c>
      <c r="F280" s="20" t="s">
        <v>129</v>
      </c>
      <c r="G280" s="37"/>
      <c r="H280" s="20" t="s">
        <v>161</v>
      </c>
      <c r="I280" s="20" t="s">
        <v>12</v>
      </c>
      <c r="J280" s="32" t="s">
        <v>96</v>
      </c>
      <c r="K280" s="51" t="s">
        <v>160</v>
      </c>
      <c r="L280" s="32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</row>
    <row r="281" ht="15.75" customHeight="1">
      <c r="A281" s="27"/>
      <c r="B281" s="16">
        <f t="shared" si="2"/>
        <v>45810</v>
      </c>
      <c r="C281" s="28">
        <v>45810.0</v>
      </c>
      <c r="D281" s="44">
        <v>3.0</v>
      </c>
      <c r="E281" s="50" t="s">
        <v>69</v>
      </c>
      <c r="F281" s="20" t="s">
        <v>77</v>
      </c>
      <c r="G281" s="37"/>
      <c r="H281" s="20" t="s">
        <v>159</v>
      </c>
      <c r="I281" s="20" t="s">
        <v>12</v>
      </c>
      <c r="J281" s="32" t="s">
        <v>96</v>
      </c>
      <c r="K281" s="51" t="s">
        <v>160</v>
      </c>
      <c r="L281" s="32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</row>
    <row r="282" ht="15.75" customHeight="1">
      <c r="A282" s="27"/>
      <c r="B282" s="16">
        <f t="shared" si="2"/>
        <v>45810</v>
      </c>
      <c r="C282" s="28">
        <v>45810.0</v>
      </c>
      <c r="D282" s="44">
        <v>4.0</v>
      </c>
      <c r="E282" s="50" t="s">
        <v>65</v>
      </c>
      <c r="F282" s="20" t="s">
        <v>99</v>
      </c>
      <c r="G282" s="37"/>
      <c r="H282" s="20" t="s">
        <v>162</v>
      </c>
      <c r="I282" s="20" t="s">
        <v>12</v>
      </c>
      <c r="J282" s="32" t="s">
        <v>96</v>
      </c>
      <c r="K282" s="51" t="s">
        <v>160</v>
      </c>
      <c r="L282" s="32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</row>
    <row r="283" ht="15.75" customHeight="1">
      <c r="A283" s="27"/>
      <c r="B283" s="16">
        <f t="shared" si="2"/>
        <v>45810</v>
      </c>
      <c r="C283" s="28">
        <v>45810.0</v>
      </c>
      <c r="D283" s="44">
        <v>5.0</v>
      </c>
      <c r="E283" s="50" t="s">
        <v>97</v>
      </c>
      <c r="F283" s="20" t="s">
        <v>101</v>
      </c>
      <c r="G283" s="37"/>
      <c r="H283" s="20" t="s">
        <v>161</v>
      </c>
      <c r="I283" s="20" t="s">
        <v>12</v>
      </c>
      <c r="J283" s="32" t="s">
        <v>96</v>
      </c>
      <c r="K283" s="51" t="s">
        <v>160</v>
      </c>
      <c r="L283" s="32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</row>
    <row r="284" ht="15.75" customHeight="1">
      <c r="A284" s="27"/>
      <c r="B284" s="16">
        <f t="shared" si="2"/>
        <v>45810</v>
      </c>
      <c r="C284" s="28">
        <v>45810.0</v>
      </c>
      <c r="D284" s="44">
        <v>6.0</v>
      </c>
      <c r="E284" s="50"/>
      <c r="F284" s="20"/>
      <c r="G284" s="37"/>
      <c r="H284" s="20"/>
      <c r="I284" s="20" t="s">
        <v>12</v>
      </c>
      <c r="J284" s="32" t="s">
        <v>96</v>
      </c>
      <c r="K284" s="51" t="s">
        <v>160</v>
      </c>
      <c r="L284" s="32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</row>
    <row r="285" ht="15.75" customHeight="1">
      <c r="A285" s="27"/>
      <c r="B285" s="16">
        <f t="shared" si="2"/>
        <v>45810</v>
      </c>
      <c r="C285" s="28">
        <v>45810.0</v>
      </c>
      <c r="D285" s="44">
        <v>7.0</v>
      </c>
      <c r="E285" s="50"/>
      <c r="F285" s="20"/>
      <c r="G285" s="37"/>
      <c r="H285" s="20"/>
      <c r="I285" s="20" t="s">
        <v>12</v>
      </c>
      <c r="J285" s="32" t="s">
        <v>96</v>
      </c>
      <c r="K285" s="51" t="s">
        <v>160</v>
      </c>
      <c r="L285" s="32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</row>
    <row r="286" ht="15.75" customHeight="1">
      <c r="A286" s="27"/>
      <c r="B286" s="16">
        <f t="shared" si="2"/>
        <v>45810</v>
      </c>
      <c r="C286" s="28">
        <v>45810.0</v>
      </c>
      <c r="D286" s="44">
        <v>8.0</v>
      </c>
      <c r="E286" s="50" t="s">
        <v>69</v>
      </c>
      <c r="F286" s="20" t="s">
        <v>141</v>
      </c>
      <c r="G286" s="37"/>
      <c r="H286" s="20" t="s">
        <v>163</v>
      </c>
      <c r="I286" s="20" t="s">
        <v>12</v>
      </c>
      <c r="J286" s="32" t="s">
        <v>96</v>
      </c>
      <c r="K286" s="51" t="s">
        <v>160</v>
      </c>
      <c r="L286" s="32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</row>
    <row r="287" ht="15.75" customHeight="1">
      <c r="A287" s="27"/>
      <c r="B287" s="16">
        <f t="shared" si="2"/>
        <v>45811</v>
      </c>
      <c r="C287" s="28">
        <v>45811.0</v>
      </c>
      <c r="D287" s="44">
        <v>1.0</v>
      </c>
      <c r="E287" s="50" t="s">
        <v>69</v>
      </c>
      <c r="F287" s="20" t="s">
        <v>67</v>
      </c>
      <c r="G287" s="20" t="s">
        <v>58</v>
      </c>
      <c r="H287" s="84"/>
      <c r="I287" s="20" t="s">
        <v>12</v>
      </c>
      <c r="J287" s="40" t="s">
        <v>90</v>
      </c>
      <c r="K287" s="51" t="s">
        <v>160</v>
      </c>
      <c r="L287" s="32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</row>
    <row r="288" ht="15.75" customHeight="1">
      <c r="A288" s="27"/>
      <c r="B288" s="16">
        <f t="shared" si="2"/>
        <v>45811</v>
      </c>
      <c r="C288" s="28">
        <v>45811.0</v>
      </c>
      <c r="D288" s="44">
        <v>2.0</v>
      </c>
      <c r="E288" s="50" t="s">
        <v>65</v>
      </c>
      <c r="F288" s="20" t="s">
        <v>89</v>
      </c>
      <c r="G288" s="37"/>
      <c r="H288" s="84"/>
      <c r="I288" s="20" t="s">
        <v>12</v>
      </c>
      <c r="J288" s="87" t="s">
        <v>90</v>
      </c>
      <c r="K288" s="51" t="s">
        <v>160</v>
      </c>
      <c r="L288" s="32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</row>
    <row r="289" ht="15.75" customHeight="1">
      <c r="A289" s="27"/>
      <c r="B289" s="16">
        <f t="shared" si="2"/>
        <v>45811</v>
      </c>
      <c r="C289" s="28">
        <v>45811.0</v>
      </c>
      <c r="D289" s="44">
        <v>3.0</v>
      </c>
      <c r="E289" s="50" t="s">
        <v>69</v>
      </c>
      <c r="F289" s="20" t="s">
        <v>81</v>
      </c>
      <c r="G289" s="37"/>
      <c r="H289" s="84"/>
      <c r="I289" s="20" t="s">
        <v>12</v>
      </c>
      <c r="J289" s="40" t="s">
        <v>90</v>
      </c>
      <c r="K289" s="51" t="s">
        <v>160</v>
      </c>
      <c r="L289" s="32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</row>
    <row r="290" ht="15.75" customHeight="1">
      <c r="A290" s="27"/>
      <c r="B290" s="16">
        <f t="shared" si="2"/>
        <v>45811</v>
      </c>
      <c r="C290" s="28">
        <v>45811.0</v>
      </c>
      <c r="D290" s="44">
        <v>4.0</v>
      </c>
      <c r="E290" s="50" t="s">
        <v>65</v>
      </c>
      <c r="F290" s="20" t="s">
        <v>67</v>
      </c>
      <c r="G290" s="20" t="s">
        <v>58</v>
      </c>
      <c r="H290" s="84"/>
      <c r="I290" s="20" t="s">
        <v>12</v>
      </c>
      <c r="J290" s="87" t="s">
        <v>90</v>
      </c>
      <c r="K290" s="51" t="s">
        <v>160</v>
      </c>
      <c r="L290" s="32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</row>
    <row r="291" ht="15.75" customHeight="1">
      <c r="A291" s="27"/>
      <c r="B291" s="16">
        <f t="shared" si="2"/>
        <v>45811</v>
      </c>
      <c r="C291" s="28">
        <v>45811.0</v>
      </c>
      <c r="D291" s="44">
        <v>5.0</v>
      </c>
      <c r="E291" s="50" t="s">
        <v>72</v>
      </c>
      <c r="F291" s="20" t="s">
        <v>110</v>
      </c>
      <c r="G291" s="37"/>
      <c r="H291" s="20"/>
      <c r="I291" s="32" t="s">
        <v>6</v>
      </c>
      <c r="J291" s="32" t="s">
        <v>66</v>
      </c>
      <c r="K291" s="51" t="s">
        <v>160</v>
      </c>
      <c r="L291" s="32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</row>
    <row r="292" ht="15.75" customHeight="1">
      <c r="A292" s="27"/>
      <c r="B292" s="16">
        <f t="shared" si="2"/>
        <v>45811</v>
      </c>
      <c r="C292" s="28">
        <v>45811.0</v>
      </c>
      <c r="D292" s="44">
        <v>6.0</v>
      </c>
      <c r="E292" s="50" t="s">
        <v>74</v>
      </c>
      <c r="F292" s="20" t="s">
        <v>129</v>
      </c>
      <c r="G292" s="37"/>
      <c r="H292" s="20"/>
      <c r="I292" s="32" t="s">
        <v>6</v>
      </c>
      <c r="J292" s="32" t="s">
        <v>66</v>
      </c>
      <c r="K292" s="51" t="s">
        <v>160</v>
      </c>
      <c r="L292" s="32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</row>
    <row r="293" ht="15.75" customHeight="1">
      <c r="A293" s="27"/>
      <c r="B293" s="16">
        <f t="shared" si="2"/>
        <v>45811</v>
      </c>
      <c r="C293" s="28">
        <v>45811.0</v>
      </c>
      <c r="D293" s="44">
        <v>7.0</v>
      </c>
      <c r="E293" s="50"/>
      <c r="F293" s="20"/>
      <c r="G293" s="37"/>
      <c r="H293" s="20"/>
      <c r="I293" s="32" t="s">
        <v>6</v>
      </c>
      <c r="J293" s="32" t="s">
        <v>66</v>
      </c>
      <c r="K293" s="51" t="s">
        <v>160</v>
      </c>
      <c r="L293" s="32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</row>
    <row r="294" ht="15.75" customHeight="1">
      <c r="A294" s="27"/>
      <c r="B294" s="16">
        <f t="shared" si="2"/>
        <v>45811</v>
      </c>
      <c r="C294" s="28">
        <v>45811.0</v>
      </c>
      <c r="D294" s="44">
        <v>8.0</v>
      </c>
      <c r="E294" s="50" t="s">
        <v>56</v>
      </c>
      <c r="F294" s="20" t="s">
        <v>89</v>
      </c>
      <c r="G294" s="37"/>
      <c r="H294" s="20"/>
      <c r="I294" s="32" t="s">
        <v>6</v>
      </c>
      <c r="J294" s="32" t="s">
        <v>66</v>
      </c>
      <c r="K294" s="51" t="s">
        <v>160</v>
      </c>
      <c r="L294" s="32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</row>
    <row r="295" ht="15.75" customHeight="1">
      <c r="A295" s="27"/>
      <c r="B295" s="16">
        <f t="shared" si="2"/>
        <v>45812</v>
      </c>
      <c r="C295" s="28">
        <v>45812.0</v>
      </c>
      <c r="D295" s="89"/>
      <c r="E295" s="90"/>
      <c r="F295" s="20" t="s">
        <v>73</v>
      </c>
      <c r="G295" s="37"/>
      <c r="H295" s="37"/>
      <c r="I295" s="32" t="s">
        <v>6</v>
      </c>
      <c r="J295" s="20" t="s">
        <v>164</v>
      </c>
      <c r="K295" s="51" t="s">
        <v>160</v>
      </c>
      <c r="L295" s="32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</row>
    <row r="296" ht="15.75" customHeight="1">
      <c r="A296" s="27"/>
      <c r="B296" s="16">
        <f t="shared" si="2"/>
        <v>45812</v>
      </c>
      <c r="C296" s="28">
        <v>45812.0</v>
      </c>
      <c r="D296" s="89"/>
      <c r="E296" s="90"/>
      <c r="F296" s="20" t="s">
        <v>73</v>
      </c>
      <c r="G296" s="37"/>
      <c r="H296" s="37"/>
      <c r="I296" s="32" t="s">
        <v>6</v>
      </c>
      <c r="J296" s="20" t="s">
        <v>164</v>
      </c>
      <c r="K296" s="51" t="s">
        <v>160</v>
      </c>
      <c r="L296" s="32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</row>
    <row r="297" ht="15.75" customHeight="1">
      <c r="A297" s="27"/>
      <c r="B297" s="16">
        <f t="shared" si="2"/>
        <v>45812</v>
      </c>
      <c r="C297" s="28">
        <v>45812.0</v>
      </c>
      <c r="D297" s="89"/>
      <c r="E297" s="90"/>
      <c r="F297" s="20" t="s">
        <v>165</v>
      </c>
      <c r="G297" s="37"/>
      <c r="H297" s="37"/>
      <c r="I297" s="32" t="s">
        <v>6</v>
      </c>
      <c r="J297" s="91" t="s">
        <v>166</v>
      </c>
      <c r="K297" s="51" t="s">
        <v>160</v>
      </c>
      <c r="L297" s="32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</row>
    <row r="298" ht="15.75" customHeight="1">
      <c r="A298" s="27"/>
      <c r="B298" s="16">
        <f t="shared" si="2"/>
        <v>45813</v>
      </c>
      <c r="C298" s="28">
        <v>45813.0</v>
      </c>
      <c r="D298" s="44">
        <v>1.0</v>
      </c>
      <c r="E298" s="50" t="s">
        <v>144</v>
      </c>
      <c r="F298" s="20"/>
      <c r="G298" s="37"/>
      <c r="H298" s="37"/>
      <c r="I298" s="32" t="s">
        <v>167</v>
      </c>
      <c r="J298" s="32" t="s">
        <v>107</v>
      </c>
      <c r="K298" s="51" t="s">
        <v>160</v>
      </c>
      <c r="L298" s="32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</row>
    <row r="299" ht="15.75" customHeight="1">
      <c r="A299" s="27"/>
      <c r="B299" s="16">
        <f t="shared" si="2"/>
        <v>45813</v>
      </c>
      <c r="C299" s="28">
        <v>45813.0</v>
      </c>
      <c r="D299" s="44">
        <v>2.0</v>
      </c>
      <c r="E299" s="50" t="s">
        <v>61</v>
      </c>
      <c r="F299" s="20" t="s">
        <v>105</v>
      </c>
      <c r="G299" s="37"/>
      <c r="H299" s="37"/>
      <c r="I299" s="32" t="s">
        <v>167</v>
      </c>
      <c r="J299" s="32" t="s">
        <v>107</v>
      </c>
      <c r="K299" s="51" t="s">
        <v>160</v>
      </c>
      <c r="L299" s="32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</row>
    <row r="300" ht="15.75" customHeight="1">
      <c r="A300" s="27"/>
      <c r="B300" s="16">
        <f t="shared" si="2"/>
        <v>45813</v>
      </c>
      <c r="C300" s="28">
        <v>45813.0</v>
      </c>
      <c r="D300" s="44">
        <v>3.0</v>
      </c>
      <c r="E300" s="50" t="s">
        <v>56</v>
      </c>
      <c r="F300" s="20" t="s">
        <v>98</v>
      </c>
      <c r="G300" s="37"/>
      <c r="H300" s="37"/>
      <c r="I300" s="32" t="s">
        <v>167</v>
      </c>
      <c r="J300" s="32" t="s">
        <v>107</v>
      </c>
      <c r="K300" s="51" t="s">
        <v>160</v>
      </c>
      <c r="L300" s="32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</row>
    <row r="301" ht="15.75" customHeight="1">
      <c r="A301" s="27"/>
      <c r="B301" s="16">
        <f t="shared" si="2"/>
        <v>45817</v>
      </c>
      <c r="C301" s="28">
        <v>45817.0</v>
      </c>
      <c r="D301" s="44">
        <v>1.0</v>
      </c>
      <c r="E301" s="50" t="s">
        <v>65</v>
      </c>
      <c r="F301" s="20" t="s">
        <v>73</v>
      </c>
      <c r="G301" s="37"/>
      <c r="H301" s="37"/>
      <c r="I301" s="20" t="s">
        <v>12</v>
      </c>
      <c r="J301" s="32" t="s">
        <v>96</v>
      </c>
      <c r="K301" s="51" t="s">
        <v>168</v>
      </c>
      <c r="L301" s="32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</row>
    <row r="302" ht="15.75" customHeight="1">
      <c r="A302" s="27"/>
      <c r="B302" s="16">
        <f t="shared" si="2"/>
        <v>45817</v>
      </c>
      <c r="C302" s="28">
        <v>45817.0</v>
      </c>
      <c r="D302" s="44">
        <v>2.0</v>
      </c>
      <c r="E302" s="50" t="s">
        <v>97</v>
      </c>
      <c r="F302" s="20" t="s">
        <v>129</v>
      </c>
      <c r="G302" s="37"/>
      <c r="H302" s="37"/>
      <c r="I302" s="20" t="s">
        <v>12</v>
      </c>
      <c r="J302" s="32" t="s">
        <v>96</v>
      </c>
      <c r="K302" s="51" t="s">
        <v>168</v>
      </c>
      <c r="L302" s="32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</row>
    <row r="303" ht="15.75" customHeight="1">
      <c r="A303" s="27"/>
      <c r="B303" s="16">
        <f t="shared" si="2"/>
        <v>45817</v>
      </c>
      <c r="C303" s="28">
        <v>45817.0</v>
      </c>
      <c r="D303" s="44">
        <v>3.0</v>
      </c>
      <c r="E303" s="50" t="s">
        <v>69</v>
      </c>
      <c r="F303" s="20" t="s">
        <v>77</v>
      </c>
      <c r="G303" s="37"/>
      <c r="H303" s="37"/>
      <c r="I303" s="20" t="s">
        <v>12</v>
      </c>
      <c r="J303" s="32" t="s">
        <v>96</v>
      </c>
      <c r="K303" s="51" t="s">
        <v>168</v>
      </c>
      <c r="L303" s="32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</row>
    <row r="304" ht="15.75" customHeight="1">
      <c r="A304" s="27"/>
      <c r="B304" s="16">
        <f t="shared" si="2"/>
        <v>45817</v>
      </c>
      <c r="C304" s="28">
        <v>45817.0</v>
      </c>
      <c r="D304" s="44">
        <v>4.0</v>
      </c>
      <c r="E304" s="50" t="s">
        <v>65</v>
      </c>
      <c r="F304" s="20" t="s">
        <v>99</v>
      </c>
      <c r="G304" s="37"/>
      <c r="H304" s="37"/>
      <c r="I304" s="20" t="s">
        <v>12</v>
      </c>
      <c r="J304" s="32" t="s">
        <v>96</v>
      </c>
      <c r="K304" s="51" t="s">
        <v>168</v>
      </c>
      <c r="L304" s="32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</row>
    <row r="305" ht="15.75" customHeight="1">
      <c r="A305" s="27"/>
      <c r="B305" s="16"/>
      <c r="C305" s="28"/>
      <c r="D305" s="44"/>
      <c r="E305" s="90"/>
      <c r="F305" s="20"/>
      <c r="G305" s="37"/>
      <c r="H305" s="37"/>
      <c r="I305" s="20" t="s">
        <v>12</v>
      </c>
      <c r="J305" s="32" t="s">
        <v>96</v>
      </c>
      <c r="K305" s="51" t="s">
        <v>168</v>
      </c>
      <c r="L305" s="32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</row>
    <row r="306" ht="15.75" customHeight="1">
      <c r="A306" s="27"/>
      <c r="B306" s="16">
        <f t="shared" ref="B306:B425" si="3">C306</f>
        <v>45817</v>
      </c>
      <c r="C306" s="28">
        <v>45817.0</v>
      </c>
      <c r="D306" s="44">
        <v>5.0</v>
      </c>
      <c r="E306" s="50" t="s">
        <v>97</v>
      </c>
      <c r="F306" s="20" t="s">
        <v>101</v>
      </c>
      <c r="G306" s="37"/>
      <c r="H306" s="37"/>
      <c r="I306" s="20" t="s">
        <v>12</v>
      </c>
      <c r="J306" s="32" t="s">
        <v>96</v>
      </c>
      <c r="K306" s="51" t="s">
        <v>168</v>
      </c>
      <c r="L306" s="32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</row>
    <row r="307" ht="15.75" customHeight="1">
      <c r="A307" s="27"/>
      <c r="B307" s="16">
        <f t="shared" si="3"/>
        <v>45817</v>
      </c>
      <c r="C307" s="28">
        <v>45817.0</v>
      </c>
      <c r="D307" s="44">
        <v>6.0</v>
      </c>
      <c r="E307" s="90"/>
      <c r="F307" s="20"/>
      <c r="G307" s="37"/>
      <c r="H307" s="37"/>
      <c r="I307" s="20" t="s">
        <v>12</v>
      </c>
      <c r="J307" s="32" t="s">
        <v>96</v>
      </c>
      <c r="K307" s="51" t="s">
        <v>168</v>
      </c>
      <c r="L307" s="32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</row>
    <row r="308" ht="15.75" customHeight="1">
      <c r="A308" s="27"/>
      <c r="B308" s="16">
        <f t="shared" si="3"/>
        <v>45817</v>
      </c>
      <c r="C308" s="28">
        <v>45817.0</v>
      </c>
      <c r="D308" s="44">
        <v>7.0</v>
      </c>
      <c r="E308" s="90"/>
      <c r="F308" s="20"/>
      <c r="G308" s="37"/>
      <c r="H308" s="37"/>
      <c r="I308" s="20" t="s">
        <v>12</v>
      </c>
      <c r="J308" s="32" t="s">
        <v>96</v>
      </c>
      <c r="K308" s="51" t="s">
        <v>168</v>
      </c>
      <c r="L308" s="32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ht="15.75" customHeight="1">
      <c r="A309" s="27"/>
      <c r="B309" s="16">
        <f t="shared" si="3"/>
        <v>45817</v>
      </c>
      <c r="C309" s="28">
        <v>45817.0</v>
      </c>
      <c r="D309" s="44">
        <v>8.0</v>
      </c>
      <c r="E309" s="50" t="s">
        <v>69</v>
      </c>
      <c r="F309" s="20" t="s">
        <v>141</v>
      </c>
      <c r="G309" s="37"/>
      <c r="H309" s="37"/>
      <c r="I309" s="20" t="s">
        <v>12</v>
      </c>
      <c r="J309" s="32" t="s">
        <v>96</v>
      </c>
      <c r="K309" s="51" t="s">
        <v>168</v>
      </c>
      <c r="L309" s="32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</row>
    <row r="310" ht="15.75" customHeight="1">
      <c r="A310" s="27"/>
      <c r="B310" s="16">
        <f t="shared" si="3"/>
        <v>45818</v>
      </c>
      <c r="C310" s="28">
        <v>45818.0</v>
      </c>
      <c r="D310" s="44">
        <v>6.0</v>
      </c>
      <c r="E310" s="50" t="s">
        <v>65</v>
      </c>
      <c r="F310" s="20" t="s">
        <v>66</v>
      </c>
      <c r="G310" s="37"/>
      <c r="H310" s="37"/>
      <c r="I310" s="32" t="s">
        <v>169</v>
      </c>
      <c r="J310" s="32" t="s">
        <v>67</v>
      </c>
      <c r="K310" s="51" t="s">
        <v>168</v>
      </c>
      <c r="L310" s="32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</row>
    <row r="311" ht="15.75" customHeight="1">
      <c r="A311" s="27"/>
      <c r="B311" s="16">
        <f t="shared" si="3"/>
        <v>45818</v>
      </c>
      <c r="C311" s="28">
        <v>45818.0</v>
      </c>
      <c r="D311" s="44">
        <v>7.0</v>
      </c>
      <c r="E311" s="50" t="s">
        <v>65</v>
      </c>
      <c r="F311" s="20" t="s">
        <v>66</v>
      </c>
      <c r="G311" s="37"/>
      <c r="H311" s="20" t="s">
        <v>170</v>
      </c>
      <c r="I311" s="32" t="s">
        <v>13</v>
      </c>
      <c r="J311" s="32" t="s">
        <v>81</v>
      </c>
      <c r="K311" s="51" t="s">
        <v>168</v>
      </c>
      <c r="L311" s="32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</row>
    <row r="312" ht="15.75" customHeight="1">
      <c r="A312" s="27"/>
      <c r="B312" s="16">
        <f t="shared" si="3"/>
        <v>45818</v>
      </c>
      <c r="C312" s="28">
        <v>45818.0</v>
      </c>
      <c r="D312" s="44">
        <v>8.0</v>
      </c>
      <c r="E312" s="50" t="s">
        <v>62</v>
      </c>
      <c r="F312" s="20" t="s">
        <v>66</v>
      </c>
      <c r="G312" s="37"/>
      <c r="H312" s="20" t="s">
        <v>170</v>
      </c>
      <c r="I312" s="32" t="s">
        <v>13</v>
      </c>
      <c r="J312" s="32" t="s">
        <v>81</v>
      </c>
      <c r="K312" s="51" t="s">
        <v>168</v>
      </c>
      <c r="L312" s="32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</row>
    <row r="313" ht="15.75" customHeight="1">
      <c r="A313" s="27"/>
      <c r="B313" s="16">
        <f t="shared" si="3"/>
        <v>45819</v>
      </c>
      <c r="C313" s="28">
        <v>45819.0</v>
      </c>
      <c r="D313" s="44">
        <v>1.0</v>
      </c>
      <c r="E313" s="50" t="s">
        <v>72</v>
      </c>
      <c r="F313" s="20" t="s">
        <v>141</v>
      </c>
      <c r="G313" s="37"/>
      <c r="H313" s="37"/>
      <c r="I313" s="32" t="s">
        <v>6</v>
      </c>
      <c r="J313" s="32" t="s">
        <v>131</v>
      </c>
      <c r="K313" s="51" t="s">
        <v>168</v>
      </c>
      <c r="L313" s="32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</row>
    <row r="314" ht="15.75" customHeight="1">
      <c r="A314" s="27"/>
      <c r="B314" s="16">
        <f t="shared" si="3"/>
        <v>45820</v>
      </c>
      <c r="C314" s="28">
        <v>45820.0</v>
      </c>
      <c r="D314" s="44">
        <v>2.0</v>
      </c>
      <c r="E314" s="50" t="s">
        <v>61</v>
      </c>
      <c r="F314" s="20" t="s">
        <v>129</v>
      </c>
      <c r="G314" s="37"/>
      <c r="H314" s="37"/>
      <c r="I314" s="32" t="s">
        <v>6</v>
      </c>
      <c r="J314" s="32" t="s">
        <v>131</v>
      </c>
      <c r="K314" s="51" t="s">
        <v>168</v>
      </c>
      <c r="L314" s="32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</row>
    <row r="315" ht="15.75" customHeight="1">
      <c r="A315" s="27"/>
      <c r="B315" s="16">
        <f t="shared" si="3"/>
        <v>45820</v>
      </c>
      <c r="C315" s="28">
        <v>45820.0</v>
      </c>
      <c r="D315" s="44">
        <v>3.0</v>
      </c>
      <c r="E315" s="50" t="s">
        <v>74</v>
      </c>
      <c r="F315" s="20" t="s">
        <v>67</v>
      </c>
      <c r="G315" s="37"/>
      <c r="H315" s="37"/>
      <c r="I315" s="32" t="s">
        <v>6</v>
      </c>
      <c r="J315" s="32" t="s">
        <v>131</v>
      </c>
      <c r="K315" s="51" t="s">
        <v>168</v>
      </c>
      <c r="L315" s="32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</row>
    <row r="316" ht="15.75" customHeight="1">
      <c r="A316" s="27"/>
      <c r="B316" s="16">
        <f t="shared" si="3"/>
        <v>45820</v>
      </c>
      <c r="C316" s="28">
        <v>45820.0</v>
      </c>
      <c r="D316" s="44">
        <v>4.0</v>
      </c>
      <c r="E316" s="50" t="s">
        <v>56</v>
      </c>
      <c r="F316" s="20" t="s">
        <v>126</v>
      </c>
      <c r="G316" s="37"/>
      <c r="H316" s="37"/>
      <c r="I316" s="32" t="s">
        <v>6</v>
      </c>
      <c r="J316" s="32" t="s">
        <v>131</v>
      </c>
      <c r="K316" s="51" t="s">
        <v>168</v>
      </c>
      <c r="L316" s="32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</row>
    <row r="317" ht="15.75" customHeight="1">
      <c r="A317" s="27"/>
      <c r="B317" s="16">
        <f t="shared" si="3"/>
        <v>45820</v>
      </c>
      <c r="C317" s="28">
        <v>45820.0</v>
      </c>
      <c r="D317" s="44">
        <v>2.0</v>
      </c>
      <c r="E317" s="50" t="s">
        <v>100</v>
      </c>
      <c r="F317" s="20" t="s">
        <v>70</v>
      </c>
      <c r="G317" s="20"/>
      <c r="H317" s="20" t="s">
        <v>171</v>
      </c>
      <c r="I317" s="32" t="s">
        <v>13</v>
      </c>
      <c r="J317" s="32" t="s">
        <v>79</v>
      </c>
      <c r="K317" s="51" t="s">
        <v>168</v>
      </c>
      <c r="L317" s="32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</row>
    <row r="318" ht="15.75" customHeight="1">
      <c r="A318" s="27"/>
      <c r="B318" s="16">
        <f t="shared" si="3"/>
        <v>45825</v>
      </c>
      <c r="C318" s="28">
        <v>45825.0</v>
      </c>
      <c r="D318" s="44">
        <v>1.0</v>
      </c>
      <c r="E318" s="50" t="s">
        <v>69</v>
      </c>
      <c r="F318" s="20" t="s">
        <v>67</v>
      </c>
      <c r="G318" s="20" t="s">
        <v>58</v>
      </c>
      <c r="H318" s="37"/>
      <c r="I318" s="20" t="s">
        <v>12</v>
      </c>
      <c r="J318" s="32" t="s">
        <v>90</v>
      </c>
      <c r="K318" s="54" t="s">
        <v>172</v>
      </c>
      <c r="L318" s="32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</row>
    <row r="319" ht="15.75" customHeight="1">
      <c r="A319" s="27"/>
      <c r="B319" s="16">
        <f t="shared" si="3"/>
        <v>45825</v>
      </c>
      <c r="C319" s="28">
        <v>45825.0</v>
      </c>
      <c r="D319" s="44">
        <v>2.0</v>
      </c>
      <c r="E319" s="50" t="s">
        <v>65</v>
      </c>
      <c r="F319" s="20" t="s">
        <v>67</v>
      </c>
      <c r="G319" s="20" t="s">
        <v>58</v>
      </c>
      <c r="H319" s="37"/>
      <c r="I319" s="20" t="s">
        <v>12</v>
      </c>
      <c r="J319" s="32" t="s">
        <v>90</v>
      </c>
      <c r="K319" s="54" t="s">
        <v>172</v>
      </c>
      <c r="L319" s="32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</row>
    <row r="320" ht="15.75" customHeight="1">
      <c r="A320" s="27"/>
      <c r="B320" s="16">
        <f t="shared" si="3"/>
        <v>45825</v>
      </c>
      <c r="C320" s="28">
        <v>45825.0</v>
      </c>
      <c r="D320" s="44">
        <v>3.0</v>
      </c>
      <c r="E320" s="50" t="s">
        <v>69</v>
      </c>
      <c r="F320" s="20" t="s">
        <v>67</v>
      </c>
      <c r="G320" s="20" t="s">
        <v>58</v>
      </c>
      <c r="H320" s="37"/>
      <c r="I320" s="20" t="s">
        <v>12</v>
      </c>
      <c r="J320" s="32" t="s">
        <v>90</v>
      </c>
      <c r="K320" s="54" t="s">
        <v>172</v>
      </c>
      <c r="L320" s="32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</row>
    <row r="321" ht="15.75" customHeight="1">
      <c r="A321" s="27"/>
      <c r="B321" s="16">
        <f t="shared" si="3"/>
        <v>45825</v>
      </c>
      <c r="C321" s="28">
        <v>45825.0</v>
      </c>
      <c r="D321" s="44">
        <v>4.0</v>
      </c>
      <c r="E321" s="50" t="s">
        <v>65</v>
      </c>
      <c r="F321" s="20" t="s">
        <v>67</v>
      </c>
      <c r="G321" s="20" t="s">
        <v>58</v>
      </c>
      <c r="H321" s="37"/>
      <c r="I321" s="20" t="s">
        <v>12</v>
      </c>
      <c r="J321" s="32" t="s">
        <v>90</v>
      </c>
      <c r="K321" s="54" t="s">
        <v>172</v>
      </c>
      <c r="L321" s="32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</row>
    <row r="322" ht="15.75" customHeight="1">
      <c r="A322" s="27"/>
      <c r="B322" s="16">
        <f t="shared" si="3"/>
        <v>45825</v>
      </c>
      <c r="C322" s="28">
        <v>45825.0</v>
      </c>
      <c r="D322" s="44">
        <v>1.0</v>
      </c>
      <c r="E322" s="50" t="s">
        <v>76</v>
      </c>
      <c r="F322" s="20" t="s">
        <v>77</v>
      </c>
      <c r="G322" s="37"/>
      <c r="H322" s="37"/>
      <c r="I322" s="32" t="s">
        <v>173</v>
      </c>
      <c r="J322" s="32" t="s">
        <v>113</v>
      </c>
      <c r="K322" s="54" t="s">
        <v>172</v>
      </c>
      <c r="L322" s="32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</row>
    <row r="323" ht="15.75" customHeight="1">
      <c r="A323" s="27"/>
      <c r="B323" s="16">
        <f t="shared" si="3"/>
        <v>45825</v>
      </c>
      <c r="C323" s="28">
        <v>45825.0</v>
      </c>
      <c r="D323" s="44">
        <v>2.0</v>
      </c>
      <c r="E323" s="50" t="s">
        <v>174</v>
      </c>
      <c r="F323" s="20" t="s">
        <v>146</v>
      </c>
      <c r="G323" s="20"/>
      <c r="H323" s="20" t="s">
        <v>175</v>
      </c>
      <c r="I323" s="32" t="s">
        <v>173</v>
      </c>
      <c r="J323" s="32" t="s">
        <v>113</v>
      </c>
      <c r="K323" s="54" t="s">
        <v>172</v>
      </c>
      <c r="L323" s="32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</row>
    <row r="324" ht="15.75" customHeight="1">
      <c r="A324" s="27"/>
      <c r="B324" s="16">
        <f t="shared" si="3"/>
        <v>45825</v>
      </c>
      <c r="C324" s="28">
        <v>45825.0</v>
      </c>
      <c r="D324" s="44">
        <v>3.0</v>
      </c>
      <c r="E324" s="50" t="s">
        <v>174</v>
      </c>
      <c r="F324" s="20"/>
      <c r="G324" s="20"/>
      <c r="H324" s="20" t="s">
        <v>176</v>
      </c>
      <c r="I324" s="32" t="s">
        <v>173</v>
      </c>
      <c r="J324" s="32" t="s">
        <v>113</v>
      </c>
      <c r="K324" s="54" t="s">
        <v>172</v>
      </c>
      <c r="L324" s="32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</row>
    <row r="325" ht="15.75" customHeight="1">
      <c r="A325" s="27"/>
      <c r="B325" s="16">
        <f t="shared" si="3"/>
        <v>45825</v>
      </c>
      <c r="C325" s="28">
        <v>45825.0</v>
      </c>
      <c r="D325" s="44">
        <v>4.0</v>
      </c>
      <c r="E325" s="50" t="s">
        <v>100</v>
      </c>
      <c r="F325" s="20" t="s">
        <v>70</v>
      </c>
      <c r="G325" s="37"/>
      <c r="H325" s="37"/>
      <c r="I325" s="32" t="s">
        <v>173</v>
      </c>
      <c r="J325" s="32" t="s">
        <v>113</v>
      </c>
      <c r="K325" s="54" t="s">
        <v>172</v>
      </c>
      <c r="L325" s="32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</row>
    <row r="326" ht="15.75" customHeight="1">
      <c r="A326" s="27"/>
      <c r="B326" s="16">
        <f t="shared" si="3"/>
        <v>45825</v>
      </c>
      <c r="C326" s="28">
        <v>45825.0</v>
      </c>
      <c r="D326" s="44">
        <v>3.0</v>
      </c>
      <c r="E326" s="50" t="s">
        <v>100</v>
      </c>
      <c r="F326" s="20" t="s">
        <v>109</v>
      </c>
      <c r="G326" s="37"/>
      <c r="H326" s="59" t="s">
        <v>177</v>
      </c>
      <c r="I326" s="32"/>
      <c r="J326" s="32" t="s">
        <v>98</v>
      </c>
      <c r="K326" s="54" t="s">
        <v>172</v>
      </c>
      <c r="L326" s="32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</row>
    <row r="327" ht="15.75" customHeight="1">
      <c r="A327" s="27"/>
      <c r="B327" s="16">
        <f t="shared" si="3"/>
        <v>45827</v>
      </c>
      <c r="C327" s="28">
        <v>45827.0</v>
      </c>
      <c r="D327" s="44">
        <v>7.0</v>
      </c>
      <c r="E327" s="50" t="s">
        <v>178</v>
      </c>
      <c r="F327" s="20" t="s">
        <v>134</v>
      </c>
      <c r="G327" s="37"/>
      <c r="H327" s="20" t="s">
        <v>179</v>
      </c>
      <c r="I327" s="32" t="s">
        <v>13</v>
      </c>
      <c r="J327" s="32" t="s">
        <v>102</v>
      </c>
      <c r="K327" s="53"/>
      <c r="L327" s="32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</row>
    <row r="328" ht="15.75" customHeight="1">
      <c r="A328" s="27"/>
      <c r="B328" s="16">
        <f t="shared" si="3"/>
        <v>45827</v>
      </c>
      <c r="C328" s="28">
        <v>45827.0</v>
      </c>
      <c r="D328" s="44">
        <v>8.0</v>
      </c>
      <c r="E328" s="50" t="s">
        <v>180</v>
      </c>
      <c r="F328" s="20" t="s">
        <v>134</v>
      </c>
      <c r="G328" s="20"/>
      <c r="H328" s="20" t="s">
        <v>179</v>
      </c>
      <c r="I328" s="32" t="s">
        <v>13</v>
      </c>
      <c r="J328" s="32" t="s">
        <v>102</v>
      </c>
      <c r="K328" s="53"/>
      <c r="L328" s="32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</row>
    <row r="329" ht="15.75" customHeight="1">
      <c r="A329" s="27"/>
      <c r="B329" s="16">
        <f t="shared" si="3"/>
        <v>45827</v>
      </c>
      <c r="C329" s="28">
        <v>45827.0</v>
      </c>
      <c r="D329" s="44">
        <v>1.0</v>
      </c>
      <c r="E329" s="50"/>
      <c r="F329" s="20" t="s">
        <v>66</v>
      </c>
      <c r="G329" s="37"/>
      <c r="H329" s="37"/>
      <c r="I329" s="20" t="s">
        <v>12</v>
      </c>
      <c r="J329" s="32" t="s">
        <v>90</v>
      </c>
      <c r="K329" s="54" t="s">
        <v>172</v>
      </c>
      <c r="L329" s="32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</row>
    <row r="330" ht="15.75" customHeight="1">
      <c r="A330" s="27"/>
      <c r="B330" s="16">
        <f t="shared" si="3"/>
        <v>45827</v>
      </c>
      <c r="C330" s="28">
        <v>45827.0</v>
      </c>
      <c r="D330" s="44">
        <v>2.0</v>
      </c>
      <c r="E330" s="90"/>
      <c r="F330" s="20" t="s">
        <v>66</v>
      </c>
      <c r="G330" s="37"/>
      <c r="H330" s="37"/>
      <c r="I330" s="20" t="s">
        <v>12</v>
      </c>
      <c r="J330" s="32" t="s">
        <v>90</v>
      </c>
      <c r="K330" s="54" t="s">
        <v>172</v>
      </c>
      <c r="L330" s="32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</row>
    <row r="331" ht="15.75" customHeight="1">
      <c r="A331" s="27"/>
      <c r="B331" s="16">
        <f t="shared" si="3"/>
        <v>45827</v>
      </c>
      <c r="C331" s="28">
        <v>45827.0</v>
      </c>
      <c r="D331" s="44">
        <v>3.0</v>
      </c>
      <c r="E331" s="50"/>
      <c r="F331" s="20" t="s">
        <v>66</v>
      </c>
      <c r="G331" s="37"/>
      <c r="H331" s="37"/>
      <c r="I331" s="20" t="s">
        <v>12</v>
      </c>
      <c r="J331" s="32" t="s">
        <v>90</v>
      </c>
      <c r="K331" s="54" t="s">
        <v>172</v>
      </c>
      <c r="L331" s="32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</row>
    <row r="332" ht="15.75" customHeight="1">
      <c r="A332" s="27"/>
      <c r="B332" s="16">
        <f t="shared" si="3"/>
        <v>45827</v>
      </c>
      <c r="C332" s="28">
        <v>45827.0</v>
      </c>
      <c r="D332" s="44">
        <v>4.0</v>
      </c>
      <c r="E332" s="50"/>
      <c r="F332" s="20" t="s">
        <v>66</v>
      </c>
      <c r="G332" s="37"/>
      <c r="H332" s="37"/>
      <c r="I332" s="20" t="s">
        <v>12</v>
      </c>
      <c r="J332" s="32" t="s">
        <v>90</v>
      </c>
      <c r="K332" s="54" t="s">
        <v>172</v>
      </c>
      <c r="L332" s="32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</row>
    <row r="333" ht="15.75" customHeight="1">
      <c r="A333" s="27"/>
      <c r="B333" s="16">
        <f t="shared" si="3"/>
        <v>45827</v>
      </c>
      <c r="C333" s="28">
        <v>45827.0</v>
      </c>
      <c r="D333" s="44">
        <v>1.0</v>
      </c>
      <c r="E333" s="50" t="s">
        <v>61</v>
      </c>
      <c r="F333" s="20" t="s">
        <v>105</v>
      </c>
      <c r="G333" s="37"/>
      <c r="H333" s="37"/>
      <c r="I333" s="32" t="s">
        <v>6</v>
      </c>
      <c r="J333" s="32" t="s">
        <v>107</v>
      </c>
      <c r="K333" s="54" t="s">
        <v>172</v>
      </c>
      <c r="L333" s="32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</row>
    <row r="334" ht="15.75" customHeight="1">
      <c r="A334" s="27"/>
      <c r="B334" s="16">
        <f t="shared" si="3"/>
        <v>45827</v>
      </c>
      <c r="C334" s="92">
        <v>45827.0</v>
      </c>
      <c r="D334" s="44">
        <v>2.0</v>
      </c>
      <c r="E334" s="50" t="s">
        <v>56</v>
      </c>
      <c r="F334" s="20" t="s">
        <v>98</v>
      </c>
      <c r="G334" s="37"/>
      <c r="H334" s="37"/>
      <c r="I334" s="32" t="s">
        <v>6</v>
      </c>
      <c r="J334" s="32" t="s">
        <v>107</v>
      </c>
      <c r="K334" s="54" t="s">
        <v>172</v>
      </c>
      <c r="L334" s="32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</row>
    <row r="335" ht="15.75" customHeight="1">
      <c r="A335" s="27"/>
      <c r="B335" s="16">
        <f t="shared" si="3"/>
        <v>45827</v>
      </c>
      <c r="C335" s="28">
        <v>45827.0</v>
      </c>
      <c r="D335" s="44">
        <v>3.0</v>
      </c>
      <c r="E335" s="50" t="s">
        <v>56</v>
      </c>
      <c r="F335" s="20" t="s">
        <v>110</v>
      </c>
      <c r="G335" s="37"/>
      <c r="H335" s="37"/>
      <c r="I335" s="32" t="s">
        <v>6</v>
      </c>
      <c r="J335" s="32" t="s">
        <v>107</v>
      </c>
      <c r="K335" s="54" t="s">
        <v>172</v>
      </c>
      <c r="L335" s="32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</row>
    <row r="336" ht="15.75" customHeight="1">
      <c r="A336" s="27"/>
      <c r="B336" s="16">
        <f t="shared" si="3"/>
        <v>45827</v>
      </c>
      <c r="C336" s="28">
        <v>45827.0</v>
      </c>
      <c r="D336" s="44">
        <v>4.0</v>
      </c>
      <c r="E336" s="50"/>
      <c r="F336" s="20"/>
      <c r="G336" s="37"/>
      <c r="H336" s="37"/>
      <c r="I336" s="32" t="s">
        <v>6</v>
      </c>
      <c r="J336" s="32" t="s">
        <v>107</v>
      </c>
      <c r="K336" s="54" t="s">
        <v>172</v>
      </c>
      <c r="L336" s="32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</row>
    <row r="337" ht="15.75" customHeight="1">
      <c r="A337" s="27"/>
      <c r="B337" s="16">
        <f t="shared" si="3"/>
        <v>45827</v>
      </c>
      <c r="C337" s="28">
        <v>45827.0</v>
      </c>
      <c r="D337" s="44">
        <v>5.0</v>
      </c>
      <c r="E337" s="50" t="s">
        <v>74</v>
      </c>
      <c r="F337" s="20"/>
      <c r="G337" s="37"/>
      <c r="H337" s="37"/>
      <c r="I337" s="32" t="s">
        <v>6</v>
      </c>
      <c r="J337" s="32" t="s">
        <v>107</v>
      </c>
      <c r="K337" s="54" t="s">
        <v>172</v>
      </c>
      <c r="L337" s="32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</row>
    <row r="338" ht="15.75" customHeight="1">
      <c r="A338" s="27"/>
      <c r="B338" s="16">
        <f t="shared" si="3"/>
        <v>45827</v>
      </c>
      <c r="C338" s="28">
        <v>45827.0</v>
      </c>
      <c r="D338" s="44">
        <v>6.0</v>
      </c>
      <c r="E338" s="50" t="s">
        <v>72</v>
      </c>
      <c r="F338" s="20"/>
      <c r="G338" s="37"/>
      <c r="H338" s="37"/>
      <c r="I338" s="32" t="s">
        <v>6</v>
      </c>
      <c r="J338" s="32" t="s">
        <v>107</v>
      </c>
      <c r="K338" s="54" t="s">
        <v>172</v>
      </c>
      <c r="L338" s="32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</row>
    <row r="339" ht="15.75" customHeight="1">
      <c r="A339" s="27"/>
      <c r="B339" s="16">
        <f t="shared" si="3"/>
        <v>45827</v>
      </c>
      <c r="C339" s="28">
        <v>45827.0</v>
      </c>
      <c r="D339" s="44">
        <v>7.0</v>
      </c>
      <c r="E339" s="50" t="s">
        <v>72</v>
      </c>
      <c r="F339" s="20"/>
      <c r="G339" s="37"/>
      <c r="H339" s="37"/>
      <c r="I339" s="32" t="s">
        <v>6</v>
      </c>
      <c r="J339" s="32" t="s">
        <v>107</v>
      </c>
      <c r="K339" s="54" t="s">
        <v>172</v>
      </c>
      <c r="L339" s="32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</row>
    <row r="340" ht="15.75" customHeight="1">
      <c r="A340" s="27"/>
      <c r="B340" s="16">
        <f t="shared" si="3"/>
        <v>45827</v>
      </c>
      <c r="C340" s="28">
        <v>45827.0</v>
      </c>
      <c r="D340" s="44">
        <v>8.0</v>
      </c>
      <c r="E340" s="50" t="s">
        <v>61</v>
      </c>
      <c r="F340" s="20"/>
      <c r="G340" s="37"/>
      <c r="H340" s="37"/>
      <c r="I340" s="32" t="s">
        <v>6</v>
      </c>
      <c r="J340" s="32" t="s">
        <v>107</v>
      </c>
      <c r="K340" s="54" t="s">
        <v>172</v>
      </c>
      <c r="L340" s="32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</row>
    <row r="341" ht="15.75" customHeight="1">
      <c r="A341" s="27"/>
      <c r="B341" s="16">
        <f t="shared" si="3"/>
        <v>45832</v>
      </c>
      <c r="C341" s="28">
        <v>45832.0</v>
      </c>
      <c r="D341" s="44">
        <v>1.0</v>
      </c>
      <c r="E341" s="50" t="s">
        <v>69</v>
      </c>
      <c r="F341" s="20" t="s">
        <v>67</v>
      </c>
      <c r="G341" s="20" t="s">
        <v>58</v>
      </c>
      <c r="H341" s="84"/>
      <c r="I341" s="20" t="s">
        <v>12</v>
      </c>
      <c r="J341" s="40" t="s">
        <v>90</v>
      </c>
      <c r="K341" s="51" t="s">
        <v>181</v>
      </c>
      <c r="L341" s="32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</row>
    <row r="342" ht="15.75" customHeight="1">
      <c r="A342" s="27"/>
      <c r="B342" s="16">
        <f t="shared" si="3"/>
        <v>45832</v>
      </c>
      <c r="C342" s="28">
        <v>45832.0</v>
      </c>
      <c r="D342" s="44">
        <v>2.0</v>
      </c>
      <c r="E342" s="50" t="s">
        <v>65</v>
      </c>
      <c r="F342" s="20" t="s">
        <v>67</v>
      </c>
      <c r="G342" s="20" t="s">
        <v>58</v>
      </c>
      <c r="H342" s="84"/>
      <c r="I342" s="20" t="s">
        <v>12</v>
      </c>
      <c r="J342" s="87" t="s">
        <v>90</v>
      </c>
      <c r="K342" s="51" t="s">
        <v>181</v>
      </c>
      <c r="L342" s="32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</row>
    <row r="343" ht="15.75" customHeight="1">
      <c r="A343" s="27"/>
      <c r="B343" s="16">
        <f t="shared" si="3"/>
        <v>45832</v>
      </c>
      <c r="C343" s="28">
        <v>45832.0</v>
      </c>
      <c r="D343" s="44">
        <v>3.0</v>
      </c>
      <c r="E343" s="50" t="s">
        <v>69</v>
      </c>
      <c r="F343" s="20" t="s">
        <v>67</v>
      </c>
      <c r="G343" s="20" t="s">
        <v>58</v>
      </c>
      <c r="H343" s="84"/>
      <c r="I343" s="20" t="s">
        <v>12</v>
      </c>
      <c r="J343" s="40" t="s">
        <v>90</v>
      </c>
      <c r="K343" s="51" t="s">
        <v>181</v>
      </c>
      <c r="L343" s="32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</row>
    <row r="344" ht="15.75" customHeight="1">
      <c r="A344" s="27"/>
      <c r="B344" s="16">
        <f t="shared" si="3"/>
        <v>45832</v>
      </c>
      <c r="C344" s="28">
        <v>45832.0</v>
      </c>
      <c r="D344" s="44">
        <v>4.0</v>
      </c>
      <c r="E344" s="50" t="s">
        <v>65</v>
      </c>
      <c r="F344" s="20" t="s">
        <v>67</v>
      </c>
      <c r="G344" s="20" t="s">
        <v>58</v>
      </c>
      <c r="H344" s="84"/>
      <c r="I344" s="20" t="s">
        <v>12</v>
      </c>
      <c r="J344" s="87" t="s">
        <v>90</v>
      </c>
      <c r="K344" s="51" t="s">
        <v>181</v>
      </c>
      <c r="L344" s="32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</row>
    <row r="345" ht="15.75" customHeight="1">
      <c r="A345" s="27"/>
      <c r="B345" s="16">
        <f t="shared" si="3"/>
        <v>45832</v>
      </c>
      <c r="C345" s="28">
        <v>45832.0</v>
      </c>
      <c r="D345" s="44">
        <v>1.0</v>
      </c>
      <c r="E345" s="50" t="s">
        <v>64</v>
      </c>
      <c r="F345" s="20" t="s">
        <v>84</v>
      </c>
      <c r="G345" s="37"/>
      <c r="H345" s="37"/>
      <c r="I345" s="32" t="s">
        <v>6</v>
      </c>
      <c r="J345" s="32" t="s">
        <v>98</v>
      </c>
      <c r="K345" s="51" t="s">
        <v>181</v>
      </c>
      <c r="L345" s="32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</row>
    <row r="346" ht="15.75" customHeight="1">
      <c r="A346" s="27"/>
      <c r="B346" s="16">
        <f t="shared" si="3"/>
        <v>45832</v>
      </c>
      <c r="C346" s="28">
        <v>45832.0</v>
      </c>
      <c r="D346" s="44">
        <v>3.0</v>
      </c>
      <c r="E346" s="44" t="s">
        <v>100</v>
      </c>
      <c r="F346" s="20" t="s">
        <v>121</v>
      </c>
      <c r="G346" s="37"/>
      <c r="H346" s="37"/>
      <c r="I346" s="32" t="s">
        <v>6</v>
      </c>
      <c r="J346" s="32" t="s">
        <v>98</v>
      </c>
      <c r="K346" s="51" t="s">
        <v>181</v>
      </c>
      <c r="L346" s="32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</row>
    <row r="347" ht="15.75" customHeight="1">
      <c r="A347" s="27"/>
      <c r="B347" s="16">
        <f t="shared" si="3"/>
        <v>45832</v>
      </c>
      <c r="C347" s="28">
        <v>45832.0</v>
      </c>
      <c r="D347" s="44">
        <v>6.0</v>
      </c>
      <c r="E347" s="44" t="s">
        <v>65</v>
      </c>
      <c r="F347" s="20" t="s">
        <v>110</v>
      </c>
      <c r="G347" s="37"/>
      <c r="H347" s="37"/>
      <c r="I347" s="32" t="s">
        <v>6</v>
      </c>
      <c r="J347" s="32" t="s">
        <v>98</v>
      </c>
      <c r="K347" s="51" t="s">
        <v>181</v>
      </c>
      <c r="L347" s="32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</row>
    <row r="348" ht="15.75" customHeight="1">
      <c r="A348" s="27"/>
      <c r="B348" s="16">
        <f t="shared" si="3"/>
        <v>45832</v>
      </c>
      <c r="C348" s="28">
        <v>45832.0</v>
      </c>
      <c r="D348" s="44">
        <v>7.0</v>
      </c>
      <c r="E348" s="44" t="s">
        <v>69</v>
      </c>
      <c r="F348" s="20" t="s">
        <v>110</v>
      </c>
      <c r="G348" s="37"/>
      <c r="H348" s="37"/>
      <c r="I348" s="32" t="s">
        <v>6</v>
      </c>
      <c r="J348" s="32" t="s">
        <v>98</v>
      </c>
      <c r="K348" s="51" t="s">
        <v>181</v>
      </c>
      <c r="L348" s="32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</row>
    <row r="349" ht="15.75" customHeight="1">
      <c r="A349" s="27"/>
      <c r="B349" s="16">
        <f t="shared" si="3"/>
        <v>45832</v>
      </c>
      <c r="C349" s="28">
        <v>45832.0</v>
      </c>
      <c r="D349" s="44">
        <v>8.0</v>
      </c>
      <c r="E349" s="50" t="s">
        <v>74</v>
      </c>
      <c r="F349" s="20" t="s">
        <v>110</v>
      </c>
      <c r="G349" s="37"/>
      <c r="H349" s="20"/>
      <c r="I349" s="32" t="s">
        <v>6</v>
      </c>
      <c r="J349" s="32" t="s">
        <v>98</v>
      </c>
      <c r="K349" s="51" t="s">
        <v>181</v>
      </c>
      <c r="L349" s="32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</row>
    <row r="350" ht="15.75" customHeight="1">
      <c r="A350" s="27"/>
      <c r="B350" s="16">
        <f t="shared" si="3"/>
        <v>45832</v>
      </c>
      <c r="C350" s="28">
        <v>45832.0</v>
      </c>
      <c r="D350" s="44">
        <v>3.0</v>
      </c>
      <c r="E350" s="50" t="s">
        <v>182</v>
      </c>
      <c r="F350" s="20" t="s">
        <v>134</v>
      </c>
      <c r="G350" s="20" t="s">
        <v>58</v>
      </c>
      <c r="H350" s="20"/>
      <c r="I350" s="32" t="s">
        <v>14</v>
      </c>
      <c r="J350" s="32" t="s">
        <v>84</v>
      </c>
      <c r="K350" s="51" t="s">
        <v>181</v>
      </c>
      <c r="L350" s="32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</row>
    <row r="351" ht="15.75" customHeight="1">
      <c r="A351" s="27"/>
      <c r="B351" s="16">
        <f t="shared" si="3"/>
        <v>45832</v>
      </c>
      <c r="C351" s="28">
        <v>45832.0</v>
      </c>
      <c r="D351" s="44">
        <v>1.0</v>
      </c>
      <c r="E351" s="50" t="s">
        <v>74</v>
      </c>
      <c r="F351" s="20" t="s">
        <v>183</v>
      </c>
      <c r="G351" s="20"/>
      <c r="H351" s="37"/>
      <c r="I351" s="32" t="s">
        <v>15</v>
      </c>
      <c r="J351" s="32" t="s">
        <v>164</v>
      </c>
      <c r="K351" s="51" t="s">
        <v>181</v>
      </c>
      <c r="L351" s="32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</row>
    <row r="352" ht="15.75" customHeight="1">
      <c r="A352" s="27"/>
      <c r="B352" s="16">
        <f t="shared" si="3"/>
        <v>45832</v>
      </c>
      <c r="C352" s="28">
        <v>45832.0</v>
      </c>
      <c r="D352" s="44">
        <v>3.0</v>
      </c>
      <c r="E352" s="50" t="s">
        <v>72</v>
      </c>
      <c r="F352" s="20" t="s">
        <v>73</v>
      </c>
      <c r="G352" s="37"/>
      <c r="H352" s="37"/>
      <c r="I352" s="32" t="s">
        <v>15</v>
      </c>
      <c r="J352" s="32" t="s">
        <v>164</v>
      </c>
      <c r="K352" s="51" t="s">
        <v>181</v>
      </c>
      <c r="L352" s="32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</row>
    <row r="353" ht="15.75" customHeight="1">
      <c r="A353" s="27"/>
      <c r="B353" s="16">
        <f t="shared" si="3"/>
        <v>45833</v>
      </c>
      <c r="C353" s="28">
        <v>45833.0</v>
      </c>
      <c r="D353" s="44">
        <v>1.0</v>
      </c>
      <c r="E353" s="50" t="s">
        <v>61</v>
      </c>
      <c r="F353" s="20" t="s">
        <v>73</v>
      </c>
      <c r="G353" s="37"/>
      <c r="H353" s="37"/>
      <c r="I353" s="32" t="s">
        <v>6</v>
      </c>
      <c r="J353" s="32" t="s">
        <v>70</v>
      </c>
      <c r="K353" s="51" t="s">
        <v>181</v>
      </c>
      <c r="L353" s="32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</row>
    <row r="354" ht="15.75" customHeight="1">
      <c r="A354" s="27"/>
      <c r="B354" s="16">
        <f t="shared" si="3"/>
        <v>45833</v>
      </c>
      <c r="C354" s="92">
        <v>45833.0</v>
      </c>
      <c r="D354" s="44">
        <v>2.0</v>
      </c>
      <c r="E354" s="50" t="s">
        <v>62</v>
      </c>
      <c r="F354" s="20" t="s">
        <v>183</v>
      </c>
      <c r="G354" s="37"/>
      <c r="H354" s="37"/>
      <c r="I354" s="32" t="s">
        <v>6</v>
      </c>
      <c r="J354" s="32" t="s">
        <v>70</v>
      </c>
      <c r="K354" s="51" t="s">
        <v>181</v>
      </c>
      <c r="L354" s="32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</row>
    <row r="355" ht="15.75" customHeight="1">
      <c r="A355" s="27"/>
      <c r="B355" s="16">
        <f t="shared" si="3"/>
        <v>45833</v>
      </c>
      <c r="C355" s="92">
        <v>45833.0</v>
      </c>
      <c r="D355" s="44">
        <v>3.0</v>
      </c>
      <c r="E355" s="50" t="s">
        <v>64</v>
      </c>
      <c r="F355" s="20" t="s">
        <v>66</v>
      </c>
      <c r="G355" s="20" t="s">
        <v>58</v>
      </c>
      <c r="H355" s="37"/>
      <c r="I355" s="32" t="s">
        <v>6</v>
      </c>
      <c r="J355" s="32" t="s">
        <v>70</v>
      </c>
      <c r="K355" s="51" t="s">
        <v>181</v>
      </c>
      <c r="L355" s="32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</row>
    <row r="356" ht="15.75" customHeight="1">
      <c r="A356" s="27"/>
      <c r="B356" s="16">
        <f t="shared" si="3"/>
        <v>45834</v>
      </c>
      <c r="C356" s="92">
        <v>45834.0</v>
      </c>
      <c r="D356" s="44">
        <v>3.0</v>
      </c>
      <c r="E356" s="50" t="s">
        <v>184</v>
      </c>
      <c r="F356" s="20" t="s">
        <v>134</v>
      </c>
      <c r="G356" s="20" t="s">
        <v>58</v>
      </c>
      <c r="H356" s="37"/>
      <c r="I356" s="32" t="s">
        <v>169</v>
      </c>
      <c r="J356" s="32" t="s">
        <v>117</v>
      </c>
      <c r="K356" s="51" t="s">
        <v>181</v>
      </c>
      <c r="L356" s="32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</row>
    <row r="357" ht="15.75" customHeight="1">
      <c r="A357" s="27"/>
      <c r="B357" s="16">
        <f t="shared" si="3"/>
        <v>45834</v>
      </c>
      <c r="C357" s="93">
        <v>45834.0</v>
      </c>
      <c r="D357" s="44">
        <v>4.0</v>
      </c>
      <c r="E357" s="50" t="s">
        <v>185</v>
      </c>
      <c r="F357" s="20" t="s">
        <v>134</v>
      </c>
      <c r="G357" s="20" t="s">
        <v>58</v>
      </c>
      <c r="H357" s="37"/>
      <c r="I357" s="32" t="s">
        <v>169</v>
      </c>
      <c r="J357" s="32" t="s">
        <v>117</v>
      </c>
      <c r="K357" s="51" t="s">
        <v>181</v>
      </c>
      <c r="L357" s="32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</row>
    <row r="358" ht="15.75" customHeight="1">
      <c r="A358" s="27"/>
      <c r="B358" s="16">
        <f t="shared" si="3"/>
        <v>45834</v>
      </c>
      <c r="C358" s="93">
        <v>45834.0</v>
      </c>
      <c r="D358" s="44">
        <v>7.0</v>
      </c>
      <c r="E358" s="50" t="s">
        <v>186</v>
      </c>
      <c r="F358" s="20" t="s">
        <v>134</v>
      </c>
      <c r="G358" s="20" t="s">
        <v>58</v>
      </c>
      <c r="H358" s="37"/>
      <c r="I358" s="32" t="s">
        <v>169</v>
      </c>
      <c r="J358" s="32" t="s">
        <v>117</v>
      </c>
      <c r="K358" s="51" t="s">
        <v>181</v>
      </c>
      <c r="L358" s="32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</row>
    <row r="359" ht="15.75" customHeight="1">
      <c r="A359" s="27"/>
      <c r="B359" s="16">
        <f t="shared" si="3"/>
        <v>45834</v>
      </c>
      <c r="C359" s="93">
        <v>45834.0</v>
      </c>
      <c r="D359" s="50">
        <v>3.0</v>
      </c>
      <c r="E359" s="50">
        <v>60.0</v>
      </c>
      <c r="F359" s="20" t="s">
        <v>105</v>
      </c>
      <c r="G359" s="37"/>
      <c r="H359" s="37"/>
      <c r="I359" s="32" t="s">
        <v>169</v>
      </c>
      <c r="J359" s="32" t="s">
        <v>63</v>
      </c>
      <c r="K359" s="51" t="s">
        <v>181</v>
      </c>
      <c r="L359" s="32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</row>
    <row r="360" ht="15.75" customHeight="1">
      <c r="A360" s="27"/>
      <c r="B360" s="16">
        <f t="shared" si="3"/>
        <v>45834</v>
      </c>
      <c r="C360" s="93">
        <v>45834.0</v>
      </c>
      <c r="D360" s="50">
        <v>4.0</v>
      </c>
      <c r="E360" s="50" t="s">
        <v>62</v>
      </c>
      <c r="F360" s="20" t="s">
        <v>126</v>
      </c>
      <c r="G360" s="37"/>
      <c r="H360" s="37"/>
      <c r="I360" s="32" t="s">
        <v>169</v>
      </c>
      <c r="J360" s="32" t="s">
        <v>63</v>
      </c>
      <c r="K360" s="51" t="s">
        <v>181</v>
      </c>
      <c r="L360" s="32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</row>
    <row r="361" ht="15.75" customHeight="1">
      <c r="A361" s="27"/>
      <c r="B361" s="16">
        <f t="shared" si="3"/>
        <v>45834</v>
      </c>
      <c r="C361" s="93">
        <v>45834.0</v>
      </c>
      <c r="D361" s="50">
        <v>5.0</v>
      </c>
      <c r="E361" s="50" t="s">
        <v>56</v>
      </c>
      <c r="F361" s="20" t="s">
        <v>79</v>
      </c>
      <c r="G361" s="37"/>
      <c r="H361" s="37"/>
      <c r="I361" s="32" t="s">
        <v>169</v>
      </c>
      <c r="J361" s="32" t="s">
        <v>63</v>
      </c>
      <c r="K361" s="51" t="s">
        <v>181</v>
      </c>
      <c r="L361" s="32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</row>
    <row r="362" ht="15.75" customHeight="1">
      <c r="A362" s="27"/>
      <c r="B362" s="16">
        <f t="shared" si="3"/>
        <v>45834</v>
      </c>
      <c r="C362" s="93">
        <v>45834.0</v>
      </c>
      <c r="D362" s="50">
        <v>1.0</v>
      </c>
      <c r="E362" s="50" t="s">
        <v>69</v>
      </c>
      <c r="F362" s="20" t="s">
        <v>107</v>
      </c>
      <c r="G362" s="37"/>
      <c r="H362" s="37"/>
      <c r="I362" s="32" t="s">
        <v>6</v>
      </c>
      <c r="J362" s="32" t="s">
        <v>98</v>
      </c>
      <c r="K362" s="51" t="s">
        <v>181</v>
      </c>
      <c r="L362" s="32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</row>
    <row r="363" ht="15.75" customHeight="1">
      <c r="A363" s="27"/>
      <c r="B363" s="16">
        <f t="shared" si="3"/>
        <v>45834</v>
      </c>
      <c r="C363" s="93">
        <v>45834.0</v>
      </c>
      <c r="D363" s="44">
        <v>2.0</v>
      </c>
      <c r="E363" s="50" t="s">
        <v>97</v>
      </c>
      <c r="F363" s="20" t="s">
        <v>110</v>
      </c>
      <c r="G363" s="20"/>
      <c r="H363" s="20"/>
      <c r="I363" s="32" t="s">
        <v>6</v>
      </c>
      <c r="J363" s="32" t="s">
        <v>98</v>
      </c>
      <c r="K363" s="51" t="s">
        <v>181</v>
      </c>
      <c r="L363" s="32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</row>
    <row r="364" ht="15.75" customHeight="1">
      <c r="A364" s="27"/>
      <c r="B364" s="16">
        <f t="shared" si="3"/>
        <v>45834</v>
      </c>
      <c r="C364" s="93">
        <v>45834.0</v>
      </c>
      <c r="D364" s="44"/>
      <c r="E364" s="50"/>
      <c r="F364" s="20"/>
      <c r="G364" s="37"/>
      <c r="H364" s="37"/>
      <c r="I364" s="32" t="s">
        <v>6</v>
      </c>
      <c r="J364" s="32" t="s">
        <v>98</v>
      </c>
      <c r="K364" s="51" t="s">
        <v>181</v>
      </c>
      <c r="L364" s="32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</row>
    <row r="365" ht="15.75" customHeight="1">
      <c r="A365" s="27"/>
      <c r="B365" s="16">
        <f t="shared" si="3"/>
        <v>45834</v>
      </c>
      <c r="C365" s="93">
        <v>45834.0</v>
      </c>
      <c r="D365" s="44">
        <v>4.0</v>
      </c>
      <c r="E365" s="50" t="s">
        <v>61</v>
      </c>
      <c r="F365" s="20" t="s">
        <v>110</v>
      </c>
      <c r="G365" s="37"/>
      <c r="H365" s="37"/>
      <c r="I365" s="32" t="s">
        <v>6</v>
      </c>
      <c r="J365" s="32" t="s">
        <v>98</v>
      </c>
      <c r="K365" s="51" t="s">
        <v>181</v>
      </c>
      <c r="L365" s="32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</row>
    <row r="366" ht="15.75" customHeight="1">
      <c r="A366" s="27"/>
      <c r="B366" s="16">
        <f t="shared" si="3"/>
        <v>45834</v>
      </c>
      <c r="C366" s="93">
        <v>45834.0</v>
      </c>
      <c r="D366" s="44">
        <v>1.0</v>
      </c>
      <c r="E366" s="50" t="s">
        <v>56</v>
      </c>
      <c r="F366" s="20" t="s">
        <v>141</v>
      </c>
      <c r="G366" s="20" t="s">
        <v>58</v>
      </c>
      <c r="H366" s="37"/>
      <c r="I366" s="32" t="s">
        <v>6</v>
      </c>
      <c r="J366" s="32" t="s">
        <v>70</v>
      </c>
      <c r="K366" s="51" t="s">
        <v>181</v>
      </c>
      <c r="L366" s="32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</row>
    <row r="367" ht="15.75" customHeight="1">
      <c r="A367" s="27"/>
      <c r="B367" s="16">
        <f t="shared" si="3"/>
        <v>45834</v>
      </c>
      <c r="C367" s="93">
        <v>45834.0</v>
      </c>
      <c r="D367" s="44">
        <v>2.0</v>
      </c>
      <c r="E367" s="50" t="s">
        <v>65</v>
      </c>
      <c r="F367" s="20" t="s">
        <v>103</v>
      </c>
      <c r="G367" s="37"/>
      <c r="H367" s="37"/>
      <c r="I367" s="32" t="s">
        <v>6</v>
      </c>
      <c r="J367" s="32" t="s">
        <v>70</v>
      </c>
      <c r="K367" s="51" t="s">
        <v>181</v>
      </c>
      <c r="L367" s="32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</row>
    <row r="368" ht="15.75" customHeight="1">
      <c r="A368" s="27"/>
      <c r="B368" s="16">
        <f t="shared" si="3"/>
        <v>45834</v>
      </c>
      <c r="C368" s="93">
        <v>45834.0</v>
      </c>
      <c r="D368" s="44">
        <v>3.0</v>
      </c>
      <c r="E368" s="50">
        <v>50.0</v>
      </c>
      <c r="F368" s="20" t="s">
        <v>147</v>
      </c>
      <c r="G368" s="37"/>
      <c r="H368" s="37"/>
      <c r="I368" s="32" t="s">
        <v>6</v>
      </c>
      <c r="J368" s="32" t="s">
        <v>70</v>
      </c>
      <c r="K368" s="51" t="s">
        <v>181</v>
      </c>
      <c r="L368" s="32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</row>
    <row r="369" ht="15.75" customHeight="1">
      <c r="A369" s="27"/>
      <c r="B369" s="16">
        <f t="shared" si="3"/>
        <v>45834</v>
      </c>
      <c r="C369" s="28">
        <v>45834.0</v>
      </c>
      <c r="D369" s="44">
        <v>4.0</v>
      </c>
      <c r="E369" s="50" t="s">
        <v>82</v>
      </c>
      <c r="F369" s="20" t="s">
        <v>67</v>
      </c>
      <c r="G369" s="20"/>
      <c r="H369" s="37"/>
      <c r="I369" s="32" t="s">
        <v>6</v>
      </c>
      <c r="J369" s="32" t="s">
        <v>70</v>
      </c>
      <c r="K369" s="51" t="s">
        <v>181</v>
      </c>
      <c r="L369" s="32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</row>
    <row r="370" ht="15.75" customHeight="1">
      <c r="A370" s="27"/>
      <c r="B370" s="16">
        <f t="shared" si="3"/>
        <v>45834</v>
      </c>
      <c r="C370" s="28">
        <v>45834.0</v>
      </c>
      <c r="D370" s="44">
        <v>5.0</v>
      </c>
      <c r="E370" s="50" t="s">
        <v>76</v>
      </c>
      <c r="F370" s="20" t="s">
        <v>66</v>
      </c>
      <c r="G370" s="37"/>
      <c r="H370" s="37"/>
      <c r="I370" s="32" t="s">
        <v>6</v>
      </c>
      <c r="J370" s="32" t="s">
        <v>70</v>
      </c>
      <c r="K370" s="51" t="s">
        <v>181</v>
      </c>
      <c r="L370" s="32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</row>
    <row r="371" ht="15.75" customHeight="1">
      <c r="A371" s="27"/>
      <c r="B371" s="16">
        <f t="shared" si="3"/>
        <v>45834</v>
      </c>
      <c r="C371" s="28">
        <v>45834.0</v>
      </c>
      <c r="D371" s="44">
        <v>8.0</v>
      </c>
      <c r="E371" s="50" t="s">
        <v>97</v>
      </c>
      <c r="F371" s="20" t="s">
        <v>83</v>
      </c>
      <c r="G371" s="20" t="s">
        <v>58</v>
      </c>
      <c r="H371" s="37"/>
      <c r="I371" s="32" t="s">
        <v>6</v>
      </c>
      <c r="J371" s="32" t="s">
        <v>70</v>
      </c>
      <c r="K371" s="51" t="s">
        <v>181</v>
      </c>
      <c r="L371" s="32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</row>
    <row r="372" ht="15.75" customHeight="1">
      <c r="A372" s="27"/>
      <c r="B372" s="16">
        <f t="shared" si="3"/>
        <v>45835</v>
      </c>
      <c r="C372" s="28">
        <v>45835.0</v>
      </c>
      <c r="D372" s="44">
        <v>1.0</v>
      </c>
      <c r="E372" s="50" t="s">
        <v>64</v>
      </c>
      <c r="F372" s="20" t="s">
        <v>73</v>
      </c>
      <c r="G372" s="20"/>
      <c r="H372" s="37"/>
      <c r="I372" s="32" t="s">
        <v>6</v>
      </c>
      <c r="J372" s="32" t="s">
        <v>70</v>
      </c>
      <c r="K372" s="51" t="s">
        <v>181</v>
      </c>
      <c r="L372" s="32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</row>
    <row r="373" ht="15.75" customHeight="1">
      <c r="A373" s="27"/>
      <c r="B373" s="16">
        <f t="shared" si="3"/>
        <v>45835</v>
      </c>
      <c r="C373" s="28">
        <v>45835.0</v>
      </c>
      <c r="D373" s="44">
        <v>2.0</v>
      </c>
      <c r="E373" s="50" t="s">
        <v>65</v>
      </c>
      <c r="F373" s="20" t="s">
        <v>99</v>
      </c>
      <c r="G373" s="20"/>
      <c r="H373" s="37"/>
      <c r="I373" s="32" t="s">
        <v>6</v>
      </c>
      <c r="J373" s="32" t="s">
        <v>70</v>
      </c>
      <c r="K373" s="51" t="s">
        <v>181</v>
      </c>
      <c r="L373" s="32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</row>
    <row r="374" ht="15.75" customHeight="1">
      <c r="A374" s="27"/>
      <c r="B374" s="16">
        <f t="shared" si="3"/>
        <v>45835</v>
      </c>
      <c r="C374" s="28">
        <v>45835.0</v>
      </c>
      <c r="D374" s="44">
        <v>3.0</v>
      </c>
      <c r="E374" s="50" t="s">
        <v>97</v>
      </c>
      <c r="F374" s="20" t="s">
        <v>147</v>
      </c>
      <c r="G374" s="20"/>
      <c r="H374" s="37"/>
      <c r="I374" s="32" t="s">
        <v>6</v>
      </c>
      <c r="J374" s="32" t="s">
        <v>70</v>
      </c>
      <c r="K374" s="51" t="s">
        <v>181</v>
      </c>
      <c r="L374" s="32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</row>
    <row r="375" ht="15.75" customHeight="1">
      <c r="A375" s="27"/>
      <c r="B375" s="16">
        <f t="shared" si="3"/>
        <v>45835</v>
      </c>
      <c r="C375" s="28">
        <v>45835.0</v>
      </c>
      <c r="D375" s="44">
        <v>4.0</v>
      </c>
      <c r="E375" s="50" t="s">
        <v>62</v>
      </c>
      <c r="F375" s="20" t="s">
        <v>73</v>
      </c>
      <c r="G375" s="20"/>
      <c r="H375" s="37"/>
      <c r="I375" s="32" t="s">
        <v>6</v>
      </c>
      <c r="J375" s="32" t="s">
        <v>70</v>
      </c>
      <c r="K375" s="51" t="s">
        <v>181</v>
      </c>
      <c r="L375" s="32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</row>
    <row r="376" ht="15.75" customHeight="1">
      <c r="A376" s="27"/>
      <c r="B376" s="16">
        <f t="shared" si="3"/>
        <v>45835</v>
      </c>
      <c r="C376" s="28">
        <v>45835.0</v>
      </c>
      <c r="D376" s="44">
        <v>5.0</v>
      </c>
      <c r="E376" s="50" t="s">
        <v>64</v>
      </c>
      <c r="F376" s="20" t="s">
        <v>147</v>
      </c>
      <c r="G376" s="20"/>
      <c r="H376" s="37"/>
      <c r="I376" s="32" t="s">
        <v>6</v>
      </c>
      <c r="J376" s="32" t="s">
        <v>70</v>
      </c>
      <c r="K376" s="51" t="s">
        <v>181</v>
      </c>
      <c r="L376" s="32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</row>
    <row r="377" ht="15.75" customHeight="1">
      <c r="A377" s="27"/>
      <c r="B377" s="16">
        <f t="shared" si="3"/>
        <v>45835</v>
      </c>
      <c r="C377" s="28">
        <v>45835.0</v>
      </c>
      <c r="D377" s="44">
        <v>6.0</v>
      </c>
      <c r="E377" s="50" t="s">
        <v>64</v>
      </c>
      <c r="F377" s="20" t="s">
        <v>134</v>
      </c>
      <c r="G377" s="20"/>
      <c r="H377" s="37"/>
      <c r="I377" s="32" t="s">
        <v>6</v>
      </c>
      <c r="J377" s="32" t="s">
        <v>70</v>
      </c>
      <c r="K377" s="51" t="s">
        <v>181</v>
      </c>
      <c r="L377" s="32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</row>
    <row r="378" ht="15.75" customHeight="1">
      <c r="A378" s="27"/>
      <c r="B378" s="16">
        <f t="shared" si="3"/>
        <v>45835</v>
      </c>
      <c r="C378" s="28">
        <v>45835.0</v>
      </c>
      <c r="D378" s="44">
        <v>7.0</v>
      </c>
      <c r="E378" s="50" t="s">
        <v>69</v>
      </c>
      <c r="F378" s="20" t="s">
        <v>66</v>
      </c>
      <c r="G378" s="20"/>
      <c r="H378" s="37"/>
      <c r="I378" s="32" t="s">
        <v>6</v>
      </c>
      <c r="J378" s="32" t="s">
        <v>70</v>
      </c>
      <c r="K378" s="51" t="s">
        <v>181</v>
      </c>
      <c r="L378" s="32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</row>
    <row r="379" ht="15.75" customHeight="1">
      <c r="A379" s="27"/>
      <c r="B379" s="16">
        <f t="shared" si="3"/>
        <v>45835</v>
      </c>
      <c r="C379" s="28">
        <v>45835.0</v>
      </c>
      <c r="D379" s="44">
        <v>8.0</v>
      </c>
      <c r="E379" s="50" t="s">
        <v>100</v>
      </c>
      <c r="F379" s="20" t="s">
        <v>73</v>
      </c>
      <c r="G379" s="20"/>
      <c r="H379" s="37"/>
      <c r="I379" s="32" t="s">
        <v>6</v>
      </c>
      <c r="J379" s="32" t="s">
        <v>70</v>
      </c>
      <c r="K379" s="51" t="s">
        <v>181</v>
      </c>
      <c r="L379" s="32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</row>
    <row r="380" ht="15.75" customHeight="1">
      <c r="A380" s="27"/>
      <c r="B380" s="16">
        <f t="shared" si="3"/>
        <v>45835</v>
      </c>
      <c r="C380" s="28">
        <v>45835.0</v>
      </c>
      <c r="D380" s="44">
        <v>5.0</v>
      </c>
      <c r="E380" s="50" t="s">
        <v>56</v>
      </c>
      <c r="F380" s="20" t="s">
        <v>145</v>
      </c>
      <c r="G380" s="20"/>
      <c r="H380" s="37"/>
      <c r="I380" s="32" t="s">
        <v>8</v>
      </c>
      <c r="J380" s="32" t="s">
        <v>142</v>
      </c>
      <c r="K380" s="51" t="s">
        <v>181</v>
      </c>
      <c r="L380" s="32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</row>
    <row r="381" ht="15.75" customHeight="1">
      <c r="A381" s="27"/>
      <c r="B381" s="16">
        <f t="shared" si="3"/>
        <v>45835</v>
      </c>
      <c r="C381" s="28">
        <v>45835.0</v>
      </c>
      <c r="D381" s="44">
        <v>6.0</v>
      </c>
      <c r="E381" s="50" t="s">
        <v>61</v>
      </c>
      <c r="F381" s="20" t="s">
        <v>145</v>
      </c>
      <c r="G381" s="20"/>
      <c r="H381" s="37"/>
      <c r="I381" s="32" t="s">
        <v>8</v>
      </c>
      <c r="J381" s="32" t="s">
        <v>142</v>
      </c>
      <c r="K381" s="51" t="s">
        <v>181</v>
      </c>
      <c r="L381" s="32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</row>
    <row r="382" ht="15.75" customHeight="1">
      <c r="A382" s="27"/>
      <c r="B382" s="16">
        <f t="shared" si="3"/>
        <v>45835</v>
      </c>
      <c r="C382" s="28">
        <v>45835.0</v>
      </c>
      <c r="D382" s="44">
        <v>7.0</v>
      </c>
      <c r="E382" s="50" t="s">
        <v>76</v>
      </c>
      <c r="F382" s="20" t="s">
        <v>77</v>
      </c>
      <c r="G382" s="20"/>
      <c r="H382" s="37"/>
      <c r="I382" s="32" t="s">
        <v>8</v>
      </c>
      <c r="J382" s="32" t="s">
        <v>142</v>
      </c>
      <c r="K382" s="51" t="s">
        <v>181</v>
      </c>
      <c r="L382" s="32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</row>
    <row r="383" ht="15.75" customHeight="1">
      <c r="A383" s="27"/>
      <c r="B383" s="16">
        <f t="shared" si="3"/>
        <v>45835</v>
      </c>
      <c r="C383" s="28">
        <v>45835.0</v>
      </c>
      <c r="D383" s="44">
        <v>8.0</v>
      </c>
      <c r="E383" s="50" t="s">
        <v>76</v>
      </c>
      <c r="F383" s="20" t="s">
        <v>77</v>
      </c>
      <c r="G383" s="20"/>
      <c r="H383" s="37"/>
      <c r="I383" s="32" t="s">
        <v>8</v>
      </c>
      <c r="J383" s="32" t="s">
        <v>142</v>
      </c>
      <c r="K383" s="51" t="s">
        <v>181</v>
      </c>
      <c r="L383" s="32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</row>
    <row r="384" ht="15.75" customHeight="1">
      <c r="A384" s="27"/>
      <c r="B384" s="16">
        <f t="shared" si="3"/>
        <v>45838</v>
      </c>
      <c r="C384" s="28">
        <v>45838.0</v>
      </c>
      <c r="D384" s="44">
        <v>1.0</v>
      </c>
      <c r="E384" s="50" t="s">
        <v>187</v>
      </c>
      <c r="F384" s="20" t="s">
        <v>134</v>
      </c>
      <c r="G384" s="20"/>
      <c r="H384" s="37"/>
      <c r="I384" s="32" t="s">
        <v>14</v>
      </c>
      <c r="J384" s="32" t="s">
        <v>84</v>
      </c>
      <c r="K384" s="51" t="s">
        <v>188</v>
      </c>
      <c r="L384" s="32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</row>
    <row r="385" ht="15.75" customHeight="1">
      <c r="A385" s="27"/>
      <c r="B385" s="16">
        <f t="shared" si="3"/>
        <v>45838</v>
      </c>
      <c r="C385" s="28">
        <v>45838.0</v>
      </c>
      <c r="D385" s="44">
        <v>2.0</v>
      </c>
      <c r="E385" s="50" t="s">
        <v>189</v>
      </c>
      <c r="F385" s="20" t="s">
        <v>134</v>
      </c>
      <c r="G385" s="20"/>
      <c r="H385" s="37"/>
      <c r="I385" s="32" t="s">
        <v>14</v>
      </c>
      <c r="J385" s="32" t="s">
        <v>84</v>
      </c>
      <c r="K385" s="51" t="s">
        <v>188</v>
      </c>
      <c r="L385" s="32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</row>
    <row r="386" ht="15.75" customHeight="1">
      <c r="A386" s="27"/>
      <c r="B386" s="16">
        <f t="shared" si="3"/>
        <v>45838</v>
      </c>
      <c r="C386" s="28">
        <v>45838.0</v>
      </c>
      <c r="D386" s="44">
        <v>3.0</v>
      </c>
      <c r="E386" s="50" t="s">
        <v>187</v>
      </c>
      <c r="F386" s="20" t="s">
        <v>134</v>
      </c>
      <c r="G386" s="20"/>
      <c r="H386" s="37"/>
      <c r="I386" s="32" t="s">
        <v>14</v>
      </c>
      <c r="J386" s="32" t="s">
        <v>84</v>
      </c>
      <c r="K386" s="51" t="s">
        <v>188</v>
      </c>
      <c r="L386" s="32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</row>
    <row r="387" ht="15.75" customHeight="1">
      <c r="A387" s="27"/>
      <c r="B387" s="16">
        <f t="shared" si="3"/>
        <v>45840</v>
      </c>
      <c r="C387" s="28">
        <v>45840.0</v>
      </c>
      <c r="D387" s="44">
        <v>3.0</v>
      </c>
      <c r="E387" s="50" t="s">
        <v>190</v>
      </c>
      <c r="F387" s="20" t="s">
        <v>134</v>
      </c>
      <c r="G387" s="20"/>
      <c r="H387" s="37"/>
      <c r="I387" s="32" t="s">
        <v>14</v>
      </c>
      <c r="J387" s="32" t="s">
        <v>84</v>
      </c>
      <c r="K387" s="51" t="s">
        <v>188</v>
      </c>
      <c r="L387" s="32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</row>
    <row r="388" ht="15.75" customHeight="1">
      <c r="A388" s="27"/>
      <c r="B388" s="16">
        <f t="shared" si="3"/>
        <v>45840</v>
      </c>
      <c r="C388" s="28">
        <v>45840.0</v>
      </c>
      <c r="D388" s="44">
        <v>1.0</v>
      </c>
      <c r="E388" s="49" t="s">
        <v>64</v>
      </c>
      <c r="F388" s="20" t="s">
        <v>73</v>
      </c>
      <c r="G388" s="37"/>
      <c r="H388" s="37"/>
      <c r="I388" s="32" t="s">
        <v>6</v>
      </c>
      <c r="J388" s="32" t="s">
        <v>121</v>
      </c>
      <c r="K388" s="51" t="s">
        <v>188</v>
      </c>
      <c r="L388" s="32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</row>
    <row r="389" ht="15.75" customHeight="1">
      <c r="A389" s="27"/>
      <c r="B389" s="16">
        <f t="shared" si="3"/>
        <v>45840</v>
      </c>
      <c r="C389" s="28">
        <v>45840.0</v>
      </c>
      <c r="D389" s="44">
        <v>2.0</v>
      </c>
      <c r="E389" s="49" t="s">
        <v>64</v>
      </c>
      <c r="F389" s="20" t="s">
        <v>73</v>
      </c>
      <c r="G389" s="37"/>
      <c r="H389" s="37"/>
      <c r="I389" s="32" t="s">
        <v>6</v>
      </c>
      <c r="J389" s="32" t="s">
        <v>121</v>
      </c>
      <c r="K389" s="51" t="s">
        <v>188</v>
      </c>
      <c r="L389" s="32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</row>
    <row r="390" ht="15.75" customHeight="1">
      <c r="A390" s="27"/>
      <c r="B390" s="16">
        <f t="shared" si="3"/>
        <v>45840</v>
      </c>
      <c r="C390" s="28">
        <v>45840.0</v>
      </c>
      <c r="D390" s="44">
        <v>3.0</v>
      </c>
      <c r="E390" s="49" t="s">
        <v>62</v>
      </c>
      <c r="F390" s="20" t="s">
        <v>127</v>
      </c>
      <c r="G390" s="37"/>
      <c r="H390" s="37"/>
      <c r="I390" s="32" t="s">
        <v>6</v>
      </c>
      <c r="J390" s="32" t="s">
        <v>121</v>
      </c>
      <c r="K390" s="51" t="s">
        <v>188</v>
      </c>
      <c r="L390" s="32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</row>
    <row r="391" ht="15.75" customHeight="1">
      <c r="A391" s="27"/>
      <c r="B391" s="16">
        <f t="shared" si="3"/>
        <v>45840</v>
      </c>
      <c r="C391" s="28">
        <v>45840.0</v>
      </c>
      <c r="D391" s="44">
        <v>4.0</v>
      </c>
      <c r="E391" s="50" t="s">
        <v>62</v>
      </c>
      <c r="F391" s="20" t="s">
        <v>127</v>
      </c>
      <c r="G391" s="20"/>
      <c r="H391" s="37"/>
      <c r="I391" s="32" t="s">
        <v>6</v>
      </c>
      <c r="J391" s="32" t="s">
        <v>121</v>
      </c>
      <c r="K391" s="51" t="s">
        <v>188</v>
      </c>
      <c r="L391" s="32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</row>
    <row r="392" ht="15.75" customHeight="1">
      <c r="A392" s="27"/>
      <c r="B392" s="16">
        <f t="shared" si="3"/>
        <v>45845</v>
      </c>
      <c r="C392" s="28">
        <v>45845.0</v>
      </c>
      <c r="D392" s="44">
        <v>1.0</v>
      </c>
      <c r="E392" s="50" t="s">
        <v>187</v>
      </c>
      <c r="F392" s="20" t="s">
        <v>134</v>
      </c>
      <c r="G392" s="20"/>
      <c r="H392" s="37"/>
      <c r="I392" s="32" t="s">
        <v>14</v>
      </c>
      <c r="J392" s="32" t="s">
        <v>84</v>
      </c>
      <c r="K392" s="51" t="s">
        <v>191</v>
      </c>
      <c r="L392" s="32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</row>
    <row r="393" ht="15.75" customHeight="1">
      <c r="A393" s="27"/>
      <c r="B393" s="16">
        <f t="shared" si="3"/>
        <v>45845</v>
      </c>
      <c r="C393" s="28">
        <v>45845.0</v>
      </c>
      <c r="D393" s="44">
        <v>2.0</v>
      </c>
      <c r="E393" s="50" t="s">
        <v>189</v>
      </c>
      <c r="F393" s="20" t="s">
        <v>134</v>
      </c>
      <c r="G393" s="20"/>
      <c r="H393" s="37"/>
      <c r="I393" s="32" t="s">
        <v>14</v>
      </c>
      <c r="J393" s="32" t="s">
        <v>84</v>
      </c>
      <c r="K393" s="51" t="s">
        <v>191</v>
      </c>
      <c r="L393" s="32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</row>
    <row r="394" ht="15.75" customHeight="1">
      <c r="A394" s="27"/>
      <c r="B394" s="16">
        <f t="shared" si="3"/>
        <v>45845</v>
      </c>
      <c r="C394" s="28">
        <v>45845.0</v>
      </c>
      <c r="D394" s="44">
        <v>3.0</v>
      </c>
      <c r="E394" s="50" t="s">
        <v>187</v>
      </c>
      <c r="F394" s="20" t="s">
        <v>134</v>
      </c>
      <c r="G394" s="20"/>
      <c r="H394" s="37"/>
      <c r="I394" s="32" t="s">
        <v>14</v>
      </c>
      <c r="J394" s="32" t="s">
        <v>84</v>
      </c>
      <c r="K394" s="51" t="s">
        <v>191</v>
      </c>
      <c r="L394" s="32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</row>
    <row r="395" ht="15.75" customHeight="1">
      <c r="A395" s="27"/>
      <c r="B395" s="16">
        <f t="shared" si="3"/>
        <v>45845</v>
      </c>
      <c r="C395" s="28">
        <v>45845.0</v>
      </c>
      <c r="D395" s="44">
        <v>5.0</v>
      </c>
      <c r="E395" s="50" t="s">
        <v>69</v>
      </c>
      <c r="F395" s="20" t="s">
        <v>101</v>
      </c>
      <c r="G395" s="20"/>
      <c r="H395" s="94" t="s">
        <v>192</v>
      </c>
      <c r="I395" s="32" t="s">
        <v>15</v>
      </c>
      <c r="J395" s="32" t="s">
        <v>129</v>
      </c>
      <c r="K395" s="51" t="s">
        <v>191</v>
      </c>
      <c r="L395" s="32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</row>
    <row r="396" ht="15.75" customHeight="1">
      <c r="A396" s="27"/>
      <c r="B396" s="16">
        <f t="shared" si="3"/>
        <v>45845</v>
      </c>
      <c r="C396" s="28">
        <v>45845.0</v>
      </c>
      <c r="D396" s="44">
        <v>6.0</v>
      </c>
      <c r="E396" s="50" t="s">
        <v>76</v>
      </c>
      <c r="F396" s="20" t="s">
        <v>101</v>
      </c>
      <c r="G396" s="20"/>
      <c r="H396" s="94" t="s">
        <v>192</v>
      </c>
      <c r="I396" s="32" t="s">
        <v>15</v>
      </c>
      <c r="J396" s="32" t="s">
        <v>129</v>
      </c>
      <c r="K396" s="51" t="s">
        <v>191</v>
      </c>
      <c r="L396" s="32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</row>
    <row r="397" ht="15.75" customHeight="1">
      <c r="A397" s="27"/>
      <c r="B397" s="16">
        <f t="shared" si="3"/>
        <v>45845</v>
      </c>
      <c r="C397" s="28">
        <v>45845.0</v>
      </c>
      <c r="D397" s="44">
        <v>7.0</v>
      </c>
      <c r="E397" s="50" t="s">
        <v>100</v>
      </c>
      <c r="F397" s="20" t="s">
        <v>101</v>
      </c>
      <c r="G397" s="20"/>
      <c r="H397" s="94" t="s">
        <v>192</v>
      </c>
      <c r="I397" s="32" t="s">
        <v>15</v>
      </c>
      <c r="J397" s="32" t="s">
        <v>129</v>
      </c>
      <c r="K397" s="51" t="s">
        <v>191</v>
      </c>
      <c r="L397" s="32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</row>
    <row r="398" ht="15.75" customHeight="1">
      <c r="A398" s="27"/>
      <c r="B398" s="16">
        <f t="shared" si="3"/>
        <v>45845</v>
      </c>
      <c r="C398" s="28">
        <v>45845.0</v>
      </c>
      <c r="D398" s="44">
        <v>8.0</v>
      </c>
      <c r="E398" s="50" t="s">
        <v>82</v>
      </c>
      <c r="F398" s="20" t="s">
        <v>101</v>
      </c>
      <c r="G398" s="20"/>
      <c r="H398" s="94" t="s">
        <v>192</v>
      </c>
      <c r="I398" s="32" t="s">
        <v>15</v>
      </c>
      <c r="J398" s="32" t="s">
        <v>129</v>
      </c>
      <c r="K398" s="51" t="s">
        <v>191</v>
      </c>
      <c r="L398" s="32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</row>
    <row r="399" ht="15.75" customHeight="1">
      <c r="A399" s="27"/>
      <c r="B399" s="16">
        <f t="shared" si="3"/>
        <v>45846</v>
      </c>
      <c r="C399" s="28">
        <v>45846.0</v>
      </c>
      <c r="D399" s="44">
        <v>6.0</v>
      </c>
      <c r="E399" s="50" t="s">
        <v>82</v>
      </c>
      <c r="F399" s="20" t="s">
        <v>101</v>
      </c>
      <c r="G399" s="20"/>
      <c r="H399" s="94" t="s">
        <v>192</v>
      </c>
      <c r="I399" s="32" t="s">
        <v>15</v>
      </c>
      <c r="J399" s="32" t="s">
        <v>129</v>
      </c>
      <c r="K399" s="51" t="s">
        <v>191</v>
      </c>
      <c r="L399" s="32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</row>
    <row r="400" ht="15.75" customHeight="1">
      <c r="A400" s="27"/>
      <c r="B400" s="16">
        <f t="shared" si="3"/>
        <v>45848</v>
      </c>
      <c r="C400" s="28">
        <v>45848.0</v>
      </c>
      <c r="D400" s="44">
        <v>3.0</v>
      </c>
      <c r="E400" s="50" t="s">
        <v>193</v>
      </c>
      <c r="F400" s="20" t="s">
        <v>134</v>
      </c>
      <c r="G400" s="20"/>
      <c r="H400" s="37"/>
      <c r="I400" s="32" t="s">
        <v>15</v>
      </c>
      <c r="J400" s="32" t="s">
        <v>117</v>
      </c>
      <c r="K400" s="51" t="s">
        <v>191</v>
      </c>
      <c r="L400" s="32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</row>
    <row r="401" ht="15.75" customHeight="1">
      <c r="A401" s="27"/>
      <c r="B401" s="16">
        <f t="shared" si="3"/>
        <v>45848</v>
      </c>
      <c r="C401" s="28">
        <v>45848.0</v>
      </c>
      <c r="D401" s="44">
        <v>4.0</v>
      </c>
      <c r="E401" s="50" t="s">
        <v>194</v>
      </c>
      <c r="F401" s="20" t="s">
        <v>134</v>
      </c>
      <c r="G401" s="20"/>
      <c r="H401" s="37"/>
      <c r="I401" s="32" t="s">
        <v>15</v>
      </c>
      <c r="J401" s="32" t="s">
        <v>117</v>
      </c>
      <c r="K401" s="51" t="s">
        <v>191</v>
      </c>
      <c r="L401" s="32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</row>
    <row r="402" ht="15.75" customHeight="1">
      <c r="A402" s="27"/>
      <c r="B402" s="16">
        <f t="shared" si="3"/>
        <v>45848</v>
      </c>
      <c r="C402" s="28">
        <v>45848.0</v>
      </c>
      <c r="D402" s="44">
        <v>7.0</v>
      </c>
      <c r="E402" s="50" t="s">
        <v>195</v>
      </c>
      <c r="F402" s="20" t="s">
        <v>134</v>
      </c>
      <c r="G402" s="20"/>
      <c r="H402" s="20"/>
      <c r="I402" s="32" t="s">
        <v>15</v>
      </c>
      <c r="J402" s="32" t="s">
        <v>117</v>
      </c>
      <c r="K402" s="51" t="s">
        <v>191</v>
      </c>
      <c r="L402" s="32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</row>
    <row r="403" ht="15.75" customHeight="1">
      <c r="A403" s="27"/>
      <c r="B403" s="16">
        <f t="shared" si="3"/>
        <v>45848</v>
      </c>
      <c r="C403" s="28">
        <v>45848.0</v>
      </c>
      <c r="D403" s="44">
        <v>4.0</v>
      </c>
      <c r="E403" s="50" t="s">
        <v>72</v>
      </c>
      <c r="F403" s="20" t="s">
        <v>110</v>
      </c>
      <c r="G403" s="20"/>
      <c r="H403" s="20"/>
      <c r="I403" s="32" t="s">
        <v>173</v>
      </c>
      <c r="J403" s="32" t="s">
        <v>105</v>
      </c>
      <c r="K403" s="51" t="s">
        <v>191</v>
      </c>
      <c r="L403" s="32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</row>
    <row r="404" ht="15.75" customHeight="1">
      <c r="A404" s="27"/>
      <c r="B404" s="16">
        <f t="shared" si="3"/>
        <v>45849</v>
      </c>
      <c r="C404" s="28">
        <v>45849.0</v>
      </c>
      <c r="D404" s="44">
        <v>1.0</v>
      </c>
      <c r="E404" s="50" t="s">
        <v>65</v>
      </c>
      <c r="F404" s="20" t="s">
        <v>134</v>
      </c>
      <c r="G404" s="20"/>
      <c r="H404" s="20"/>
      <c r="I404" s="32" t="s">
        <v>15</v>
      </c>
      <c r="J404" s="32" t="s">
        <v>87</v>
      </c>
      <c r="K404" s="51" t="s">
        <v>191</v>
      </c>
      <c r="L404" s="32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</row>
    <row r="405" ht="15.75" customHeight="1">
      <c r="A405" s="27"/>
      <c r="B405" s="16">
        <f t="shared" si="3"/>
        <v>45849</v>
      </c>
      <c r="C405" s="28">
        <v>45849.0</v>
      </c>
      <c r="D405" s="44">
        <v>2.0</v>
      </c>
      <c r="E405" s="50" t="s">
        <v>100</v>
      </c>
      <c r="F405" s="20" t="s">
        <v>134</v>
      </c>
      <c r="G405" s="20"/>
      <c r="H405" s="20"/>
      <c r="I405" s="32" t="s">
        <v>15</v>
      </c>
      <c r="J405" s="32" t="s">
        <v>87</v>
      </c>
      <c r="K405" s="51" t="s">
        <v>191</v>
      </c>
      <c r="L405" s="32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</row>
    <row r="406" ht="15.75" customHeight="1">
      <c r="A406" s="27"/>
      <c r="B406" s="16">
        <f t="shared" si="3"/>
        <v>45849</v>
      </c>
      <c r="C406" s="28">
        <v>45849.0</v>
      </c>
      <c r="D406" s="44">
        <v>3.0</v>
      </c>
      <c r="E406" s="50" t="s">
        <v>65</v>
      </c>
      <c r="F406" s="20" t="s">
        <v>134</v>
      </c>
      <c r="G406" s="20"/>
      <c r="H406" s="20"/>
      <c r="I406" s="32" t="s">
        <v>15</v>
      </c>
      <c r="J406" s="32" t="s">
        <v>87</v>
      </c>
      <c r="K406" s="51" t="s">
        <v>191</v>
      </c>
      <c r="L406" s="32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</row>
    <row r="407" ht="15.75" customHeight="1">
      <c r="A407" s="27"/>
      <c r="B407" s="16">
        <f t="shared" si="3"/>
        <v>45849</v>
      </c>
      <c r="C407" s="28">
        <v>45849.0</v>
      </c>
      <c r="D407" s="44">
        <v>4.0</v>
      </c>
      <c r="E407" s="50" t="s">
        <v>82</v>
      </c>
      <c r="F407" s="20" t="s">
        <v>134</v>
      </c>
      <c r="G407" s="20"/>
      <c r="H407" s="20"/>
      <c r="I407" s="32" t="s">
        <v>15</v>
      </c>
      <c r="J407" s="32" t="s">
        <v>87</v>
      </c>
      <c r="K407" s="51" t="s">
        <v>191</v>
      </c>
      <c r="L407" s="32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</row>
    <row r="408" ht="15.75" customHeight="1">
      <c r="A408" s="27"/>
      <c r="B408" s="16">
        <f t="shared" si="3"/>
        <v>45852</v>
      </c>
      <c r="C408" s="28">
        <v>45852.0</v>
      </c>
      <c r="D408" s="44">
        <v>6.0</v>
      </c>
      <c r="E408" s="50" t="s">
        <v>97</v>
      </c>
      <c r="F408" s="20" t="s">
        <v>134</v>
      </c>
      <c r="G408" s="20" t="s">
        <v>58</v>
      </c>
      <c r="H408" s="20"/>
      <c r="I408" s="32" t="s">
        <v>15</v>
      </c>
      <c r="J408" s="32" t="s">
        <v>63</v>
      </c>
      <c r="K408" s="51" t="s">
        <v>196</v>
      </c>
      <c r="L408" s="32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</row>
    <row r="409" ht="15.75" customHeight="1">
      <c r="A409" s="27"/>
      <c r="B409" s="16">
        <f t="shared" si="3"/>
        <v>45852</v>
      </c>
      <c r="C409" s="28">
        <v>45852.0</v>
      </c>
      <c r="D409" s="44">
        <v>7.0</v>
      </c>
      <c r="E409" s="50" t="s">
        <v>74</v>
      </c>
      <c r="F409" s="20" t="s">
        <v>134</v>
      </c>
      <c r="G409" s="20" t="s">
        <v>58</v>
      </c>
      <c r="H409" s="20"/>
      <c r="I409" s="32" t="s">
        <v>15</v>
      </c>
      <c r="J409" s="32" t="s">
        <v>63</v>
      </c>
      <c r="K409" s="51" t="s">
        <v>196</v>
      </c>
      <c r="L409" s="32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</row>
    <row r="410" ht="15.75" customHeight="1">
      <c r="A410" s="27"/>
      <c r="B410" s="16">
        <f t="shared" si="3"/>
        <v>45852</v>
      </c>
      <c r="C410" s="28">
        <v>45852.0</v>
      </c>
      <c r="D410" s="44">
        <v>8.0</v>
      </c>
      <c r="E410" s="50" t="s">
        <v>74</v>
      </c>
      <c r="F410" s="20" t="s">
        <v>134</v>
      </c>
      <c r="G410" s="20" t="s">
        <v>58</v>
      </c>
      <c r="H410" s="20"/>
      <c r="I410" s="32" t="s">
        <v>15</v>
      </c>
      <c r="J410" s="32" t="s">
        <v>63</v>
      </c>
      <c r="K410" s="51" t="s">
        <v>196</v>
      </c>
      <c r="L410" s="32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</row>
    <row r="411" ht="15.75" customHeight="1">
      <c r="A411" s="27"/>
      <c r="B411" s="16">
        <f t="shared" si="3"/>
        <v>45852</v>
      </c>
      <c r="C411" s="28">
        <v>45852.0</v>
      </c>
      <c r="D411" s="44">
        <v>1.0</v>
      </c>
      <c r="E411" s="50" t="s">
        <v>72</v>
      </c>
      <c r="F411" s="20" t="s">
        <v>134</v>
      </c>
      <c r="G411" s="78" t="s">
        <v>58</v>
      </c>
      <c r="H411" s="37"/>
      <c r="I411" s="32" t="s">
        <v>14</v>
      </c>
      <c r="J411" s="32" t="s">
        <v>84</v>
      </c>
      <c r="K411" s="51" t="s">
        <v>196</v>
      </c>
      <c r="L411" s="32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</row>
    <row r="412" ht="15.75" customHeight="1">
      <c r="A412" s="27"/>
      <c r="B412" s="16">
        <f t="shared" si="3"/>
        <v>45852</v>
      </c>
      <c r="C412" s="28">
        <v>45852.0</v>
      </c>
      <c r="D412" s="44">
        <v>2.0</v>
      </c>
      <c r="E412" s="50" t="s">
        <v>74</v>
      </c>
      <c r="F412" s="20" t="s">
        <v>134</v>
      </c>
      <c r="G412" s="20" t="s">
        <v>58</v>
      </c>
      <c r="H412" s="37"/>
      <c r="I412" s="32" t="s">
        <v>14</v>
      </c>
      <c r="J412" s="32" t="s">
        <v>84</v>
      </c>
      <c r="K412" s="51" t="s">
        <v>196</v>
      </c>
      <c r="L412" s="32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</row>
    <row r="413" ht="15.75" customHeight="1">
      <c r="A413" s="27"/>
      <c r="B413" s="16">
        <f t="shared" si="3"/>
        <v>45852</v>
      </c>
      <c r="C413" s="28">
        <v>45852.0</v>
      </c>
      <c r="D413" s="44">
        <v>3.0</v>
      </c>
      <c r="E413" s="50" t="s">
        <v>72</v>
      </c>
      <c r="F413" s="20" t="s">
        <v>134</v>
      </c>
      <c r="G413" s="20" t="s">
        <v>58</v>
      </c>
      <c r="H413" s="37"/>
      <c r="I413" s="32" t="s">
        <v>14</v>
      </c>
      <c r="J413" s="32" t="s">
        <v>84</v>
      </c>
      <c r="K413" s="51" t="s">
        <v>196</v>
      </c>
      <c r="L413" s="32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</row>
    <row r="414" ht="15.75" customHeight="1">
      <c r="A414" s="27"/>
      <c r="B414" s="16">
        <f t="shared" si="3"/>
        <v>45852</v>
      </c>
      <c r="C414" s="28">
        <v>45852.0</v>
      </c>
      <c r="D414" s="44">
        <v>1.0</v>
      </c>
      <c r="E414" s="50" t="s">
        <v>61</v>
      </c>
      <c r="F414" s="20" t="s">
        <v>127</v>
      </c>
      <c r="G414" s="20"/>
      <c r="H414" s="20"/>
      <c r="I414" s="32" t="s">
        <v>8</v>
      </c>
      <c r="J414" s="32" t="s">
        <v>70</v>
      </c>
      <c r="K414" s="51" t="s">
        <v>196</v>
      </c>
      <c r="L414" s="32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</row>
    <row r="415" ht="15.75" customHeight="1">
      <c r="A415" s="27"/>
      <c r="B415" s="16">
        <f t="shared" si="3"/>
        <v>45852</v>
      </c>
      <c r="C415" s="28">
        <v>45852.0</v>
      </c>
      <c r="D415" s="44">
        <v>2.0</v>
      </c>
      <c r="E415" s="50" t="s">
        <v>100</v>
      </c>
      <c r="F415" s="20" t="s">
        <v>147</v>
      </c>
      <c r="G415" s="20"/>
      <c r="H415" s="20"/>
      <c r="I415" s="32" t="s">
        <v>8</v>
      </c>
      <c r="J415" s="32" t="s">
        <v>70</v>
      </c>
      <c r="K415" s="51" t="s">
        <v>196</v>
      </c>
      <c r="L415" s="32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</row>
    <row r="416" ht="15.75" customHeight="1">
      <c r="A416" s="27"/>
      <c r="B416" s="16">
        <f t="shared" si="3"/>
        <v>45852</v>
      </c>
      <c r="C416" s="28">
        <v>45852.0</v>
      </c>
      <c r="D416" s="44">
        <v>3.0</v>
      </c>
      <c r="E416" s="50" t="s">
        <v>56</v>
      </c>
      <c r="F416" s="20" t="s">
        <v>73</v>
      </c>
      <c r="G416" s="20"/>
      <c r="H416" s="20"/>
      <c r="I416" s="32" t="s">
        <v>8</v>
      </c>
      <c r="J416" s="32" t="s">
        <v>70</v>
      </c>
      <c r="K416" s="51" t="s">
        <v>196</v>
      </c>
      <c r="L416" s="32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</row>
    <row r="417" ht="15.75" customHeight="1">
      <c r="A417" s="27"/>
      <c r="B417" s="16">
        <f t="shared" si="3"/>
        <v>45853</v>
      </c>
      <c r="C417" s="28">
        <v>45853.0</v>
      </c>
      <c r="D417" s="44">
        <v>1.0</v>
      </c>
      <c r="E417" s="50" t="s">
        <v>74</v>
      </c>
      <c r="F417" s="20" t="s">
        <v>73</v>
      </c>
      <c r="G417" s="20"/>
      <c r="H417" s="20"/>
      <c r="I417" s="32" t="s">
        <v>15</v>
      </c>
      <c r="J417" s="32" t="s">
        <v>63</v>
      </c>
      <c r="K417" s="51" t="s">
        <v>196</v>
      </c>
      <c r="L417" s="32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</row>
    <row r="418" ht="15.75" customHeight="1">
      <c r="A418" s="27"/>
      <c r="B418" s="16">
        <f t="shared" si="3"/>
        <v>45853</v>
      </c>
      <c r="C418" s="28">
        <v>45853.0</v>
      </c>
      <c r="D418" s="44">
        <v>2.0</v>
      </c>
      <c r="E418" s="50" t="s">
        <v>74</v>
      </c>
      <c r="F418" s="20" t="s">
        <v>98</v>
      </c>
      <c r="G418" s="20" t="s">
        <v>58</v>
      </c>
      <c r="H418" s="20"/>
      <c r="I418" s="32" t="s">
        <v>15</v>
      </c>
      <c r="J418" s="32" t="s">
        <v>63</v>
      </c>
      <c r="K418" s="51" t="s">
        <v>196</v>
      </c>
      <c r="L418" s="32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</row>
    <row r="419" ht="15.75" customHeight="1">
      <c r="A419" s="27"/>
      <c r="B419" s="16">
        <f t="shared" si="3"/>
        <v>45853</v>
      </c>
      <c r="C419" s="28">
        <v>45853.0</v>
      </c>
      <c r="D419" s="44">
        <v>3.0</v>
      </c>
      <c r="E419" s="50" t="s">
        <v>197</v>
      </c>
      <c r="F419" s="20" t="s">
        <v>102</v>
      </c>
      <c r="G419" s="20"/>
      <c r="H419" s="20"/>
      <c r="I419" s="32" t="s">
        <v>15</v>
      </c>
      <c r="J419" s="32" t="s">
        <v>63</v>
      </c>
      <c r="K419" s="51" t="s">
        <v>196</v>
      </c>
      <c r="L419" s="32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</row>
    <row r="420" ht="15.75" customHeight="1">
      <c r="A420" s="27"/>
      <c r="B420" s="16">
        <f t="shared" si="3"/>
        <v>45853</v>
      </c>
      <c r="C420" s="28">
        <v>45853.0</v>
      </c>
      <c r="D420" s="44">
        <v>4.0</v>
      </c>
      <c r="E420" s="50" t="s">
        <v>197</v>
      </c>
      <c r="F420" s="20" t="s">
        <v>81</v>
      </c>
      <c r="G420" s="20" t="s">
        <v>58</v>
      </c>
      <c r="H420" s="20"/>
      <c r="I420" s="32" t="s">
        <v>15</v>
      </c>
      <c r="J420" s="32" t="s">
        <v>63</v>
      </c>
      <c r="K420" s="51" t="s">
        <v>196</v>
      </c>
      <c r="L420" s="32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</row>
    <row r="421" ht="15.75" customHeight="1">
      <c r="A421" s="27"/>
      <c r="B421" s="16">
        <f t="shared" si="3"/>
        <v>45853</v>
      </c>
      <c r="C421" s="28">
        <v>45853.0</v>
      </c>
      <c r="D421" s="44">
        <v>5.0</v>
      </c>
      <c r="E421" s="50" t="s">
        <v>62</v>
      </c>
      <c r="F421" s="20" t="s">
        <v>147</v>
      </c>
      <c r="G421" s="20"/>
      <c r="H421" s="20"/>
      <c r="I421" s="32" t="s">
        <v>15</v>
      </c>
      <c r="J421" s="32" t="s">
        <v>63</v>
      </c>
      <c r="K421" s="51" t="s">
        <v>196</v>
      </c>
      <c r="L421" s="32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</row>
    <row r="422" ht="15.75" customHeight="1">
      <c r="A422" s="27"/>
      <c r="B422" s="16">
        <f t="shared" si="3"/>
        <v>45853</v>
      </c>
      <c r="C422" s="28">
        <v>45853.0</v>
      </c>
      <c r="D422" s="44">
        <v>6.0</v>
      </c>
      <c r="E422" s="50" t="s">
        <v>62</v>
      </c>
      <c r="F422" s="20" t="s">
        <v>134</v>
      </c>
      <c r="G422" s="20" t="s">
        <v>58</v>
      </c>
      <c r="H422" s="20"/>
      <c r="I422" s="32" t="s">
        <v>15</v>
      </c>
      <c r="J422" s="32" t="s">
        <v>63</v>
      </c>
      <c r="K422" s="51" t="s">
        <v>196</v>
      </c>
      <c r="L422" s="32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</row>
    <row r="423" ht="15.75" customHeight="1">
      <c r="A423" s="27"/>
      <c r="B423" s="16">
        <f t="shared" si="3"/>
        <v>45853</v>
      </c>
      <c r="C423" s="28">
        <v>45853.0</v>
      </c>
      <c r="D423" s="44">
        <v>7.0</v>
      </c>
      <c r="E423" s="50" t="s">
        <v>62</v>
      </c>
      <c r="F423" s="20" t="s">
        <v>103</v>
      </c>
      <c r="G423" s="20"/>
      <c r="H423" s="20"/>
      <c r="I423" s="32" t="s">
        <v>15</v>
      </c>
      <c r="J423" s="32" t="s">
        <v>63</v>
      </c>
      <c r="K423" s="51" t="s">
        <v>196</v>
      </c>
      <c r="L423" s="32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</row>
    <row r="424" ht="15.75" customHeight="1">
      <c r="A424" s="27"/>
      <c r="B424" s="16">
        <f t="shared" si="3"/>
        <v>45853</v>
      </c>
      <c r="C424" s="28">
        <v>45853.0</v>
      </c>
      <c r="D424" s="44">
        <v>8.0</v>
      </c>
      <c r="E424" s="50" t="s">
        <v>97</v>
      </c>
      <c r="F424" s="20" t="s">
        <v>79</v>
      </c>
      <c r="G424" s="20"/>
      <c r="H424" s="20"/>
      <c r="I424" s="32" t="s">
        <v>15</v>
      </c>
      <c r="J424" s="32" t="s">
        <v>63</v>
      </c>
      <c r="K424" s="51" t="s">
        <v>196</v>
      </c>
      <c r="L424" s="32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</row>
    <row r="425" ht="15.75" customHeight="1">
      <c r="A425" s="27"/>
      <c r="B425" s="16">
        <f t="shared" si="3"/>
        <v>45853</v>
      </c>
      <c r="C425" s="28">
        <v>45853.0</v>
      </c>
      <c r="D425" s="44">
        <v>5.0</v>
      </c>
      <c r="E425" s="50" t="s">
        <v>97</v>
      </c>
      <c r="F425" s="20" t="s">
        <v>134</v>
      </c>
      <c r="G425" s="20" t="s">
        <v>58</v>
      </c>
      <c r="H425" s="20"/>
      <c r="I425" s="32" t="s">
        <v>15</v>
      </c>
      <c r="J425" s="32" t="s">
        <v>117</v>
      </c>
      <c r="K425" s="51" t="s">
        <v>196</v>
      </c>
      <c r="L425" s="32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</row>
    <row r="426" ht="15.75" customHeight="1">
      <c r="A426" s="27"/>
      <c r="B426" s="16"/>
      <c r="C426" s="28"/>
      <c r="D426" s="44"/>
      <c r="E426" s="50"/>
      <c r="F426" s="20"/>
      <c r="G426" s="20"/>
      <c r="H426" s="20"/>
      <c r="I426" s="32"/>
      <c r="J426" s="32"/>
      <c r="K426" s="53"/>
      <c r="L426" s="32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</row>
    <row r="427" ht="15.75" customHeight="1">
      <c r="A427" s="27"/>
      <c r="B427" s="16">
        <f t="shared" ref="B427:B498" si="4">C427</f>
        <v>45853</v>
      </c>
      <c r="C427" s="28">
        <v>45853.0</v>
      </c>
      <c r="D427" s="44">
        <v>7.0</v>
      </c>
      <c r="E427" s="50" t="s">
        <v>69</v>
      </c>
      <c r="F427" s="20" t="s">
        <v>134</v>
      </c>
      <c r="G427" s="20" t="s">
        <v>58</v>
      </c>
      <c r="H427" s="20"/>
      <c r="I427" s="32" t="s">
        <v>15</v>
      </c>
      <c r="J427" s="32" t="s">
        <v>117</v>
      </c>
      <c r="K427" s="51" t="s">
        <v>196</v>
      </c>
      <c r="L427" s="32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</row>
    <row r="428" ht="15.75" customHeight="1">
      <c r="A428" s="27"/>
      <c r="B428" s="16">
        <f t="shared" si="4"/>
        <v>45853</v>
      </c>
      <c r="C428" s="28">
        <v>45853.0</v>
      </c>
      <c r="D428" s="44">
        <v>8.0</v>
      </c>
      <c r="E428" s="50" t="s">
        <v>76</v>
      </c>
      <c r="F428" s="20" t="s">
        <v>134</v>
      </c>
      <c r="G428" s="20" t="s">
        <v>58</v>
      </c>
      <c r="H428" s="20"/>
      <c r="I428" s="32" t="s">
        <v>15</v>
      </c>
      <c r="J428" s="32" t="s">
        <v>117</v>
      </c>
      <c r="K428" s="51" t="s">
        <v>196</v>
      </c>
      <c r="L428" s="32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</row>
    <row r="429" ht="15.75" customHeight="1">
      <c r="A429" s="27"/>
      <c r="B429" s="16">
        <f t="shared" si="4"/>
        <v>45853</v>
      </c>
      <c r="C429" s="28">
        <v>45853.0</v>
      </c>
      <c r="D429" s="44">
        <v>1.0</v>
      </c>
      <c r="E429" s="50" t="s">
        <v>65</v>
      </c>
      <c r="F429" s="20" t="s">
        <v>89</v>
      </c>
      <c r="G429" s="20"/>
      <c r="H429" s="20" t="s">
        <v>144</v>
      </c>
      <c r="I429" s="32" t="s">
        <v>8</v>
      </c>
      <c r="J429" s="32" t="s">
        <v>126</v>
      </c>
      <c r="K429" s="51" t="s">
        <v>196</v>
      </c>
      <c r="L429" s="32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</row>
    <row r="430" ht="15.75" customHeight="1">
      <c r="A430" s="27"/>
      <c r="B430" s="16">
        <f t="shared" si="4"/>
        <v>45853</v>
      </c>
      <c r="C430" s="28">
        <v>45853.0</v>
      </c>
      <c r="D430" s="44">
        <v>2.0</v>
      </c>
      <c r="E430" s="50" t="s">
        <v>76</v>
      </c>
      <c r="F430" s="20" t="s">
        <v>134</v>
      </c>
      <c r="G430" s="20"/>
      <c r="H430" s="20"/>
      <c r="I430" s="32" t="s">
        <v>8</v>
      </c>
      <c r="J430" s="32" t="s">
        <v>126</v>
      </c>
      <c r="K430" s="51" t="s">
        <v>196</v>
      </c>
      <c r="L430" s="32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</row>
    <row r="431" ht="15.75" customHeight="1">
      <c r="A431" s="27"/>
      <c r="B431" s="16">
        <f t="shared" si="4"/>
        <v>45853</v>
      </c>
      <c r="C431" s="28">
        <v>45853.0</v>
      </c>
      <c r="D431" s="44">
        <v>3.0</v>
      </c>
      <c r="E431" s="50" t="s">
        <v>198</v>
      </c>
      <c r="F431" s="20"/>
      <c r="G431" s="20"/>
      <c r="H431" s="20"/>
      <c r="I431" s="32" t="s">
        <v>8</v>
      </c>
      <c r="J431" s="32" t="s">
        <v>126</v>
      </c>
      <c r="K431" s="51" t="s">
        <v>196</v>
      </c>
      <c r="L431" s="32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</row>
    <row r="432" ht="15.75" customHeight="1">
      <c r="A432" s="27"/>
      <c r="B432" s="16">
        <f t="shared" si="4"/>
        <v>45853</v>
      </c>
      <c r="C432" s="28">
        <v>45853.0</v>
      </c>
      <c r="D432" s="44">
        <v>4.0</v>
      </c>
      <c r="E432" s="50" t="s">
        <v>69</v>
      </c>
      <c r="F432" s="20" t="s">
        <v>79</v>
      </c>
      <c r="G432" s="20"/>
      <c r="H432" s="20"/>
      <c r="I432" s="32" t="s">
        <v>8</v>
      </c>
      <c r="J432" s="32" t="s">
        <v>126</v>
      </c>
      <c r="K432" s="51" t="s">
        <v>196</v>
      </c>
      <c r="L432" s="32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</row>
    <row r="433" ht="15.75" customHeight="1">
      <c r="A433" s="27"/>
      <c r="B433" s="16">
        <f t="shared" si="4"/>
        <v>45854</v>
      </c>
      <c r="C433" s="28">
        <v>45854.0</v>
      </c>
      <c r="D433" s="44">
        <v>1.0</v>
      </c>
      <c r="E433" s="50" t="s">
        <v>97</v>
      </c>
      <c r="F433" s="20" t="s">
        <v>134</v>
      </c>
      <c r="G433" s="20" t="s">
        <v>58</v>
      </c>
      <c r="H433" s="20"/>
      <c r="I433" s="32" t="s">
        <v>15</v>
      </c>
      <c r="J433" s="32" t="s">
        <v>63</v>
      </c>
      <c r="K433" s="51" t="s">
        <v>196</v>
      </c>
      <c r="L433" s="32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</row>
    <row r="434">
      <c r="A434" s="95"/>
      <c r="B434" s="16">
        <f t="shared" si="4"/>
        <v>45854</v>
      </c>
      <c r="C434" s="28">
        <v>45854.0</v>
      </c>
      <c r="D434" s="44">
        <v>2.0</v>
      </c>
      <c r="E434" s="60" t="s">
        <v>97</v>
      </c>
      <c r="F434" s="20" t="s">
        <v>134</v>
      </c>
      <c r="G434" s="78" t="s">
        <v>58</v>
      </c>
      <c r="H434" s="20"/>
      <c r="I434" s="32" t="s">
        <v>15</v>
      </c>
      <c r="J434" s="32" t="s">
        <v>63</v>
      </c>
      <c r="K434" s="51" t="s">
        <v>196</v>
      </c>
      <c r="L434" s="95"/>
      <c r="M434" s="33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</row>
    <row r="435" ht="15.75" customHeight="1">
      <c r="A435" s="27"/>
      <c r="B435" s="16">
        <f t="shared" si="4"/>
        <v>45854</v>
      </c>
      <c r="C435" s="28">
        <v>45854.0</v>
      </c>
      <c r="D435" s="44">
        <v>3.0</v>
      </c>
      <c r="E435" s="50" t="s">
        <v>82</v>
      </c>
      <c r="F435" s="20" t="s">
        <v>99</v>
      </c>
      <c r="G435" s="20"/>
      <c r="H435" s="20"/>
      <c r="I435" s="32" t="s">
        <v>15</v>
      </c>
      <c r="J435" s="32" t="s">
        <v>87</v>
      </c>
      <c r="K435" s="51" t="s">
        <v>196</v>
      </c>
      <c r="L435" s="32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</row>
    <row r="436" ht="15.75" customHeight="1">
      <c r="A436" s="27"/>
      <c r="B436" s="16">
        <f t="shared" si="4"/>
        <v>45854</v>
      </c>
      <c r="C436" s="28">
        <v>45854.0</v>
      </c>
      <c r="D436" s="44">
        <v>4.0</v>
      </c>
      <c r="E436" s="50" t="s">
        <v>100</v>
      </c>
      <c r="F436" s="20" t="s">
        <v>134</v>
      </c>
      <c r="G436" s="20"/>
      <c r="H436" s="20"/>
      <c r="I436" s="32" t="s">
        <v>15</v>
      </c>
      <c r="J436" s="32" t="s">
        <v>87</v>
      </c>
      <c r="K436" s="51" t="s">
        <v>196</v>
      </c>
      <c r="L436" s="32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</row>
    <row r="437" ht="15.75" customHeight="1">
      <c r="A437" s="27"/>
      <c r="B437" s="16">
        <f t="shared" si="4"/>
        <v>45854</v>
      </c>
      <c r="C437" s="28">
        <v>45854.0</v>
      </c>
      <c r="D437" s="44">
        <v>3.0</v>
      </c>
      <c r="E437" s="50" t="s">
        <v>199</v>
      </c>
      <c r="F437" s="20" t="s">
        <v>134</v>
      </c>
      <c r="G437" s="20" t="s">
        <v>58</v>
      </c>
      <c r="H437" s="37"/>
      <c r="I437" s="32" t="s">
        <v>14</v>
      </c>
      <c r="J437" s="32" t="s">
        <v>84</v>
      </c>
      <c r="K437" s="51" t="s">
        <v>196</v>
      </c>
      <c r="L437" s="32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</row>
    <row r="438" ht="15.75" customHeight="1">
      <c r="A438" s="27"/>
      <c r="B438" s="16">
        <f t="shared" si="4"/>
        <v>45855</v>
      </c>
      <c r="C438" s="28">
        <v>45855.0</v>
      </c>
      <c r="D438" s="44"/>
      <c r="E438" s="50" t="s">
        <v>62</v>
      </c>
      <c r="F438" s="20"/>
      <c r="G438" s="20"/>
      <c r="H438" s="20"/>
      <c r="I438" s="32" t="s">
        <v>15</v>
      </c>
      <c r="J438" s="32" t="s">
        <v>63</v>
      </c>
      <c r="K438" s="51" t="s">
        <v>196</v>
      </c>
      <c r="L438" s="32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</row>
    <row r="439" ht="15.75" customHeight="1">
      <c r="A439" s="27"/>
      <c r="B439" s="16">
        <f t="shared" si="4"/>
        <v>45855</v>
      </c>
      <c r="C439" s="28">
        <v>45855.0</v>
      </c>
      <c r="D439" s="44"/>
      <c r="E439" s="50" t="s">
        <v>74</v>
      </c>
      <c r="F439" s="20"/>
      <c r="G439" s="20"/>
      <c r="H439" s="20"/>
      <c r="I439" s="32" t="s">
        <v>15</v>
      </c>
      <c r="J439" s="32" t="s">
        <v>63</v>
      </c>
      <c r="K439" s="51" t="s">
        <v>196</v>
      </c>
      <c r="L439" s="32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</row>
    <row r="440" ht="15.75" customHeight="1">
      <c r="A440" s="27"/>
      <c r="B440" s="16">
        <f t="shared" si="4"/>
        <v>45855</v>
      </c>
      <c r="C440" s="28">
        <v>45855.0</v>
      </c>
      <c r="D440" s="44"/>
      <c r="E440" s="50" t="s">
        <v>74</v>
      </c>
      <c r="F440" s="20"/>
      <c r="G440" s="20"/>
      <c r="H440" s="20"/>
      <c r="I440" s="32" t="s">
        <v>15</v>
      </c>
      <c r="J440" s="32" t="s">
        <v>63</v>
      </c>
      <c r="K440" s="51" t="s">
        <v>196</v>
      </c>
      <c r="L440" s="32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</row>
    <row r="441" ht="15.75" customHeight="1">
      <c r="A441" s="27"/>
      <c r="B441" s="16">
        <f t="shared" si="4"/>
        <v>45855</v>
      </c>
      <c r="C441" s="28">
        <v>45855.0</v>
      </c>
      <c r="D441" s="44"/>
      <c r="E441" s="50" t="s">
        <v>62</v>
      </c>
      <c r="F441" s="20" t="s">
        <v>126</v>
      </c>
      <c r="G441" s="20"/>
      <c r="H441" s="20"/>
      <c r="I441" s="32" t="s">
        <v>15</v>
      </c>
      <c r="J441" s="32" t="s">
        <v>63</v>
      </c>
      <c r="K441" s="51" t="s">
        <v>196</v>
      </c>
      <c r="L441" s="32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</row>
    <row r="442" ht="15.75" customHeight="1">
      <c r="A442" s="27"/>
      <c r="B442" s="16">
        <f t="shared" si="4"/>
        <v>45855</v>
      </c>
      <c r="C442" s="28">
        <v>45855.0</v>
      </c>
      <c r="D442" s="44"/>
      <c r="E442" s="50" t="s">
        <v>56</v>
      </c>
      <c r="F442" s="20" t="s">
        <v>102</v>
      </c>
      <c r="G442" s="20"/>
      <c r="H442" s="20"/>
      <c r="I442" s="32" t="s">
        <v>15</v>
      </c>
      <c r="J442" s="32" t="s">
        <v>63</v>
      </c>
      <c r="K442" s="51" t="s">
        <v>196</v>
      </c>
      <c r="L442" s="32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</row>
    <row r="443" ht="15.75" customHeight="1">
      <c r="A443" s="27"/>
      <c r="B443" s="16">
        <f t="shared" si="4"/>
        <v>45855</v>
      </c>
      <c r="C443" s="28">
        <v>45855.0</v>
      </c>
      <c r="D443" s="44"/>
      <c r="E443" s="50" t="s">
        <v>56</v>
      </c>
      <c r="F443" s="20" t="s">
        <v>102</v>
      </c>
      <c r="G443" s="20"/>
      <c r="H443" s="20"/>
      <c r="I443" s="32" t="s">
        <v>15</v>
      </c>
      <c r="J443" s="32" t="s">
        <v>63</v>
      </c>
      <c r="K443" s="51" t="s">
        <v>196</v>
      </c>
      <c r="L443" s="32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</row>
    <row r="444" ht="15.75" customHeight="1">
      <c r="A444" s="27"/>
      <c r="B444" s="16">
        <f t="shared" si="4"/>
        <v>45855</v>
      </c>
      <c r="C444" s="28">
        <v>45855.0</v>
      </c>
      <c r="D444" s="44"/>
      <c r="E444" s="50" t="s">
        <v>56</v>
      </c>
      <c r="F444" s="20" t="s">
        <v>102</v>
      </c>
      <c r="G444" s="20"/>
      <c r="H444" s="20"/>
      <c r="I444" s="32" t="s">
        <v>15</v>
      </c>
      <c r="J444" s="32" t="s">
        <v>63</v>
      </c>
      <c r="K444" s="51" t="s">
        <v>196</v>
      </c>
      <c r="L444" s="32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</row>
    <row r="445" ht="15.75" customHeight="1">
      <c r="A445" s="27"/>
      <c r="B445" s="16">
        <f t="shared" si="4"/>
        <v>45855</v>
      </c>
      <c r="C445" s="28">
        <v>45855.0</v>
      </c>
      <c r="D445" s="44"/>
      <c r="E445" s="50" t="s">
        <v>62</v>
      </c>
      <c r="F445" s="20" t="s">
        <v>134</v>
      </c>
      <c r="G445" s="20"/>
      <c r="H445" s="20"/>
      <c r="I445" s="32" t="s">
        <v>15</v>
      </c>
      <c r="J445" s="32" t="s">
        <v>63</v>
      </c>
      <c r="K445" s="51" t="s">
        <v>196</v>
      </c>
      <c r="L445" s="32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</row>
    <row r="446" ht="15.75" customHeight="1">
      <c r="A446" s="27"/>
      <c r="B446" s="16">
        <f t="shared" si="4"/>
        <v>45855</v>
      </c>
      <c r="C446" s="28">
        <v>45855.0</v>
      </c>
      <c r="D446" s="44">
        <v>3.0</v>
      </c>
      <c r="E446" s="50" t="s">
        <v>76</v>
      </c>
      <c r="F446" s="20" t="s">
        <v>134</v>
      </c>
      <c r="G446" s="20"/>
      <c r="H446" s="20"/>
      <c r="I446" s="32" t="s">
        <v>15</v>
      </c>
      <c r="J446" s="32" t="s">
        <v>117</v>
      </c>
      <c r="K446" s="51" t="s">
        <v>196</v>
      </c>
      <c r="L446" s="32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</row>
    <row r="447" ht="15.75" customHeight="1">
      <c r="A447" s="27"/>
      <c r="B447" s="16">
        <f t="shared" si="4"/>
        <v>45855</v>
      </c>
      <c r="C447" s="28">
        <v>45855.0</v>
      </c>
      <c r="D447" s="44">
        <v>4.0</v>
      </c>
      <c r="E447" s="50" t="s">
        <v>97</v>
      </c>
      <c r="F447" s="20" t="s">
        <v>134</v>
      </c>
      <c r="G447" s="20"/>
      <c r="H447" s="20"/>
      <c r="I447" s="32" t="s">
        <v>15</v>
      </c>
      <c r="J447" s="32" t="s">
        <v>117</v>
      </c>
      <c r="K447" s="51" t="s">
        <v>196</v>
      </c>
      <c r="L447" s="32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</row>
    <row r="448" ht="15.75" customHeight="1">
      <c r="A448" s="27"/>
      <c r="B448" s="16">
        <f t="shared" si="4"/>
        <v>45855</v>
      </c>
      <c r="C448" s="28">
        <v>45855.0</v>
      </c>
      <c r="D448" s="44">
        <v>7.0</v>
      </c>
      <c r="E448" s="50" t="s">
        <v>69</v>
      </c>
      <c r="F448" s="20" t="s">
        <v>134</v>
      </c>
      <c r="G448" s="20"/>
      <c r="H448" s="20"/>
      <c r="I448" s="32" t="s">
        <v>15</v>
      </c>
      <c r="J448" s="32" t="s">
        <v>117</v>
      </c>
      <c r="K448" s="51" t="s">
        <v>196</v>
      </c>
      <c r="L448" s="32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</row>
    <row r="449" ht="15.75" customHeight="1">
      <c r="A449" s="27"/>
      <c r="B449" s="16">
        <f t="shared" si="4"/>
        <v>45856</v>
      </c>
      <c r="C449" s="28">
        <v>45856.0</v>
      </c>
      <c r="D449" s="44">
        <v>1.0</v>
      </c>
      <c r="E449" s="50" t="s">
        <v>65</v>
      </c>
      <c r="F449" s="20" t="s">
        <v>134</v>
      </c>
      <c r="G449" s="20"/>
      <c r="H449" s="20"/>
      <c r="I449" s="32" t="s">
        <v>15</v>
      </c>
      <c r="J449" s="32" t="s">
        <v>87</v>
      </c>
      <c r="K449" s="51" t="s">
        <v>196</v>
      </c>
      <c r="L449" s="32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</row>
    <row r="450" ht="15.75" customHeight="1">
      <c r="A450" s="27"/>
      <c r="B450" s="16">
        <f t="shared" si="4"/>
        <v>45856</v>
      </c>
      <c r="C450" s="28">
        <v>45856.0</v>
      </c>
      <c r="D450" s="44">
        <v>2.0</v>
      </c>
      <c r="E450" s="50" t="s">
        <v>100</v>
      </c>
      <c r="F450" s="20" t="s">
        <v>134</v>
      </c>
      <c r="G450" s="20"/>
      <c r="H450" s="20"/>
      <c r="I450" s="32" t="s">
        <v>15</v>
      </c>
      <c r="J450" s="32" t="s">
        <v>87</v>
      </c>
      <c r="K450" s="51" t="s">
        <v>196</v>
      </c>
      <c r="L450" s="32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</row>
    <row r="451" ht="15.75" customHeight="1">
      <c r="A451" s="27"/>
      <c r="B451" s="16">
        <f t="shared" si="4"/>
        <v>45856</v>
      </c>
      <c r="C451" s="28">
        <v>45856.0</v>
      </c>
      <c r="D451" s="44">
        <v>3.0</v>
      </c>
      <c r="E451" s="50" t="s">
        <v>65</v>
      </c>
      <c r="F451" s="20" t="s">
        <v>134</v>
      </c>
      <c r="G451" s="20"/>
      <c r="H451" s="20"/>
      <c r="I451" s="32" t="s">
        <v>15</v>
      </c>
      <c r="J451" s="32" t="s">
        <v>87</v>
      </c>
      <c r="K451" s="51" t="s">
        <v>196</v>
      </c>
      <c r="L451" s="32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</row>
    <row r="452" ht="15.75" customHeight="1">
      <c r="A452" s="27"/>
      <c r="B452" s="16">
        <f t="shared" si="4"/>
        <v>45856</v>
      </c>
      <c r="C452" s="28">
        <v>45856.0</v>
      </c>
      <c r="D452" s="44">
        <v>4.0</v>
      </c>
      <c r="E452" s="50" t="s">
        <v>82</v>
      </c>
      <c r="F452" s="20" t="s">
        <v>134</v>
      </c>
      <c r="G452" s="20"/>
      <c r="H452" s="20"/>
      <c r="I452" s="32" t="s">
        <v>15</v>
      </c>
      <c r="J452" s="32" t="s">
        <v>87</v>
      </c>
      <c r="K452" s="51" t="s">
        <v>196</v>
      </c>
      <c r="L452" s="32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</row>
    <row r="453" ht="15.75" customHeight="1">
      <c r="A453" s="27"/>
      <c r="B453" s="16">
        <f t="shared" si="4"/>
        <v>45856</v>
      </c>
      <c r="C453" s="28">
        <v>45856.0</v>
      </c>
      <c r="D453" s="44">
        <v>1.0</v>
      </c>
      <c r="E453" s="50" t="s">
        <v>74</v>
      </c>
      <c r="F453" s="20" t="s">
        <v>146</v>
      </c>
      <c r="G453" s="20"/>
      <c r="H453" s="20" t="s">
        <v>192</v>
      </c>
      <c r="I453" s="32"/>
      <c r="J453" s="32" t="s">
        <v>200</v>
      </c>
      <c r="K453" s="51" t="s">
        <v>196</v>
      </c>
      <c r="L453" s="32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</row>
    <row r="454" ht="15.75" customHeight="1">
      <c r="A454" s="27"/>
      <c r="B454" s="16">
        <f t="shared" si="4"/>
        <v>45856</v>
      </c>
      <c r="C454" s="28">
        <v>45856.0</v>
      </c>
      <c r="D454" s="44">
        <v>2.0</v>
      </c>
      <c r="E454" s="50" t="s">
        <v>62</v>
      </c>
      <c r="F454" s="20" t="s">
        <v>59</v>
      </c>
      <c r="G454" s="20"/>
      <c r="H454" s="20" t="s">
        <v>192</v>
      </c>
      <c r="I454" s="32"/>
      <c r="J454" s="32" t="s">
        <v>200</v>
      </c>
      <c r="K454" s="51" t="s">
        <v>196</v>
      </c>
      <c r="L454" s="32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</row>
    <row r="455" ht="15.75" customHeight="1">
      <c r="A455" s="27"/>
      <c r="B455" s="16">
        <f t="shared" si="4"/>
        <v>45856</v>
      </c>
      <c r="C455" s="28">
        <v>45856.0</v>
      </c>
      <c r="D455" s="44">
        <v>3.0</v>
      </c>
      <c r="E455" s="50" t="s">
        <v>82</v>
      </c>
      <c r="F455" s="20" t="s">
        <v>99</v>
      </c>
      <c r="G455" s="20"/>
      <c r="H455" s="20" t="s">
        <v>192</v>
      </c>
      <c r="I455" s="32"/>
      <c r="J455" s="32" t="s">
        <v>200</v>
      </c>
      <c r="K455" s="51" t="s">
        <v>196</v>
      </c>
      <c r="L455" s="32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</row>
    <row r="456" ht="15.75" customHeight="1">
      <c r="A456" s="27"/>
      <c r="B456" s="16">
        <f t="shared" si="4"/>
        <v>45856</v>
      </c>
      <c r="C456" s="28">
        <v>45856.0</v>
      </c>
      <c r="D456" s="44">
        <v>4.0</v>
      </c>
      <c r="E456" s="50" t="s">
        <v>61</v>
      </c>
      <c r="F456" s="20" t="s">
        <v>112</v>
      </c>
      <c r="G456" s="20"/>
      <c r="H456" s="20" t="s">
        <v>192</v>
      </c>
      <c r="I456" s="32"/>
      <c r="J456" s="32" t="s">
        <v>200</v>
      </c>
      <c r="K456" s="51" t="s">
        <v>196</v>
      </c>
      <c r="L456" s="32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</row>
    <row r="457" ht="15.75" customHeight="1">
      <c r="A457" s="27"/>
      <c r="B457" s="16">
        <f t="shared" si="4"/>
        <v>45856</v>
      </c>
      <c r="C457" s="28">
        <v>45856.0</v>
      </c>
      <c r="D457" s="44">
        <v>7.0</v>
      </c>
      <c r="E457" s="50" t="s">
        <v>82</v>
      </c>
      <c r="F457" s="20" t="s">
        <v>66</v>
      </c>
      <c r="G457" s="20"/>
      <c r="H457" s="20" t="s">
        <v>192</v>
      </c>
      <c r="I457" s="32"/>
      <c r="J457" s="32" t="s">
        <v>200</v>
      </c>
      <c r="K457" s="51" t="s">
        <v>196</v>
      </c>
      <c r="L457" s="32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</row>
    <row r="458" ht="15.75" customHeight="1">
      <c r="A458" s="27"/>
      <c r="B458" s="16">
        <f t="shared" si="4"/>
        <v>45873</v>
      </c>
      <c r="C458" s="28">
        <v>45873.0</v>
      </c>
      <c r="D458" s="44">
        <v>1.0</v>
      </c>
      <c r="E458" s="50" t="s">
        <v>62</v>
      </c>
      <c r="F458" s="20" t="s">
        <v>63</v>
      </c>
      <c r="G458" s="20"/>
      <c r="H458" s="20"/>
      <c r="I458" s="32" t="s">
        <v>14</v>
      </c>
      <c r="J458" s="32" t="s">
        <v>201</v>
      </c>
      <c r="K458" s="51" t="s">
        <v>202</v>
      </c>
      <c r="L458" s="32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</row>
    <row r="459" ht="15.75" customHeight="1">
      <c r="A459" s="27"/>
      <c r="B459" s="16">
        <f t="shared" si="4"/>
        <v>45873</v>
      </c>
      <c r="C459" s="28">
        <v>45873.0</v>
      </c>
      <c r="D459" s="44">
        <v>2.0</v>
      </c>
      <c r="E459" s="50" t="s">
        <v>62</v>
      </c>
      <c r="F459" s="20" t="s">
        <v>63</v>
      </c>
      <c r="G459" s="20"/>
      <c r="H459" s="20"/>
      <c r="I459" s="32" t="s">
        <v>14</v>
      </c>
      <c r="J459" s="32" t="s">
        <v>201</v>
      </c>
      <c r="K459" s="51" t="s">
        <v>202</v>
      </c>
      <c r="L459" s="32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</row>
    <row r="460" ht="15.75" customHeight="1">
      <c r="A460" s="27"/>
      <c r="B460" s="16">
        <f t="shared" si="4"/>
        <v>45873</v>
      </c>
      <c r="C460" s="28">
        <v>45873.0</v>
      </c>
      <c r="D460" s="44">
        <v>3.0</v>
      </c>
      <c r="E460" s="50" t="s">
        <v>62</v>
      </c>
      <c r="F460" s="20" t="s">
        <v>63</v>
      </c>
      <c r="G460" s="20"/>
      <c r="H460" s="20"/>
      <c r="I460" s="32" t="s">
        <v>14</v>
      </c>
      <c r="J460" s="32" t="s">
        <v>201</v>
      </c>
      <c r="K460" s="51" t="s">
        <v>202</v>
      </c>
      <c r="L460" s="32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</row>
    <row r="461" ht="15.75" customHeight="1">
      <c r="A461" s="27"/>
      <c r="B461" s="16">
        <f t="shared" si="4"/>
        <v>45873</v>
      </c>
      <c r="C461" s="28">
        <v>45873.0</v>
      </c>
      <c r="D461" s="44">
        <v>4.0</v>
      </c>
      <c r="E461" s="50" t="s">
        <v>64</v>
      </c>
      <c r="F461" s="20" t="s">
        <v>63</v>
      </c>
      <c r="G461" s="20"/>
      <c r="H461" s="20"/>
      <c r="I461" s="32" t="s">
        <v>14</v>
      </c>
      <c r="J461" s="32" t="s">
        <v>201</v>
      </c>
      <c r="K461" s="51" t="s">
        <v>202</v>
      </c>
      <c r="L461" s="32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</row>
    <row r="462" ht="15.75" customHeight="1">
      <c r="A462" s="27"/>
      <c r="B462" s="16">
        <f t="shared" si="4"/>
        <v>45873</v>
      </c>
      <c r="C462" s="28">
        <v>45873.0</v>
      </c>
      <c r="D462" s="44">
        <v>5.0</v>
      </c>
      <c r="E462" s="50" t="s">
        <v>64</v>
      </c>
      <c r="F462" s="20" t="s">
        <v>63</v>
      </c>
      <c r="G462" s="20"/>
      <c r="H462" s="20"/>
      <c r="I462" s="32" t="s">
        <v>14</v>
      </c>
      <c r="J462" s="32" t="s">
        <v>201</v>
      </c>
      <c r="K462" s="51" t="s">
        <v>202</v>
      </c>
      <c r="L462" s="32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</row>
    <row r="463" ht="15.75" customHeight="1">
      <c r="A463" s="27"/>
      <c r="B463" s="16">
        <f t="shared" si="4"/>
        <v>45873</v>
      </c>
      <c r="C463" s="28">
        <v>45873.0</v>
      </c>
      <c r="D463" s="44">
        <v>6.0</v>
      </c>
      <c r="E463" s="50" t="s">
        <v>100</v>
      </c>
      <c r="F463" s="20" t="s">
        <v>203</v>
      </c>
      <c r="G463" s="20"/>
      <c r="H463" s="20"/>
      <c r="I463" s="32" t="s">
        <v>14</v>
      </c>
      <c r="J463" s="32" t="s">
        <v>201</v>
      </c>
      <c r="K463" s="51" t="s">
        <v>202</v>
      </c>
      <c r="L463" s="32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</row>
    <row r="464" ht="15.75" customHeight="1">
      <c r="A464" s="27"/>
      <c r="B464" s="16">
        <f t="shared" si="4"/>
        <v>45873</v>
      </c>
      <c r="C464" s="28">
        <v>45873.0</v>
      </c>
      <c r="D464" s="44">
        <v>7.0</v>
      </c>
      <c r="E464" s="50"/>
      <c r="F464" s="20"/>
      <c r="G464" s="20"/>
      <c r="H464" s="20"/>
      <c r="I464" s="32" t="s">
        <v>14</v>
      </c>
      <c r="J464" s="32" t="s">
        <v>201</v>
      </c>
      <c r="K464" s="51" t="s">
        <v>202</v>
      </c>
      <c r="L464" s="32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</row>
    <row r="465" ht="15.75" customHeight="1">
      <c r="A465" s="27"/>
      <c r="B465" s="16">
        <f t="shared" si="4"/>
        <v>45873</v>
      </c>
      <c r="C465" s="28">
        <v>45873.0</v>
      </c>
      <c r="D465" s="44">
        <v>8.0</v>
      </c>
      <c r="E465" s="50" t="s">
        <v>100</v>
      </c>
      <c r="F465" s="20" t="s">
        <v>99</v>
      </c>
      <c r="G465" s="20"/>
      <c r="H465" s="20"/>
      <c r="I465" s="32" t="s">
        <v>14</v>
      </c>
      <c r="J465" s="32" t="s">
        <v>201</v>
      </c>
      <c r="K465" s="51" t="s">
        <v>202</v>
      </c>
      <c r="L465" s="32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</row>
    <row r="466" ht="15.75" customHeight="1">
      <c r="A466" s="27"/>
      <c r="B466" s="16">
        <f t="shared" si="4"/>
        <v>45873</v>
      </c>
      <c r="C466" s="28">
        <v>45873.0</v>
      </c>
      <c r="D466" s="44">
        <v>2.0</v>
      </c>
      <c r="E466" s="50">
        <v>50.0</v>
      </c>
      <c r="F466" s="20" t="s">
        <v>73</v>
      </c>
      <c r="G466" s="20"/>
      <c r="H466" s="20"/>
      <c r="I466" s="32" t="s">
        <v>15</v>
      </c>
      <c r="J466" s="32" t="s">
        <v>59</v>
      </c>
      <c r="K466" s="51" t="s">
        <v>202</v>
      </c>
      <c r="L466" s="32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</row>
    <row r="467" ht="15.75" customHeight="1">
      <c r="A467" s="27"/>
      <c r="B467" s="16">
        <f t="shared" si="4"/>
        <v>45874</v>
      </c>
      <c r="C467" s="28">
        <v>45874.0</v>
      </c>
      <c r="D467" s="44">
        <v>5.0</v>
      </c>
      <c r="E467" s="50" t="s">
        <v>97</v>
      </c>
      <c r="F467" s="20" t="s">
        <v>112</v>
      </c>
      <c r="G467" s="20"/>
      <c r="H467" s="20"/>
      <c r="I467" s="32" t="s">
        <v>15</v>
      </c>
      <c r="J467" s="32" t="s">
        <v>117</v>
      </c>
      <c r="K467" s="96" t="s">
        <v>202</v>
      </c>
      <c r="L467" s="32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</row>
    <row r="468" ht="15.75" customHeight="1">
      <c r="A468" s="27"/>
      <c r="B468" s="16">
        <f t="shared" si="4"/>
        <v>45874</v>
      </c>
      <c r="C468" s="28">
        <v>45874.0</v>
      </c>
      <c r="D468" s="44">
        <v>6.0</v>
      </c>
      <c r="E468" s="50"/>
      <c r="F468" s="20"/>
      <c r="G468" s="20"/>
      <c r="H468" s="20"/>
      <c r="I468" s="32" t="s">
        <v>15</v>
      </c>
      <c r="J468" s="32" t="s">
        <v>117</v>
      </c>
      <c r="K468" s="51" t="s">
        <v>202</v>
      </c>
      <c r="L468" s="32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</row>
    <row r="469" ht="15.75" customHeight="1">
      <c r="A469" s="27"/>
      <c r="B469" s="16">
        <f t="shared" si="4"/>
        <v>45874</v>
      </c>
      <c r="C469" s="28">
        <v>45874.0</v>
      </c>
      <c r="D469" s="44">
        <v>7.0</v>
      </c>
      <c r="E469" s="50" t="s">
        <v>76</v>
      </c>
      <c r="F469" s="20" t="s">
        <v>84</v>
      </c>
      <c r="G469" s="20"/>
      <c r="H469" s="20"/>
      <c r="I469" s="32" t="s">
        <v>15</v>
      </c>
      <c r="J469" s="32" t="s">
        <v>117</v>
      </c>
      <c r="K469" s="96" t="s">
        <v>202</v>
      </c>
      <c r="L469" s="32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</row>
    <row r="470" ht="15.75" customHeight="1">
      <c r="A470" s="27"/>
      <c r="B470" s="16">
        <f t="shared" si="4"/>
        <v>45874</v>
      </c>
      <c r="C470" s="28">
        <v>45874.0</v>
      </c>
      <c r="D470" s="44">
        <v>8.0</v>
      </c>
      <c r="E470" s="50" t="s">
        <v>69</v>
      </c>
      <c r="F470" s="20" t="s">
        <v>84</v>
      </c>
      <c r="G470" s="20"/>
      <c r="H470" s="20"/>
      <c r="I470" s="32" t="s">
        <v>15</v>
      </c>
      <c r="J470" s="32" t="s">
        <v>117</v>
      </c>
      <c r="K470" s="51" t="s">
        <v>202</v>
      </c>
      <c r="L470" s="32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</row>
    <row r="471" ht="15.75" customHeight="1">
      <c r="A471" s="27"/>
      <c r="B471" s="97">
        <f t="shared" si="4"/>
        <v>45874</v>
      </c>
      <c r="C471" s="98">
        <v>45874.0</v>
      </c>
      <c r="D471" s="44">
        <v>3.0</v>
      </c>
      <c r="E471" s="50" t="s">
        <v>82</v>
      </c>
      <c r="F471" s="20" t="s">
        <v>112</v>
      </c>
      <c r="G471" s="20"/>
      <c r="H471" s="20"/>
      <c r="I471" s="32" t="s">
        <v>15</v>
      </c>
      <c r="J471" s="32" t="s">
        <v>87</v>
      </c>
      <c r="K471" s="96" t="s">
        <v>202</v>
      </c>
      <c r="L471" s="32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</row>
    <row r="472" ht="15.75" customHeight="1">
      <c r="A472" s="27"/>
      <c r="B472" s="97">
        <f t="shared" si="4"/>
        <v>45874</v>
      </c>
      <c r="C472" s="98">
        <v>45874.0</v>
      </c>
      <c r="D472" s="44">
        <v>4.0</v>
      </c>
      <c r="E472" s="50" t="s">
        <v>100</v>
      </c>
      <c r="F472" s="20" t="s">
        <v>84</v>
      </c>
      <c r="G472" s="20"/>
      <c r="H472" s="20"/>
      <c r="I472" s="32" t="s">
        <v>15</v>
      </c>
      <c r="J472" s="32" t="s">
        <v>87</v>
      </c>
      <c r="K472" s="51" t="s">
        <v>202</v>
      </c>
      <c r="L472" s="32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</row>
    <row r="473" ht="15.75" customHeight="1">
      <c r="A473" s="27"/>
      <c r="B473" s="97">
        <f t="shared" si="4"/>
        <v>45874</v>
      </c>
      <c r="C473" s="98">
        <v>45874.0</v>
      </c>
      <c r="D473" s="44">
        <v>1.0</v>
      </c>
      <c r="E473" s="50" t="s">
        <v>62</v>
      </c>
      <c r="F473" s="20"/>
      <c r="G473" s="20"/>
      <c r="H473" s="20"/>
      <c r="I473" s="32" t="s">
        <v>15</v>
      </c>
      <c r="J473" s="32" t="s">
        <v>87</v>
      </c>
      <c r="K473" s="96" t="s">
        <v>202</v>
      </c>
      <c r="L473" s="32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</row>
    <row r="474" ht="15.75" customHeight="1">
      <c r="A474" s="27"/>
      <c r="B474" s="97">
        <f t="shared" si="4"/>
        <v>45874</v>
      </c>
      <c r="C474" s="98">
        <v>45874.0</v>
      </c>
      <c r="D474" s="44">
        <v>2.0</v>
      </c>
      <c r="E474" s="50" t="s">
        <v>56</v>
      </c>
      <c r="F474" s="20"/>
      <c r="G474" s="20"/>
      <c r="H474" s="84"/>
      <c r="I474" s="40" t="s">
        <v>15</v>
      </c>
      <c r="J474" s="32" t="s">
        <v>59</v>
      </c>
      <c r="K474" s="51" t="s">
        <v>202</v>
      </c>
      <c r="L474" s="32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</row>
    <row r="475" ht="15.75" customHeight="1">
      <c r="A475" s="27"/>
      <c r="B475" s="97">
        <f t="shared" si="4"/>
        <v>45874</v>
      </c>
      <c r="C475" s="98">
        <v>45874.0</v>
      </c>
      <c r="D475" s="50">
        <v>3.0</v>
      </c>
      <c r="E475" s="50" t="s">
        <v>56</v>
      </c>
      <c r="F475" s="20" t="s">
        <v>63</v>
      </c>
      <c r="G475" s="20" t="s">
        <v>58</v>
      </c>
      <c r="H475" s="99"/>
      <c r="I475" s="87" t="s">
        <v>15</v>
      </c>
      <c r="J475" s="32" t="s">
        <v>59</v>
      </c>
      <c r="K475" s="96" t="s">
        <v>202</v>
      </c>
      <c r="L475" s="32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</row>
    <row r="476" ht="15.75" customHeight="1">
      <c r="A476" s="27"/>
      <c r="B476" s="97">
        <f t="shared" si="4"/>
        <v>45874</v>
      </c>
      <c r="C476" s="98">
        <v>45874.0</v>
      </c>
      <c r="D476" s="50">
        <v>4.0</v>
      </c>
      <c r="E476" s="50" t="s">
        <v>64</v>
      </c>
      <c r="F476" s="20" t="s">
        <v>63</v>
      </c>
      <c r="G476" s="20" t="s">
        <v>58</v>
      </c>
      <c r="H476" s="84"/>
      <c r="I476" s="40" t="s">
        <v>15</v>
      </c>
      <c r="J476" s="32" t="s">
        <v>59</v>
      </c>
      <c r="K476" s="51" t="s">
        <v>202</v>
      </c>
      <c r="L476" s="32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</row>
    <row r="477" ht="15.75" customHeight="1">
      <c r="A477" s="27"/>
      <c r="B477" s="97">
        <f t="shared" si="4"/>
        <v>45874</v>
      </c>
      <c r="C477" s="98">
        <v>45874.0</v>
      </c>
      <c r="D477" s="44">
        <v>5.0</v>
      </c>
      <c r="E477" s="50" t="s">
        <v>64</v>
      </c>
      <c r="F477" s="20" t="s">
        <v>63</v>
      </c>
      <c r="G477" s="20" t="s">
        <v>58</v>
      </c>
      <c r="H477" s="99"/>
      <c r="I477" s="87" t="s">
        <v>15</v>
      </c>
      <c r="J477" s="32" t="s">
        <v>59</v>
      </c>
      <c r="K477" s="96" t="s">
        <v>202</v>
      </c>
      <c r="L477" s="32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</row>
    <row r="478" ht="15.75" customHeight="1">
      <c r="A478" s="27"/>
      <c r="B478" s="97">
        <f t="shared" si="4"/>
        <v>45874</v>
      </c>
      <c r="C478" s="98">
        <v>45874.0</v>
      </c>
      <c r="D478" s="44">
        <v>6.0</v>
      </c>
      <c r="E478" s="50" t="s">
        <v>62</v>
      </c>
      <c r="F478" s="20" t="s">
        <v>63</v>
      </c>
      <c r="G478" s="20" t="s">
        <v>58</v>
      </c>
      <c r="H478" s="84"/>
      <c r="I478" s="40" t="s">
        <v>15</v>
      </c>
      <c r="J478" s="32" t="s">
        <v>59</v>
      </c>
      <c r="K478" s="51" t="s">
        <v>202</v>
      </c>
      <c r="L478" s="32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</row>
    <row r="479" ht="15.75" customHeight="1">
      <c r="A479" s="27"/>
      <c r="B479" s="97">
        <f t="shared" si="4"/>
        <v>45880</v>
      </c>
      <c r="C479" s="98">
        <v>45880.0</v>
      </c>
      <c r="D479" s="44">
        <v>1.0</v>
      </c>
      <c r="E479" s="50" t="s">
        <v>82</v>
      </c>
      <c r="F479" s="100" t="s">
        <v>147</v>
      </c>
      <c r="G479" s="100"/>
      <c r="H479" s="99"/>
      <c r="I479" s="101" t="s">
        <v>6</v>
      </c>
      <c r="J479" s="102" t="s">
        <v>67</v>
      </c>
      <c r="K479" s="103" t="s">
        <v>204</v>
      </c>
      <c r="L479" s="32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</row>
    <row r="480" ht="15.75" customHeight="1">
      <c r="A480" s="27"/>
      <c r="B480" s="97">
        <f t="shared" si="4"/>
        <v>45880</v>
      </c>
      <c r="C480" s="98">
        <v>45880.0</v>
      </c>
      <c r="D480" s="44">
        <v>2.0</v>
      </c>
      <c r="E480" s="50" t="s">
        <v>76</v>
      </c>
      <c r="F480" s="20" t="s">
        <v>147</v>
      </c>
      <c r="G480" s="20"/>
      <c r="H480" s="84"/>
      <c r="I480" s="39" t="s">
        <v>6</v>
      </c>
      <c r="J480" s="32" t="s">
        <v>67</v>
      </c>
      <c r="K480" s="104" t="s">
        <v>204</v>
      </c>
      <c r="L480" s="32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</row>
    <row r="481" ht="15.75" customHeight="1">
      <c r="A481" s="27"/>
      <c r="B481" s="97">
        <f t="shared" si="4"/>
        <v>45880</v>
      </c>
      <c r="C481" s="98">
        <v>45880.0</v>
      </c>
      <c r="D481" s="44">
        <v>3.0</v>
      </c>
      <c r="E481" s="50" t="s">
        <v>82</v>
      </c>
      <c r="F481" s="100" t="s">
        <v>147</v>
      </c>
      <c r="G481" s="100"/>
      <c r="H481" s="99"/>
      <c r="I481" s="101" t="s">
        <v>6</v>
      </c>
      <c r="J481" s="102" t="s">
        <v>67</v>
      </c>
      <c r="K481" s="103" t="s">
        <v>204</v>
      </c>
      <c r="L481" s="32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</row>
    <row r="482" ht="15.75" customHeight="1">
      <c r="A482" s="27"/>
      <c r="B482" s="97">
        <f t="shared" si="4"/>
        <v>45880</v>
      </c>
      <c r="C482" s="98">
        <v>45880.0</v>
      </c>
      <c r="D482" s="44">
        <v>4.0</v>
      </c>
      <c r="E482" s="50" t="s">
        <v>82</v>
      </c>
      <c r="F482" s="20" t="s">
        <v>84</v>
      </c>
      <c r="G482" s="20"/>
      <c r="H482" s="84"/>
      <c r="I482" s="39" t="s">
        <v>6</v>
      </c>
      <c r="J482" s="32" t="s">
        <v>67</v>
      </c>
      <c r="K482" s="104" t="s">
        <v>204</v>
      </c>
      <c r="L482" s="32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</row>
    <row r="483" ht="15.75" customHeight="1">
      <c r="A483" s="27"/>
      <c r="B483" s="97">
        <f t="shared" si="4"/>
        <v>45880</v>
      </c>
      <c r="C483" s="98">
        <v>45880.0</v>
      </c>
      <c r="D483" s="44">
        <v>5.0</v>
      </c>
      <c r="E483" s="50" t="s">
        <v>76</v>
      </c>
      <c r="F483" s="100" t="s">
        <v>126</v>
      </c>
      <c r="G483" s="100"/>
      <c r="H483" s="99"/>
      <c r="I483" s="101" t="s">
        <v>6</v>
      </c>
      <c r="J483" s="102" t="s">
        <v>67</v>
      </c>
      <c r="K483" s="103" t="s">
        <v>204</v>
      </c>
      <c r="L483" s="32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</row>
    <row r="484" ht="15.75" customHeight="1">
      <c r="A484" s="27"/>
      <c r="B484" s="97">
        <f t="shared" si="4"/>
        <v>45880</v>
      </c>
      <c r="C484" s="98">
        <v>45880.0</v>
      </c>
      <c r="D484" s="44">
        <v>6.0</v>
      </c>
      <c r="E484" s="50" t="s">
        <v>82</v>
      </c>
      <c r="F484" s="20" t="s">
        <v>66</v>
      </c>
      <c r="G484" s="20"/>
      <c r="H484" s="84"/>
      <c r="I484" s="39" t="s">
        <v>6</v>
      </c>
      <c r="J484" s="32" t="s">
        <v>67</v>
      </c>
      <c r="K484" s="104" t="s">
        <v>204</v>
      </c>
      <c r="L484" s="32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</row>
    <row r="485" ht="15.75" customHeight="1">
      <c r="A485" s="27"/>
      <c r="B485" s="97">
        <f t="shared" si="4"/>
        <v>45881</v>
      </c>
      <c r="C485" s="98">
        <v>45881.0</v>
      </c>
      <c r="D485" s="44">
        <v>1.0</v>
      </c>
      <c r="E485" s="44" t="s">
        <v>76</v>
      </c>
      <c r="F485" s="100" t="s">
        <v>81</v>
      </c>
      <c r="G485" s="100" t="s">
        <v>58</v>
      </c>
      <c r="H485" s="99"/>
      <c r="I485" s="101" t="s">
        <v>6</v>
      </c>
      <c r="J485" s="102" t="s">
        <v>67</v>
      </c>
      <c r="K485" s="103" t="s">
        <v>204</v>
      </c>
      <c r="L485" s="32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</row>
    <row r="486" ht="15.75" customHeight="1">
      <c r="A486" s="27"/>
      <c r="B486" s="97">
        <f t="shared" si="4"/>
        <v>45881</v>
      </c>
      <c r="C486" s="98">
        <v>45881.0</v>
      </c>
      <c r="D486" s="44">
        <v>2.0</v>
      </c>
      <c r="E486" s="44" t="s">
        <v>65</v>
      </c>
      <c r="F486" s="20" t="s">
        <v>129</v>
      </c>
      <c r="G486" s="20"/>
      <c r="H486" s="84"/>
      <c r="I486" s="39" t="s">
        <v>6</v>
      </c>
      <c r="J486" s="32" t="s">
        <v>67</v>
      </c>
      <c r="K486" s="104" t="s">
        <v>204</v>
      </c>
      <c r="L486" s="32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</row>
    <row r="487" ht="15.75" customHeight="1">
      <c r="A487" s="27"/>
      <c r="B487" s="97">
        <f t="shared" si="4"/>
        <v>45881</v>
      </c>
      <c r="C487" s="98">
        <v>45881.0</v>
      </c>
      <c r="D487" s="44">
        <v>5.0</v>
      </c>
      <c r="E487" s="44" t="s">
        <v>82</v>
      </c>
      <c r="F487" s="100" t="s">
        <v>66</v>
      </c>
      <c r="G487" s="100"/>
      <c r="H487" s="99"/>
      <c r="I487" s="101" t="s">
        <v>6</v>
      </c>
      <c r="J487" s="102" t="s">
        <v>67</v>
      </c>
      <c r="K487" s="103" t="s">
        <v>204</v>
      </c>
      <c r="L487" s="32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</row>
    <row r="488" ht="15.75" customHeight="1">
      <c r="A488" s="27"/>
      <c r="B488" s="97">
        <f t="shared" si="4"/>
        <v>45881</v>
      </c>
      <c r="C488" s="98">
        <v>45881.0</v>
      </c>
      <c r="D488" s="44">
        <v>6.0</v>
      </c>
      <c r="E488" s="44" t="s">
        <v>65</v>
      </c>
      <c r="F488" s="20" t="s">
        <v>147</v>
      </c>
      <c r="G488" s="20"/>
      <c r="H488" s="84"/>
      <c r="I488" s="39" t="s">
        <v>6</v>
      </c>
      <c r="J488" s="32" t="s">
        <v>67</v>
      </c>
      <c r="K488" s="104" t="s">
        <v>204</v>
      </c>
      <c r="L488" s="32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</row>
    <row r="489" ht="15.75" customHeight="1">
      <c r="A489" s="27"/>
      <c r="B489" s="97">
        <f t="shared" si="4"/>
        <v>45882</v>
      </c>
      <c r="C489" s="98">
        <v>45882.0</v>
      </c>
      <c r="D489" s="44"/>
      <c r="E489" s="50" t="s">
        <v>56</v>
      </c>
      <c r="F489" s="100" t="s">
        <v>73</v>
      </c>
      <c r="G489" s="100"/>
      <c r="H489" s="99"/>
      <c r="I489" s="101" t="s">
        <v>7</v>
      </c>
      <c r="J489" s="102" t="s">
        <v>107</v>
      </c>
      <c r="K489" s="103" t="s">
        <v>204</v>
      </c>
      <c r="L489" s="32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</row>
    <row r="490" ht="15.75" customHeight="1">
      <c r="A490" s="27"/>
      <c r="B490" s="97">
        <f t="shared" si="4"/>
        <v>45882</v>
      </c>
      <c r="C490" s="98">
        <v>45882.0</v>
      </c>
      <c r="D490" s="44"/>
      <c r="E490" s="50" t="s">
        <v>61</v>
      </c>
      <c r="F490" s="20" t="s">
        <v>141</v>
      </c>
      <c r="G490" s="20"/>
      <c r="H490" s="84"/>
      <c r="I490" s="39" t="s">
        <v>7</v>
      </c>
      <c r="J490" s="32" t="s">
        <v>107</v>
      </c>
      <c r="K490" s="104" t="s">
        <v>204</v>
      </c>
      <c r="L490" s="32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</row>
    <row r="491" ht="15.75" customHeight="1">
      <c r="A491" s="27"/>
      <c r="B491" s="97">
        <f t="shared" si="4"/>
        <v>45883</v>
      </c>
      <c r="C491" s="98">
        <v>45883.0</v>
      </c>
      <c r="D491" s="44">
        <v>1.0</v>
      </c>
      <c r="E491" s="50" t="s">
        <v>205</v>
      </c>
      <c r="F491" s="100" t="s">
        <v>84</v>
      </c>
      <c r="G491" s="105"/>
      <c r="H491" s="99"/>
      <c r="I491" s="101" t="s">
        <v>15</v>
      </c>
      <c r="J491" s="102" t="s">
        <v>86</v>
      </c>
      <c r="K491" s="103" t="s">
        <v>204</v>
      </c>
      <c r="L491" s="32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</row>
    <row r="492" ht="15.75" customHeight="1">
      <c r="A492" s="27"/>
      <c r="B492" s="97">
        <f t="shared" si="4"/>
        <v>45883</v>
      </c>
      <c r="C492" s="98">
        <v>45883.0</v>
      </c>
      <c r="D492" s="44">
        <v>3.0</v>
      </c>
      <c r="E492" s="50" t="s">
        <v>205</v>
      </c>
      <c r="F492" s="20" t="s">
        <v>134</v>
      </c>
      <c r="G492" s="20" t="s">
        <v>58</v>
      </c>
      <c r="H492" s="84"/>
      <c r="I492" s="39" t="s">
        <v>15</v>
      </c>
      <c r="J492" s="32" t="s">
        <v>86</v>
      </c>
      <c r="K492" s="104" t="s">
        <v>204</v>
      </c>
      <c r="L492" s="32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</row>
    <row r="493" ht="15.75" customHeight="1">
      <c r="A493" s="27"/>
      <c r="B493" s="97">
        <f t="shared" si="4"/>
        <v>45883</v>
      </c>
      <c r="C493" s="98">
        <v>45883.0</v>
      </c>
      <c r="D493" s="44">
        <v>5.0</v>
      </c>
      <c r="E493" s="50" t="s">
        <v>206</v>
      </c>
      <c r="F493" s="100" t="s">
        <v>117</v>
      </c>
      <c r="G493" s="100" t="s">
        <v>58</v>
      </c>
      <c r="H493" s="99"/>
      <c r="I493" s="101" t="s">
        <v>15</v>
      </c>
      <c r="J493" s="102" t="s">
        <v>86</v>
      </c>
      <c r="K493" s="103" t="s">
        <v>204</v>
      </c>
      <c r="L493" s="32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</row>
    <row r="494" ht="15.75" customHeight="1">
      <c r="A494" s="27"/>
      <c r="B494" s="97">
        <f t="shared" si="4"/>
        <v>45883</v>
      </c>
      <c r="C494" s="98">
        <v>45883.0</v>
      </c>
      <c r="D494" s="44">
        <v>6.0</v>
      </c>
      <c r="E494" s="50" t="s">
        <v>206</v>
      </c>
      <c r="F494" s="20" t="s">
        <v>117</v>
      </c>
      <c r="G494" s="20" t="s">
        <v>58</v>
      </c>
      <c r="H494" s="84"/>
      <c r="I494" s="39" t="s">
        <v>15</v>
      </c>
      <c r="J494" s="32" t="s">
        <v>86</v>
      </c>
      <c r="K494" s="104" t="s">
        <v>204</v>
      </c>
      <c r="L494" s="32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</row>
    <row r="495" ht="15.75" customHeight="1">
      <c r="A495" s="27"/>
      <c r="B495" s="97">
        <f t="shared" si="4"/>
        <v>45887</v>
      </c>
      <c r="C495" s="98">
        <v>45887.0</v>
      </c>
      <c r="D495" s="44">
        <v>7.0</v>
      </c>
      <c r="E495" s="50" t="s">
        <v>65</v>
      </c>
      <c r="F495" s="100" t="s">
        <v>66</v>
      </c>
      <c r="G495" s="100"/>
      <c r="H495" s="99"/>
      <c r="I495" s="101" t="s">
        <v>6</v>
      </c>
      <c r="J495" s="102" t="s">
        <v>81</v>
      </c>
      <c r="K495" s="103" t="s">
        <v>207</v>
      </c>
      <c r="L495" s="32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</row>
    <row r="496" ht="15.75" customHeight="1">
      <c r="A496" s="27"/>
      <c r="B496" s="97">
        <f t="shared" si="4"/>
        <v>45887</v>
      </c>
      <c r="C496" s="98">
        <v>45887.0</v>
      </c>
      <c r="D496" s="44">
        <v>8.0</v>
      </c>
      <c r="E496" s="50" t="s">
        <v>64</v>
      </c>
      <c r="F496" s="20" t="s">
        <v>66</v>
      </c>
      <c r="G496" s="20"/>
      <c r="H496" s="84"/>
      <c r="I496" s="39" t="s">
        <v>6</v>
      </c>
      <c r="J496" s="32" t="s">
        <v>81</v>
      </c>
      <c r="K496" s="104" t="s">
        <v>207</v>
      </c>
      <c r="L496" s="32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</row>
    <row r="497" ht="15.75" customHeight="1">
      <c r="A497" s="27"/>
      <c r="B497" s="97">
        <f t="shared" si="4"/>
        <v>45887</v>
      </c>
      <c r="C497" s="98">
        <v>45887.0</v>
      </c>
      <c r="D497" s="44">
        <v>3.0</v>
      </c>
      <c r="E497" s="50" t="s">
        <v>76</v>
      </c>
      <c r="F497" s="100" t="s">
        <v>59</v>
      </c>
      <c r="G497" s="100" t="s">
        <v>58</v>
      </c>
      <c r="H497" s="99"/>
      <c r="I497" s="101" t="s">
        <v>6</v>
      </c>
      <c r="J497" s="102" t="s">
        <v>141</v>
      </c>
      <c r="K497" s="103" t="s">
        <v>207</v>
      </c>
      <c r="L497" s="32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</row>
    <row r="498" ht="15.75" customHeight="1">
      <c r="A498" s="27"/>
      <c r="B498" s="97">
        <f t="shared" si="4"/>
        <v>45887</v>
      </c>
      <c r="C498" s="98">
        <v>45887.0</v>
      </c>
      <c r="D498" s="44">
        <v>4.0</v>
      </c>
      <c r="E498" s="50" t="s">
        <v>61</v>
      </c>
      <c r="F498" s="20" t="s">
        <v>59</v>
      </c>
      <c r="G498" s="20" t="s">
        <v>58</v>
      </c>
      <c r="H498" s="84"/>
      <c r="I498" s="39" t="s">
        <v>6</v>
      </c>
      <c r="J498" s="32" t="s">
        <v>141</v>
      </c>
      <c r="K498" s="104" t="s">
        <v>207</v>
      </c>
      <c r="L498" s="32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</row>
    <row r="499" ht="15.75" customHeight="1">
      <c r="A499" s="27"/>
      <c r="B499" s="97"/>
      <c r="C499" s="98"/>
      <c r="D499" s="44"/>
      <c r="E499" s="50"/>
      <c r="F499" s="100"/>
      <c r="G499" s="100"/>
      <c r="H499" s="99"/>
      <c r="I499" s="101" t="s">
        <v>6</v>
      </c>
      <c r="J499" s="102" t="s">
        <v>141</v>
      </c>
      <c r="K499" s="103"/>
      <c r="L499" s="32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</row>
    <row r="500" ht="15.75" customHeight="1">
      <c r="A500" s="27"/>
      <c r="B500" s="97">
        <f t="shared" ref="B500:B563" si="5">C500</f>
        <v>45887</v>
      </c>
      <c r="C500" s="98">
        <v>45887.0</v>
      </c>
      <c r="D500" s="44">
        <v>5.0</v>
      </c>
      <c r="E500" s="50" t="s">
        <v>65</v>
      </c>
      <c r="F500" s="20" t="s">
        <v>126</v>
      </c>
      <c r="G500" s="20"/>
      <c r="H500" s="84"/>
      <c r="I500" s="39" t="s">
        <v>6</v>
      </c>
      <c r="J500" s="32" t="s">
        <v>141</v>
      </c>
      <c r="K500" s="104" t="s">
        <v>207</v>
      </c>
      <c r="L500" s="32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</row>
    <row r="501" ht="15.75" customHeight="1">
      <c r="A501" s="27"/>
      <c r="B501" s="97">
        <f t="shared" si="5"/>
        <v>45887</v>
      </c>
      <c r="C501" s="98">
        <v>45887.0</v>
      </c>
      <c r="D501" s="44">
        <v>6.0</v>
      </c>
      <c r="E501" s="50" t="s">
        <v>56</v>
      </c>
      <c r="F501" s="100" t="s">
        <v>203</v>
      </c>
      <c r="G501" s="100" t="s">
        <v>58</v>
      </c>
      <c r="H501" s="99"/>
      <c r="I501" s="101" t="s">
        <v>6</v>
      </c>
      <c r="J501" s="102" t="s">
        <v>141</v>
      </c>
      <c r="K501" s="103" t="s">
        <v>207</v>
      </c>
      <c r="L501" s="32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</row>
    <row r="502" ht="15.75" customHeight="1">
      <c r="A502" s="27"/>
      <c r="B502" s="97">
        <f t="shared" si="5"/>
        <v>45887</v>
      </c>
      <c r="C502" s="98">
        <v>45887.0</v>
      </c>
      <c r="D502" s="44">
        <v>7.0</v>
      </c>
      <c r="E502" s="50" t="s">
        <v>69</v>
      </c>
      <c r="F502" s="20" t="s">
        <v>67</v>
      </c>
      <c r="G502" s="20"/>
      <c r="H502" s="84"/>
      <c r="I502" s="39" t="s">
        <v>6</v>
      </c>
      <c r="J502" s="32" t="s">
        <v>141</v>
      </c>
      <c r="K502" s="104" t="s">
        <v>207</v>
      </c>
      <c r="L502" s="32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</row>
    <row r="503" ht="15.75" customHeight="1">
      <c r="A503" s="27"/>
      <c r="B503" s="97">
        <f t="shared" si="5"/>
        <v>45889</v>
      </c>
      <c r="C503" s="98">
        <v>45889.0</v>
      </c>
      <c r="D503" s="44">
        <v>1.0</v>
      </c>
      <c r="E503" s="50" t="s">
        <v>72</v>
      </c>
      <c r="F503" s="100" t="s">
        <v>73</v>
      </c>
      <c r="G503" s="100"/>
      <c r="H503" s="99"/>
      <c r="I503" s="101" t="s">
        <v>8</v>
      </c>
      <c r="J503" s="102" t="s">
        <v>131</v>
      </c>
      <c r="K503" s="103" t="s">
        <v>207</v>
      </c>
      <c r="L503" s="32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</row>
    <row r="504" ht="15.75" customHeight="1">
      <c r="A504" s="27"/>
      <c r="B504" s="97">
        <f t="shared" si="5"/>
        <v>45889</v>
      </c>
      <c r="C504" s="98">
        <v>45889.0</v>
      </c>
      <c r="D504" s="44">
        <v>2.0</v>
      </c>
      <c r="E504" s="50" t="s">
        <v>74</v>
      </c>
      <c r="F504" s="20" t="s">
        <v>70</v>
      </c>
      <c r="G504" s="20"/>
      <c r="H504" s="84"/>
      <c r="I504" s="39" t="s">
        <v>8</v>
      </c>
      <c r="J504" s="32" t="s">
        <v>131</v>
      </c>
      <c r="K504" s="104" t="s">
        <v>207</v>
      </c>
      <c r="L504" s="32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</row>
    <row r="505" ht="15.75" customHeight="1">
      <c r="A505" s="27"/>
      <c r="B505" s="97">
        <f t="shared" si="5"/>
        <v>45889</v>
      </c>
      <c r="C505" s="98">
        <v>45889.0</v>
      </c>
      <c r="D505" s="44">
        <v>3.0</v>
      </c>
      <c r="E505" s="50" t="s">
        <v>61</v>
      </c>
      <c r="F505" s="100" t="s">
        <v>121</v>
      </c>
      <c r="G505" s="100"/>
      <c r="H505" s="99"/>
      <c r="I505" s="101" t="s">
        <v>8</v>
      </c>
      <c r="J505" s="102" t="s">
        <v>131</v>
      </c>
      <c r="K505" s="103" t="s">
        <v>207</v>
      </c>
      <c r="L505" s="32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</row>
    <row r="506" ht="15.75" customHeight="1">
      <c r="A506" s="27"/>
      <c r="B506" s="97">
        <f t="shared" si="5"/>
        <v>45889</v>
      </c>
      <c r="C506" s="98">
        <v>45889.0</v>
      </c>
      <c r="D506" s="44">
        <v>4.0</v>
      </c>
      <c r="E506" s="50" t="s">
        <v>56</v>
      </c>
      <c r="F506" s="20" t="s">
        <v>59</v>
      </c>
      <c r="G506" s="20"/>
      <c r="H506" s="84"/>
      <c r="I506" s="39" t="s">
        <v>8</v>
      </c>
      <c r="J506" s="32" t="s">
        <v>131</v>
      </c>
      <c r="K506" s="104" t="s">
        <v>207</v>
      </c>
      <c r="L506" s="32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</row>
    <row r="507" ht="15.75" customHeight="1">
      <c r="A507" s="27"/>
      <c r="B507" s="97">
        <f t="shared" si="5"/>
        <v>45890</v>
      </c>
      <c r="C507" s="98">
        <v>45890.0</v>
      </c>
      <c r="D507" s="44">
        <v>1.0</v>
      </c>
      <c r="E507" s="50" t="s">
        <v>205</v>
      </c>
      <c r="F507" s="100" t="s">
        <v>84</v>
      </c>
      <c r="G507" s="100"/>
      <c r="H507" s="99"/>
      <c r="I507" s="101" t="s">
        <v>7</v>
      </c>
      <c r="J507" s="102" t="s">
        <v>86</v>
      </c>
      <c r="K507" s="103" t="s">
        <v>207</v>
      </c>
      <c r="L507" s="32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</row>
    <row r="508" ht="15.75" customHeight="1">
      <c r="A508" s="27"/>
      <c r="B508" s="97">
        <f t="shared" si="5"/>
        <v>45890</v>
      </c>
      <c r="C508" s="98">
        <v>45890.0</v>
      </c>
      <c r="D508" s="44">
        <v>2.0</v>
      </c>
      <c r="E508" s="50"/>
      <c r="F508" s="20"/>
      <c r="G508" s="20"/>
      <c r="H508" s="84"/>
      <c r="I508" s="39" t="s">
        <v>7</v>
      </c>
      <c r="J508" s="32" t="s">
        <v>86</v>
      </c>
      <c r="K508" s="104" t="s">
        <v>207</v>
      </c>
      <c r="L508" s="32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</row>
    <row r="509" ht="15.75" customHeight="1">
      <c r="A509" s="27"/>
      <c r="B509" s="97">
        <f t="shared" si="5"/>
        <v>45890</v>
      </c>
      <c r="C509" s="98">
        <v>45890.0</v>
      </c>
      <c r="D509" s="44">
        <v>3.0</v>
      </c>
      <c r="E509" s="50" t="s">
        <v>205</v>
      </c>
      <c r="F509" s="100" t="s">
        <v>134</v>
      </c>
      <c r="G509" s="100" t="s">
        <v>58</v>
      </c>
      <c r="H509" s="99"/>
      <c r="I509" s="101" t="s">
        <v>7</v>
      </c>
      <c r="J509" s="102" t="s">
        <v>86</v>
      </c>
      <c r="K509" s="103" t="s">
        <v>207</v>
      </c>
      <c r="L509" s="32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</row>
    <row r="510" ht="15.75" customHeight="1">
      <c r="A510" s="27"/>
      <c r="B510" s="97">
        <f t="shared" si="5"/>
        <v>45890</v>
      </c>
      <c r="C510" s="98">
        <v>45890.0</v>
      </c>
      <c r="D510" s="44">
        <v>3.0</v>
      </c>
      <c r="E510" s="50" t="s">
        <v>76</v>
      </c>
      <c r="F510" s="20" t="s">
        <v>98</v>
      </c>
      <c r="G510" s="20" t="s">
        <v>58</v>
      </c>
      <c r="H510" s="84"/>
      <c r="I510" s="39" t="s">
        <v>151</v>
      </c>
      <c r="J510" s="32" t="s">
        <v>117</v>
      </c>
      <c r="K510" s="104" t="s">
        <v>207</v>
      </c>
      <c r="L510" s="32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</row>
    <row r="511" ht="15.75" customHeight="1">
      <c r="A511" s="27"/>
      <c r="B511" s="97">
        <f t="shared" si="5"/>
        <v>45890</v>
      </c>
      <c r="C511" s="98">
        <v>45890.0</v>
      </c>
      <c r="D511" s="44">
        <v>4.0</v>
      </c>
      <c r="E511" s="50" t="s">
        <v>97</v>
      </c>
      <c r="F511" s="100" t="s">
        <v>134</v>
      </c>
      <c r="G511" s="100" t="s">
        <v>58</v>
      </c>
      <c r="H511" s="99"/>
      <c r="I511" s="101" t="s">
        <v>151</v>
      </c>
      <c r="J511" s="102" t="s">
        <v>117</v>
      </c>
      <c r="K511" s="103" t="s">
        <v>207</v>
      </c>
      <c r="L511" s="32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</row>
    <row r="512" ht="15.75" customHeight="1">
      <c r="A512" s="27"/>
      <c r="B512" s="97">
        <f t="shared" si="5"/>
        <v>45890</v>
      </c>
      <c r="C512" s="98">
        <v>45890.0</v>
      </c>
      <c r="D512" s="44">
        <v>1.0</v>
      </c>
      <c r="E512" s="50" t="s">
        <v>74</v>
      </c>
      <c r="F512" s="20" t="s">
        <v>107</v>
      </c>
      <c r="G512" s="20"/>
      <c r="H512" s="84"/>
      <c r="I512" s="39" t="s">
        <v>4</v>
      </c>
      <c r="J512" s="32" t="s">
        <v>105</v>
      </c>
      <c r="K512" s="104" t="s">
        <v>207</v>
      </c>
      <c r="L512" s="32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</row>
    <row r="513" ht="15.75" customHeight="1">
      <c r="A513" s="27"/>
      <c r="B513" s="97">
        <f t="shared" si="5"/>
        <v>45890</v>
      </c>
      <c r="C513" s="98">
        <v>45890.0</v>
      </c>
      <c r="D513" s="44">
        <v>4.0</v>
      </c>
      <c r="E513" s="50" t="s">
        <v>72</v>
      </c>
      <c r="F513" s="100" t="s">
        <v>110</v>
      </c>
      <c r="G513" s="100"/>
      <c r="H513" s="99"/>
      <c r="I513" s="101" t="s">
        <v>4</v>
      </c>
      <c r="J513" s="102" t="s">
        <v>105</v>
      </c>
      <c r="K513" s="103" t="s">
        <v>207</v>
      </c>
      <c r="L513" s="32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</row>
    <row r="514" ht="15.75" customHeight="1">
      <c r="A514" s="27"/>
      <c r="B514" s="97">
        <f t="shared" si="5"/>
        <v>45890</v>
      </c>
      <c r="C514" s="98">
        <v>45890.0</v>
      </c>
      <c r="D514" s="44">
        <v>1.0</v>
      </c>
      <c r="E514" s="50" t="s">
        <v>56</v>
      </c>
      <c r="F514" s="20" t="s">
        <v>67</v>
      </c>
      <c r="G514" s="20"/>
      <c r="H514" s="84"/>
      <c r="I514" s="39" t="s">
        <v>6</v>
      </c>
      <c r="J514" s="32" t="s">
        <v>70</v>
      </c>
      <c r="K514" s="104" t="s">
        <v>207</v>
      </c>
      <c r="L514" s="32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</row>
    <row r="515" ht="15.75" customHeight="1">
      <c r="A515" s="27"/>
      <c r="B515" s="97">
        <f t="shared" si="5"/>
        <v>45890</v>
      </c>
      <c r="C515" s="98">
        <v>45890.0</v>
      </c>
      <c r="D515" s="44">
        <v>2.0</v>
      </c>
      <c r="E515" s="50" t="s">
        <v>65</v>
      </c>
      <c r="F515" s="100" t="s">
        <v>66</v>
      </c>
      <c r="G515" s="100"/>
      <c r="H515" s="99"/>
      <c r="I515" s="101" t="s">
        <v>6</v>
      </c>
      <c r="J515" s="102" t="s">
        <v>70</v>
      </c>
      <c r="K515" s="103" t="s">
        <v>207</v>
      </c>
      <c r="L515" s="32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</row>
    <row r="516" ht="15.75" customHeight="1">
      <c r="A516" s="27"/>
      <c r="B516" s="97">
        <f t="shared" si="5"/>
        <v>45890</v>
      </c>
      <c r="C516" s="98">
        <v>45890.0</v>
      </c>
      <c r="D516" s="44">
        <v>3.0</v>
      </c>
      <c r="E516" s="50" t="s">
        <v>61</v>
      </c>
      <c r="F516" s="20" t="s">
        <v>67</v>
      </c>
      <c r="G516" s="20"/>
      <c r="H516" s="84"/>
      <c r="I516" s="39" t="s">
        <v>6</v>
      </c>
      <c r="J516" s="32" t="s">
        <v>70</v>
      </c>
      <c r="K516" s="104" t="s">
        <v>207</v>
      </c>
      <c r="L516" s="32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</row>
    <row r="517" ht="15.75" customHeight="1">
      <c r="A517" s="27"/>
      <c r="B517" s="97">
        <f t="shared" si="5"/>
        <v>45890</v>
      </c>
      <c r="C517" s="98">
        <v>45890.0</v>
      </c>
      <c r="D517" s="44">
        <v>4.0</v>
      </c>
      <c r="E517" s="50" t="s">
        <v>82</v>
      </c>
      <c r="F517" s="100" t="s">
        <v>126</v>
      </c>
      <c r="G517" s="100"/>
      <c r="H517" s="99"/>
      <c r="I517" s="101" t="s">
        <v>6</v>
      </c>
      <c r="J517" s="102" t="s">
        <v>70</v>
      </c>
      <c r="K517" s="103" t="s">
        <v>207</v>
      </c>
      <c r="L517" s="32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</row>
    <row r="518" ht="15.75" customHeight="1">
      <c r="A518" s="27"/>
      <c r="B518" s="97">
        <f t="shared" si="5"/>
        <v>45890</v>
      </c>
      <c r="C518" s="98">
        <v>45890.0</v>
      </c>
      <c r="D518" s="44">
        <v>5.0</v>
      </c>
      <c r="E518" s="50" t="s">
        <v>76</v>
      </c>
      <c r="F518" s="20" t="s">
        <v>66</v>
      </c>
      <c r="G518" s="20"/>
      <c r="H518" s="84"/>
      <c r="I518" s="39" t="s">
        <v>6</v>
      </c>
      <c r="J518" s="32" t="s">
        <v>70</v>
      </c>
      <c r="K518" s="104" t="s">
        <v>207</v>
      </c>
      <c r="L518" s="32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</row>
    <row r="519" ht="15.75" customHeight="1">
      <c r="A519" s="27"/>
      <c r="B519" s="97">
        <f t="shared" si="5"/>
        <v>45890</v>
      </c>
      <c r="C519" s="98">
        <v>45890.0</v>
      </c>
      <c r="D519" s="44">
        <v>8.0</v>
      </c>
      <c r="E519" s="50" t="s">
        <v>97</v>
      </c>
      <c r="F519" s="100" t="s">
        <v>77</v>
      </c>
      <c r="G519" s="100"/>
      <c r="H519" s="99"/>
      <c r="I519" s="101" t="s">
        <v>6</v>
      </c>
      <c r="J519" s="102" t="s">
        <v>70</v>
      </c>
      <c r="K519" s="103" t="s">
        <v>207</v>
      </c>
      <c r="L519" s="32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</row>
    <row r="520" ht="15.75" customHeight="1">
      <c r="A520" s="27"/>
      <c r="B520" s="97">
        <f t="shared" si="5"/>
        <v>45894</v>
      </c>
      <c r="C520" s="98">
        <v>45894.0</v>
      </c>
      <c r="D520" s="44">
        <v>1.0</v>
      </c>
      <c r="E520" s="50" t="s">
        <v>56</v>
      </c>
      <c r="F520" s="20" t="s">
        <v>84</v>
      </c>
      <c r="G520" s="20"/>
      <c r="H520" s="84"/>
      <c r="I520" s="39" t="s">
        <v>14</v>
      </c>
      <c r="J520" s="32" t="s">
        <v>107</v>
      </c>
      <c r="K520" s="104" t="s">
        <v>208</v>
      </c>
      <c r="L520" s="32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</row>
    <row r="521" ht="15.75" customHeight="1">
      <c r="A521" s="27"/>
      <c r="B521" s="97">
        <f t="shared" si="5"/>
        <v>45894</v>
      </c>
      <c r="C521" s="98">
        <v>45894.0</v>
      </c>
      <c r="D521" s="44">
        <v>2.0</v>
      </c>
      <c r="E521" s="50" t="s">
        <v>56</v>
      </c>
      <c r="F521" s="100" t="s">
        <v>84</v>
      </c>
      <c r="G521" s="100"/>
      <c r="H521" s="99"/>
      <c r="I521" s="101" t="s">
        <v>14</v>
      </c>
      <c r="J521" s="102" t="s">
        <v>107</v>
      </c>
      <c r="K521" s="103" t="s">
        <v>208</v>
      </c>
      <c r="L521" s="32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</row>
    <row r="522" ht="15.75" customHeight="1">
      <c r="A522" s="27"/>
      <c r="B522" s="97">
        <f t="shared" si="5"/>
        <v>45894</v>
      </c>
      <c r="C522" s="98">
        <v>45894.0</v>
      </c>
      <c r="D522" s="44">
        <v>3.0</v>
      </c>
      <c r="E522" s="50" t="s">
        <v>61</v>
      </c>
      <c r="F522" s="20" t="s">
        <v>98</v>
      </c>
      <c r="G522" s="20"/>
      <c r="H522" s="84"/>
      <c r="I522" s="39" t="s">
        <v>14</v>
      </c>
      <c r="J522" s="32" t="s">
        <v>107</v>
      </c>
      <c r="K522" s="104" t="s">
        <v>208</v>
      </c>
      <c r="L522" s="32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</row>
    <row r="523" ht="15.75" customHeight="1">
      <c r="A523" s="27"/>
      <c r="B523" s="97">
        <f t="shared" si="5"/>
        <v>45894</v>
      </c>
      <c r="C523" s="98">
        <v>45894.0</v>
      </c>
      <c r="D523" s="44">
        <v>4.0</v>
      </c>
      <c r="E523" s="50" t="s">
        <v>74</v>
      </c>
      <c r="F523" s="100"/>
      <c r="G523" s="100"/>
      <c r="H523" s="99"/>
      <c r="I523" s="101" t="s">
        <v>14</v>
      </c>
      <c r="J523" s="102" t="s">
        <v>107</v>
      </c>
      <c r="K523" s="103" t="s">
        <v>208</v>
      </c>
      <c r="L523" s="32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</row>
    <row r="524" ht="15.75" customHeight="1">
      <c r="A524" s="27"/>
      <c r="B524" s="97">
        <f t="shared" si="5"/>
        <v>45894</v>
      </c>
      <c r="C524" s="98">
        <v>45894.0</v>
      </c>
      <c r="D524" s="44">
        <v>7.0</v>
      </c>
      <c r="E524" s="50" t="s">
        <v>61</v>
      </c>
      <c r="F524" s="20" t="s">
        <v>63</v>
      </c>
      <c r="G524" s="20"/>
      <c r="H524" s="84"/>
      <c r="I524" s="39" t="s">
        <v>14</v>
      </c>
      <c r="J524" s="32" t="s">
        <v>107</v>
      </c>
      <c r="K524" s="104" t="s">
        <v>208</v>
      </c>
      <c r="L524" s="32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</row>
    <row r="525" ht="15.75" customHeight="1">
      <c r="A525" s="27"/>
      <c r="B525" s="97">
        <f t="shared" si="5"/>
        <v>45894</v>
      </c>
      <c r="C525" s="98">
        <v>45894.0</v>
      </c>
      <c r="D525" s="44"/>
      <c r="E525" s="50" t="s">
        <v>97</v>
      </c>
      <c r="F525" s="100" t="s">
        <v>84</v>
      </c>
      <c r="G525" s="100"/>
      <c r="H525" s="99"/>
      <c r="I525" s="101" t="s">
        <v>14</v>
      </c>
      <c r="J525" s="102" t="s">
        <v>109</v>
      </c>
      <c r="K525" s="103" t="s">
        <v>208</v>
      </c>
      <c r="L525" s="32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</row>
    <row r="526" ht="15.75" customHeight="1">
      <c r="A526" s="27"/>
      <c r="B526" s="97">
        <f t="shared" si="5"/>
        <v>45894</v>
      </c>
      <c r="C526" s="98">
        <v>45894.0</v>
      </c>
      <c r="D526" s="44"/>
      <c r="E526" s="50" t="s">
        <v>97</v>
      </c>
      <c r="F526" s="20" t="s">
        <v>66</v>
      </c>
      <c r="G526" s="20"/>
      <c r="H526" s="84"/>
      <c r="I526" s="39" t="s">
        <v>14</v>
      </c>
      <c r="J526" s="32" t="s">
        <v>109</v>
      </c>
      <c r="K526" s="104" t="s">
        <v>208</v>
      </c>
      <c r="L526" s="32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</row>
    <row r="527" ht="15.75" customHeight="1">
      <c r="A527" s="27"/>
      <c r="B527" s="97">
        <f t="shared" si="5"/>
        <v>45894</v>
      </c>
      <c r="C527" s="98">
        <v>45894.0</v>
      </c>
      <c r="D527" s="44"/>
      <c r="E527" s="50" t="s">
        <v>100</v>
      </c>
      <c r="F527" s="100" t="s">
        <v>142</v>
      </c>
      <c r="G527" s="100"/>
      <c r="H527" s="99"/>
      <c r="I527" s="101" t="s">
        <v>14</v>
      </c>
      <c r="J527" s="102" t="s">
        <v>109</v>
      </c>
      <c r="K527" s="103" t="s">
        <v>208</v>
      </c>
      <c r="L527" s="32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</row>
    <row r="528" ht="15.75" customHeight="1">
      <c r="A528" s="27"/>
      <c r="B528" s="97">
        <f t="shared" si="5"/>
        <v>45894</v>
      </c>
      <c r="C528" s="98">
        <v>45894.0</v>
      </c>
      <c r="D528" s="44"/>
      <c r="E528" s="50" t="s">
        <v>64</v>
      </c>
      <c r="F528" s="20" t="s">
        <v>142</v>
      </c>
      <c r="G528" s="20"/>
      <c r="H528" s="84"/>
      <c r="I528" s="39" t="s">
        <v>14</v>
      </c>
      <c r="J528" s="32" t="s">
        <v>109</v>
      </c>
      <c r="K528" s="104" t="s">
        <v>208</v>
      </c>
      <c r="L528" s="32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</row>
    <row r="529" ht="15.75" customHeight="1">
      <c r="A529" s="27"/>
      <c r="B529" s="97">
        <f t="shared" si="5"/>
        <v>45894</v>
      </c>
      <c r="C529" s="98">
        <v>45894.0</v>
      </c>
      <c r="D529" s="44"/>
      <c r="E529" s="50" t="s">
        <v>62</v>
      </c>
      <c r="F529" s="100" t="s">
        <v>102</v>
      </c>
      <c r="G529" s="100"/>
      <c r="H529" s="99"/>
      <c r="I529" s="101" t="s">
        <v>14</v>
      </c>
      <c r="J529" s="102" t="s">
        <v>109</v>
      </c>
      <c r="K529" s="103" t="s">
        <v>208</v>
      </c>
      <c r="L529" s="32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</row>
    <row r="530" ht="15.75" customHeight="1">
      <c r="A530" s="27"/>
      <c r="B530" s="97">
        <f t="shared" si="5"/>
        <v>45894</v>
      </c>
      <c r="C530" s="98">
        <v>45894.0</v>
      </c>
      <c r="D530" s="44"/>
      <c r="E530" s="50" t="s">
        <v>61</v>
      </c>
      <c r="F530" s="20" t="s">
        <v>102</v>
      </c>
      <c r="G530" s="20"/>
      <c r="H530" s="84"/>
      <c r="I530" s="39" t="s">
        <v>14</v>
      </c>
      <c r="J530" s="32" t="s">
        <v>109</v>
      </c>
      <c r="K530" s="104" t="s">
        <v>208</v>
      </c>
      <c r="L530" s="32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</row>
    <row r="531" ht="15.75" customHeight="1">
      <c r="A531" s="27"/>
      <c r="B531" s="97">
        <f t="shared" si="5"/>
        <v>45895</v>
      </c>
      <c r="C531" s="98">
        <v>45895.0</v>
      </c>
      <c r="D531" s="44">
        <v>1.0</v>
      </c>
      <c r="E531" s="50" t="s">
        <v>97</v>
      </c>
      <c r="F531" s="100" t="s">
        <v>102</v>
      </c>
      <c r="G531" s="100"/>
      <c r="H531" s="99"/>
      <c r="I531" s="101" t="s">
        <v>14</v>
      </c>
      <c r="J531" s="102" t="s">
        <v>109</v>
      </c>
      <c r="K531" s="103" t="s">
        <v>208</v>
      </c>
      <c r="L531" s="32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</row>
    <row r="532" ht="15.75" customHeight="1">
      <c r="A532" s="27"/>
      <c r="B532" s="97">
        <f t="shared" si="5"/>
        <v>45895</v>
      </c>
      <c r="C532" s="98">
        <v>45895.0</v>
      </c>
      <c r="D532" s="44">
        <v>2.0</v>
      </c>
      <c r="E532" s="50" t="s">
        <v>100</v>
      </c>
      <c r="F532" s="20" t="s">
        <v>102</v>
      </c>
      <c r="G532" s="20"/>
      <c r="H532" s="84"/>
      <c r="I532" s="39" t="s">
        <v>14</v>
      </c>
      <c r="J532" s="32" t="s">
        <v>109</v>
      </c>
      <c r="K532" s="104" t="s">
        <v>208</v>
      </c>
      <c r="L532" s="32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</row>
    <row r="533" ht="15.75" customHeight="1">
      <c r="A533" s="27"/>
      <c r="B533" s="97">
        <f t="shared" si="5"/>
        <v>45895</v>
      </c>
      <c r="C533" s="98">
        <v>45895.0</v>
      </c>
      <c r="D533" s="44">
        <v>3.0</v>
      </c>
      <c r="E533" s="50"/>
      <c r="F533" s="100"/>
      <c r="G533" s="100"/>
      <c r="H533" s="99"/>
      <c r="I533" s="101" t="s">
        <v>14</v>
      </c>
      <c r="J533" s="102" t="s">
        <v>109</v>
      </c>
      <c r="K533" s="103" t="s">
        <v>208</v>
      </c>
      <c r="L533" s="32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</row>
    <row r="534" ht="15.75" customHeight="1">
      <c r="A534" s="27"/>
      <c r="B534" s="97">
        <f t="shared" si="5"/>
        <v>45895</v>
      </c>
      <c r="C534" s="98">
        <v>45895.0</v>
      </c>
      <c r="D534" s="44">
        <v>4.0</v>
      </c>
      <c r="E534" s="50"/>
      <c r="F534" s="20"/>
      <c r="G534" s="20"/>
      <c r="H534" s="84"/>
      <c r="I534" s="39" t="s">
        <v>14</v>
      </c>
      <c r="J534" s="32" t="s">
        <v>109</v>
      </c>
      <c r="K534" s="104" t="s">
        <v>208</v>
      </c>
      <c r="L534" s="32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</row>
    <row r="535" ht="15.75" customHeight="1">
      <c r="A535" s="27"/>
      <c r="B535" s="97">
        <f t="shared" si="5"/>
        <v>45895</v>
      </c>
      <c r="C535" s="98">
        <v>45895.0</v>
      </c>
      <c r="D535" s="44" t="s">
        <v>209</v>
      </c>
      <c r="E535" s="50"/>
      <c r="F535" s="100"/>
      <c r="G535" s="100"/>
      <c r="H535" s="99"/>
      <c r="I535" s="101" t="s">
        <v>14</v>
      </c>
      <c r="J535" s="102" t="s">
        <v>109</v>
      </c>
      <c r="K535" s="103" t="s">
        <v>208</v>
      </c>
      <c r="L535" s="32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</row>
    <row r="536" ht="15.75" customHeight="1">
      <c r="A536" s="27"/>
      <c r="B536" s="97">
        <f t="shared" si="5"/>
        <v>45895</v>
      </c>
      <c r="C536" s="98">
        <v>45895.0</v>
      </c>
      <c r="D536" s="44">
        <v>5.0</v>
      </c>
      <c r="E536" s="50" t="s">
        <v>61</v>
      </c>
      <c r="F536" s="20" t="s">
        <v>113</v>
      </c>
      <c r="G536" s="20"/>
      <c r="H536" s="84"/>
      <c r="I536" s="39" t="s">
        <v>14</v>
      </c>
      <c r="J536" s="32" t="s">
        <v>109</v>
      </c>
      <c r="K536" s="104" t="s">
        <v>208</v>
      </c>
      <c r="L536" s="32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</row>
    <row r="537" ht="15.75" customHeight="1">
      <c r="A537" s="27"/>
      <c r="B537" s="97">
        <f t="shared" si="5"/>
        <v>45895</v>
      </c>
      <c r="C537" s="98">
        <v>45895.0</v>
      </c>
      <c r="D537" s="44">
        <v>6.0</v>
      </c>
      <c r="E537" s="50" t="s">
        <v>56</v>
      </c>
      <c r="F537" s="100" t="s">
        <v>66</v>
      </c>
      <c r="G537" s="100"/>
      <c r="H537" s="99"/>
      <c r="I537" s="101" t="s">
        <v>14</v>
      </c>
      <c r="J537" s="102" t="s">
        <v>109</v>
      </c>
      <c r="K537" s="103" t="s">
        <v>208</v>
      </c>
      <c r="L537" s="32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</row>
    <row r="538" ht="15.75" customHeight="1">
      <c r="A538" s="27"/>
      <c r="B538" s="97">
        <f t="shared" si="5"/>
        <v>45895</v>
      </c>
      <c r="C538" s="98">
        <v>45895.0</v>
      </c>
      <c r="D538" s="44">
        <v>7.0</v>
      </c>
      <c r="E538" s="50" t="s">
        <v>72</v>
      </c>
      <c r="F538" s="20"/>
      <c r="G538" s="20"/>
      <c r="H538" s="84"/>
      <c r="I538" s="39" t="s">
        <v>14</v>
      </c>
      <c r="J538" s="32" t="s">
        <v>109</v>
      </c>
      <c r="K538" s="104" t="s">
        <v>208</v>
      </c>
      <c r="L538" s="32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</row>
    <row r="539" ht="15.75" customHeight="1">
      <c r="A539" s="27"/>
      <c r="B539" s="97">
        <f t="shared" si="5"/>
        <v>45895</v>
      </c>
      <c r="C539" s="98">
        <v>45895.0</v>
      </c>
      <c r="D539" s="44">
        <v>3.0</v>
      </c>
      <c r="E539" s="50" t="s">
        <v>56</v>
      </c>
      <c r="F539" s="100" t="s">
        <v>134</v>
      </c>
      <c r="G539" s="100"/>
      <c r="H539" s="99"/>
      <c r="I539" s="101" t="s">
        <v>6</v>
      </c>
      <c r="J539" s="102" t="s">
        <v>63</v>
      </c>
      <c r="K539" s="103" t="s">
        <v>208</v>
      </c>
      <c r="L539" s="32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</row>
    <row r="540" ht="15.75" customHeight="1">
      <c r="A540" s="27"/>
      <c r="B540" s="97">
        <f t="shared" si="5"/>
        <v>45895</v>
      </c>
      <c r="C540" s="98">
        <v>45895.0</v>
      </c>
      <c r="D540" s="44">
        <v>4.0</v>
      </c>
      <c r="E540" s="50" t="s">
        <v>56</v>
      </c>
      <c r="F540" s="20" t="s">
        <v>105</v>
      </c>
      <c r="G540" s="20"/>
      <c r="H540" s="84"/>
      <c r="I540" s="39" t="s">
        <v>6</v>
      </c>
      <c r="J540" s="32" t="s">
        <v>63</v>
      </c>
      <c r="K540" s="104" t="s">
        <v>208</v>
      </c>
      <c r="L540" s="32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</row>
    <row r="541" ht="15.75" customHeight="1">
      <c r="A541" s="27"/>
      <c r="B541" s="97">
        <f t="shared" si="5"/>
        <v>45895</v>
      </c>
      <c r="C541" s="98">
        <v>45895.0</v>
      </c>
      <c r="D541" s="44" t="s">
        <v>209</v>
      </c>
      <c r="E541" s="50"/>
      <c r="F541" s="100"/>
      <c r="G541" s="100"/>
      <c r="H541" s="99"/>
      <c r="I541" s="101" t="s">
        <v>6</v>
      </c>
      <c r="J541" s="102" t="s">
        <v>63</v>
      </c>
      <c r="K541" s="103" t="s">
        <v>208</v>
      </c>
      <c r="L541" s="32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</row>
    <row r="542" ht="15.75" customHeight="1">
      <c r="A542" s="27"/>
      <c r="B542" s="97">
        <f t="shared" si="5"/>
        <v>45895</v>
      </c>
      <c r="C542" s="98">
        <v>45895.0</v>
      </c>
      <c r="D542" s="44">
        <v>5.0</v>
      </c>
      <c r="E542" s="50" t="s">
        <v>62</v>
      </c>
      <c r="F542" s="20" t="s">
        <v>66</v>
      </c>
      <c r="G542" s="20"/>
      <c r="H542" s="84"/>
      <c r="I542" s="39" t="s">
        <v>6</v>
      </c>
      <c r="J542" s="32" t="s">
        <v>63</v>
      </c>
      <c r="K542" s="104" t="s">
        <v>208</v>
      </c>
      <c r="L542" s="32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</row>
    <row r="543" ht="15.75" customHeight="1">
      <c r="A543" s="27"/>
      <c r="B543" s="97">
        <f t="shared" si="5"/>
        <v>45895</v>
      </c>
      <c r="C543" s="98">
        <v>45895.0</v>
      </c>
      <c r="D543" s="44">
        <v>6.0</v>
      </c>
      <c r="E543" s="50" t="s">
        <v>62</v>
      </c>
      <c r="F543" s="100" t="s">
        <v>113</v>
      </c>
      <c r="G543" s="100"/>
      <c r="H543" s="99"/>
      <c r="I543" s="101" t="s">
        <v>6</v>
      </c>
      <c r="J543" s="102" t="s">
        <v>63</v>
      </c>
      <c r="K543" s="103" t="s">
        <v>208</v>
      </c>
      <c r="L543" s="32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</row>
    <row r="544" ht="15.75" customHeight="1">
      <c r="A544" s="27"/>
      <c r="B544" s="97">
        <f t="shared" si="5"/>
        <v>45895</v>
      </c>
      <c r="C544" s="98">
        <v>45895.0</v>
      </c>
      <c r="D544" s="44">
        <v>7.0</v>
      </c>
      <c r="E544" s="50" t="s">
        <v>62</v>
      </c>
      <c r="F544" s="20" t="s">
        <v>113</v>
      </c>
      <c r="G544" s="20"/>
      <c r="H544" s="84"/>
      <c r="I544" s="39" t="s">
        <v>6</v>
      </c>
      <c r="J544" s="32" t="s">
        <v>63</v>
      </c>
      <c r="K544" s="104" t="s">
        <v>208</v>
      </c>
      <c r="L544" s="32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</row>
    <row r="545" ht="15.75" customHeight="1">
      <c r="A545" s="27"/>
      <c r="B545" s="97">
        <f t="shared" si="5"/>
        <v>45895</v>
      </c>
      <c r="C545" s="98">
        <v>45895.0</v>
      </c>
      <c r="D545" s="44">
        <v>8.0</v>
      </c>
      <c r="E545" s="50" t="s">
        <v>97</v>
      </c>
      <c r="F545" s="100" t="s">
        <v>98</v>
      </c>
      <c r="G545" s="100"/>
      <c r="H545" s="99"/>
      <c r="I545" s="101" t="s">
        <v>6</v>
      </c>
      <c r="J545" s="102" t="s">
        <v>63</v>
      </c>
      <c r="K545" s="103" t="s">
        <v>208</v>
      </c>
      <c r="L545" s="32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</row>
    <row r="546" ht="15.75" customHeight="1">
      <c r="A546" s="27"/>
      <c r="B546" s="97">
        <f t="shared" si="5"/>
        <v>45895</v>
      </c>
      <c r="C546" s="98">
        <v>45895.0</v>
      </c>
      <c r="D546" s="44">
        <v>5.0</v>
      </c>
      <c r="E546" s="50" t="s">
        <v>82</v>
      </c>
      <c r="F546" s="20" t="s">
        <v>129</v>
      </c>
      <c r="G546" s="20"/>
      <c r="H546" s="84"/>
      <c r="I546" s="39" t="s">
        <v>7</v>
      </c>
      <c r="J546" s="32" t="s">
        <v>110</v>
      </c>
      <c r="K546" s="104" t="s">
        <v>208</v>
      </c>
      <c r="L546" s="32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</row>
    <row r="547" ht="15.75" customHeight="1">
      <c r="A547" s="27"/>
      <c r="B547" s="97">
        <f t="shared" si="5"/>
        <v>45895</v>
      </c>
      <c r="C547" s="98">
        <v>45895.0</v>
      </c>
      <c r="D547" s="44">
        <v>1.0</v>
      </c>
      <c r="E547" s="50" t="s">
        <v>56</v>
      </c>
      <c r="F547" s="100" t="s">
        <v>164</v>
      </c>
      <c r="G547" s="100"/>
      <c r="H547" s="99"/>
      <c r="I547" s="101" t="s">
        <v>14</v>
      </c>
      <c r="J547" s="102" t="s">
        <v>107</v>
      </c>
      <c r="K547" s="103" t="s">
        <v>208</v>
      </c>
      <c r="L547" s="32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</row>
    <row r="548" ht="15.75" customHeight="1">
      <c r="A548" s="27"/>
      <c r="B548" s="97">
        <f t="shared" si="5"/>
        <v>45895</v>
      </c>
      <c r="C548" s="98">
        <v>45895.0</v>
      </c>
      <c r="D548" s="44">
        <v>2.0</v>
      </c>
      <c r="E548" s="50" t="s">
        <v>61</v>
      </c>
      <c r="F548" s="20" t="s">
        <v>131</v>
      </c>
      <c r="G548" s="20"/>
      <c r="H548" s="84"/>
      <c r="I548" s="39" t="s">
        <v>14</v>
      </c>
      <c r="J548" s="32" t="s">
        <v>107</v>
      </c>
      <c r="K548" s="104" t="s">
        <v>208</v>
      </c>
      <c r="L548" s="32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</row>
    <row r="549" ht="15.75" customHeight="1">
      <c r="A549" s="27"/>
      <c r="B549" s="97">
        <f t="shared" si="5"/>
        <v>45895</v>
      </c>
      <c r="C549" s="98">
        <v>45895.0</v>
      </c>
      <c r="D549" s="44">
        <v>1.0</v>
      </c>
      <c r="E549" s="50" t="s">
        <v>76</v>
      </c>
      <c r="F549" s="100" t="s">
        <v>131</v>
      </c>
      <c r="G549" s="100"/>
      <c r="H549" s="99"/>
      <c r="I549" s="101" t="s">
        <v>14</v>
      </c>
      <c r="J549" s="102" t="s">
        <v>107</v>
      </c>
      <c r="K549" s="103" t="s">
        <v>208</v>
      </c>
      <c r="L549" s="32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</row>
    <row r="550" ht="15.75" customHeight="1">
      <c r="A550" s="27"/>
      <c r="B550" s="97">
        <f t="shared" si="5"/>
        <v>45895</v>
      </c>
      <c r="C550" s="98">
        <v>45895.0</v>
      </c>
      <c r="D550" s="44">
        <v>1.0</v>
      </c>
      <c r="E550" s="50" t="s">
        <v>97</v>
      </c>
      <c r="F550" s="20" t="s">
        <v>77</v>
      </c>
      <c r="G550" s="20"/>
      <c r="H550" s="84"/>
      <c r="I550" s="39" t="s">
        <v>6</v>
      </c>
      <c r="J550" s="32" t="s">
        <v>63</v>
      </c>
      <c r="K550" s="104" t="s">
        <v>208</v>
      </c>
      <c r="L550" s="32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</row>
    <row r="551" ht="15.75" customHeight="1">
      <c r="A551" s="27"/>
      <c r="B551" s="97">
        <f t="shared" si="5"/>
        <v>45895</v>
      </c>
      <c r="C551" s="98">
        <v>45895.0</v>
      </c>
      <c r="D551" s="44">
        <v>2.0</v>
      </c>
      <c r="E551" s="50" t="s">
        <v>97</v>
      </c>
      <c r="F551" s="100" t="s">
        <v>113</v>
      </c>
      <c r="G551" s="100"/>
      <c r="H551" s="99"/>
      <c r="I551" s="101" t="s">
        <v>6</v>
      </c>
      <c r="J551" s="102" t="s">
        <v>63</v>
      </c>
      <c r="K551" s="103" t="s">
        <v>208</v>
      </c>
      <c r="L551" s="32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</row>
    <row r="552" ht="15.75" customHeight="1">
      <c r="A552" s="27"/>
      <c r="B552" s="97">
        <f t="shared" si="5"/>
        <v>45895</v>
      </c>
      <c r="C552" s="98">
        <v>45895.0</v>
      </c>
      <c r="D552" s="44">
        <v>3.0</v>
      </c>
      <c r="E552" s="50" t="s">
        <v>82</v>
      </c>
      <c r="F552" s="20" t="s">
        <v>84</v>
      </c>
      <c r="G552" s="20"/>
      <c r="H552" s="84"/>
      <c r="I552" s="40"/>
      <c r="J552" s="32" t="s">
        <v>87</v>
      </c>
      <c r="K552" s="104" t="s">
        <v>208</v>
      </c>
      <c r="L552" s="32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</row>
    <row r="553" ht="15.75" customHeight="1">
      <c r="A553" s="27"/>
      <c r="B553" s="97">
        <f t="shared" si="5"/>
        <v>45897</v>
      </c>
      <c r="C553" s="98">
        <v>45897.0</v>
      </c>
      <c r="D553" s="44">
        <v>4.0</v>
      </c>
      <c r="E553" s="50" t="s">
        <v>100</v>
      </c>
      <c r="F553" s="100" t="s">
        <v>84</v>
      </c>
      <c r="G553" s="100"/>
      <c r="H553" s="99"/>
      <c r="I553" s="87"/>
      <c r="J553" s="102" t="s">
        <v>87</v>
      </c>
      <c r="K553" s="103" t="s">
        <v>208</v>
      </c>
      <c r="L553" s="32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</row>
    <row r="554" ht="15.75" customHeight="1">
      <c r="A554" s="27"/>
      <c r="B554" s="97">
        <f t="shared" si="5"/>
        <v>45897</v>
      </c>
      <c r="C554" s="98">
        <v>45897.0</v>
      </c>
      <c r="D554" s="44">
        <v>2.0</v>
      </c>
      <c r="E554" s="50" t="s">
        <v>61</v>
      </c>
      <c r="F554" s="20" t="s">
        <v>63</v>
      </c>
      <c r="G554" s="20"/>
      <c r="H554" s="84"/>
      <c r="I554" s="40" t="s">
        <v>14</v>
      </c>
      <c r="J554" s="40" t="s">
        <v>107</v>
      </c>
      <c r="K554" s="104" t="s">
        <v>208</v>
      </c>
      <c r="L554" s="32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</row>
    <row r="555" ht="15.75" customHeight="1">
      <c r="A555" s="27"/>
      <c r="B555" s="97">
        <f t="shared" si="5"/>
        <v>45897</v>
      </c>
      <c r="C555" s="98">
        <v>45897.0</v>
      </c>
      <c r="D555" s="44">
        <v>3.0</v>
      </c>
      <c r="E555" s="50" t="s">
        <v>56</v>
      </c>
      <c r="F555" s="100" t="s">
        <v>63</v>
      </c>
      <c r="G555" s="100"/>
      <c r="H555" s="99"/>
      <c r="I555" s="87" t="s">
        <v>14</v>
      </c>
      <c r="J555" s="87" t="s">
        <v>107</v>
      </c>
      <c r="K555" s="103" t="s">
        <v>208</v>
      </c>
      <c r="L555" s="32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</row>
    <row r="556" ht="15.75" customHeight="1">
      <c r="A556" s="27"/>
      <c r="B556" s="97">
        <f t="shared" si="5"/>
        <v>45897</v>
      </c>
      <c r="C556" s="98">
        <v>45897.0</v>
      </c>
      <c r="D556" s="44">
        <v>4.0</v>
      </c>
      <c r="E556" s="50" t="s">
        <v>56</v>
      </c>
      <c r="F556" s="20" t="s">
        <v>141</v>
      </c>
      <c r="G556" s="20"/>
      <c r="H556" s="84"/>
      <c r="I556" s="40" t="s">
        <v>14</v>
      </c>
      <c r="J556" s="40" t="s">
        <v>107</v>
      </c>
      <c r="K556" s="104" t="s">
        <v>208</v>
      </c>
      <c r="L556" s="32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</row>
    <row r="557" ht="15.75" customHeight="1">
      <c r="A557" s="27"/>
      <c r="B557" s="97">
        <f t="shared" si="5"/>
        <v>45897</v>
      </c>
      <c r="C557" s="98">
        <v>45897.0</v>
      </c>
      <c r="D557" s="44">
        <v>5.0</v>
      </c>
      <c r="E557" s="50" t="s">
        <v>74</v>
      </c>
      <c r="F557" s="100"/>
      <c r="G557" s="100"/>
      <c r="H557" s="99"/>
      <c r="I557" s="87" t="s">
        <v>14</v>
      </c>
      <c r="J557" s="87" t="s">
        <v>107</v>
      </c>
      <c r="K557" s="103" t="s">
        <v>208</v>
      </c>
      <c r="L557" s="32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</row>
    <row r="558" ht="15.75" customHeight="1">
      <c r="A558" s="27"/>
      <c r="B558" s="97">
        <f t="shared" si="5"/>
        <v>45897</v>
      </c>
      <c r="C558" s="98">
        <v>45897.0</v>
      </c>
      <c r="D558" s="44">
        <v>6.0</v>
      </c>
      <c r="E558" s="50" t="s">
        <v>72</v>
      </c>
      <c r="F558" s="20"/>
      <c r="G558" s="20"/>
      <c r="H558" s="84"/>
      <c r="I558" s="39" t="s">
        <v>14</v>
      </c>
      <c r="J558" s="32" t="s">
        <v>107</v>
      </c>
      <c r="K558" s="104" t="s">
        <v>208</v>
      </c>
      <c r="L558" s="32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</row>
    <row r="559" ht="15.75" customHeight="1">
      <c r="A559" s="27"/>
      <c r="B559" s="97">
        <f t="shared" si="5"/>
        <v>45897</v>
      </c>
      <c r="C559" s="98">
        <v>45897.0</v>
      </c>
      <c r="D559" s="44">
        <v>7.0</v>
      </c>
      <c r="E559" s="50" t="s">
        <v>72</v>
      </c>
      <c r="F559" s="100"/>
      <c r="G559" s="100"/>
      <c r="H559" s="99"/>
      <c r="I559" s="101" t="s">
        <v>14</v>
      </c>
      <c r="J559" s="102" t="s">
        <v>107</v>
      </c>
      <c r="K559" s="103" t="s">
        <v>208</v>
      </c>
      <c r="L559" s="32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</row>
    <row r="560" ht="15.75" customHeight="1">
      <c r="A560" s="27"/>
      <c r="B560" s="97">
        <f t="shared" si="5"/>
        <v>45897</v>
      </c>
      <c r="C560" s="98">
        <v>45897.0</v>
      </c>
      <c r="D560" s="44">
        <v>8.0</v>
      </c>
      <c r="E560" s="50" t="s">
        <v>61</v>
      </c>
      <c r="F560" s="20" t="s">
        <v>66</v>
      </c>
      <c r="G560" s="20"/>
      <c r="H560" s="84"/>
      <c r="I560" s="39" t="s">
        <v>14</v>
      </c>
      <c r="J560" s="32" t="s">
        <v>107</v>
      </c>
      <c r="K560" s="104" t="s">
        <v>208</v>
      </c>
      <c r="L560" s="32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</row>
    <row r="561" ht="15.75" customHeight="1">
      <c r="A561" s="27"/>
      <c r="B561" s="97">
        <f t="shared" si="5"/>
        <v>45897</v>
      </c>
      <c r="C561" s="98">
        <v>45897.0</v>
      </c>
      <c r="D561" s="44">
        <v>6.0</v>
      </c>
      <c r="E561" s="50" t="s">
        <v>100</v>
      </c>
      <c r="F561" s="100" t="s">
        <v>134</v>
      </c>
      <c r="G561" s="100"/>
      <c r="H561" s="99"/>
      <c r="I561" s="101" t="s">
        <v>14</v>
      </c>
      <c r="J561" s="102" t="s">
        <v>109</v>
      </c>
      <c r="K561" s="103" t="s">
        <v>208</v>
      </c>
      <c r="L561" s="32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</row>
    <row r="562" ht="15.75" customHeight="1">
      <c r="A562" s="27"/>
      <c r="B562" s="97">
        <f t="shared" si="5"/>
        <v>45897</v>
      </c>
      <c r="C562" s="98">
        <v>45897.0</v>
      </c>
      <c r="D562" s="44">
        <v>7.0</v>
      </c>
      <c r="E562" s="50" t="s">
        <v>74</v>
      </c>
      <c r="F562" s="20"/>
      <c r="G562" s="20"/>
      <c r="H562" s="84"/>
      <c r="I562" s="39" t="s">
        <v>14</v>
      </c>
      <c r="J562" s="32" t="s">
        <v>109</v>
      </c>
      <c r="K562" s="104" t="s">
        <v>208</v>
      </c>
      <c r="L562" s="32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</row>
    <row r="563" ht="15.75" customHeight="1">
      <c r="A563" s="27"/>
      <c r="B563" s="97">
        <f t="shared" si="5"/>
        <v>45897</v>
      </c>
      <c r="C563" s="98">
        <v>45897.0</v>
      </c>
      <c r="D563" s="44">
        <v>8.0</v>
      </c>
      <c r="E563" s="50" t="s">
        <v>56</v>
      </c>
      <c r="F563" s="100" t="s">
        <v>71</v>
      </c>
      <c r="G563" s="100"/>
      <c r="H563" s="99"/>
      <c r="I563" s="101" t="s">
        <v>14</v>
      </c>
      <c r="J563" s="102" t="s">
        <v>109</v>
      </c>
      <c r="K563" s="103" t="s">
        <v>208</v>
      </c>
      <c r="L563" s="32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</row>
    <row r="564" ht="21.75" customHeight="1">
      <c r="A564" s="27"/>
      <c r="B564" s="97"/>
      <c r="C564" s="98"/>
      <c r="D564" s="44"/>
      <c r="E564" s="50"/>
      <c r="F564" s="20"/>
      <c r="G564" s="20"/>
      <c r="H564" s="84"/>
      <c r="I564" s="40"/>
      <c r="J564" s="32"/>
      <c r="K564" s="104"/>
      <c r="L564" s="32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</row>
    <row r="565" ht="15.75" customHeight="1">
      <c r="A565" s="27"/>
      <c r="B565" s="97"/>
      <c r="C565" s="98"/>
      <c r="D565" s="44"/>
      <c r="E565" s="50"/>
      <c r="F565" s="100"/>
      <c r="G565" s="100"/>
      <c r="H565" s="99"/>
      <c r="I565" s="87"/>
      <c r="J565" s="102"/>
      <c r="K565" s="103"/>
      <c r="L565" s="32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</row>
    <row r="566" ht="15.75" customHeight="1">
      <c r="A566" s="27"/>
      <c r="B566" s="97"/>
      <c r="C566" s="98"/>
      <c r="D566" s="44"/>
      <c r="E566" s="50"/>
      <c r="F566" s="20"/>
      <c r="G566" s="20"/>
      <c r="H566" s="84"/>
      <c r="I566" s="40"/>
      <c r="J566" s="32"/>
      <c r="K566" s="104"/>
      <c r="L566" s="32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</row>
    <row r="567" ht="15.75" customHeight="1">
      <c r="A567" s="27"/>
      <c r="B567" s="97"/>
      <c r="C567" s="98"/>
      <c r="D567" s="44"/>
      <c r="E567" s="50"/>
      <c r="F567" s="100"/>
      <c r="G567" s="100"/>
      <c r="H567" s="99"/>
      <c r="I567" s="87"/>
      <c r="J567" s="102"/>
      <c r="K567" s="103"/>
      <c r="L567" s="32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</row>
    <row r="568" ht="15.75" customHeight="1">
      <c r="A568" s="27"/>
      <c r="B568" s="97">
        <f t="shared" ref="B568:B1522" si="6">C568</f>
        <v>45874</v>
      </c>
      <c r="C568" s="98">
        <v>45874.0</v>
      </c>
      <c r="D568" s="44">
        <v>5.0</v>
      </c>
      <c r="E568" s="50" t="s">
        <v>82</v>
      </c>
      <c r="F568" s="20" t="s">
        <v>145</v>
      </c>
      <c r="G568" s="20"/>
      <c r="H568" s="84"/>
      <c r="I568" s="40" t="s">
        <v>15</v>
      </c>
      <c r="J568" s="32" t="s">
        <v>110</v>
      </c>
      <c r="K568" s="104" t="s">
        <v>210</v>
      </c>
      <c r="L568" s="32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</row>
    <row r="569" ht="15.75" customHeight="1">
      <c r="A569" s="27"/>
      <c r="B569" s="16">
        <f t="shared" si="6"/>
        <v>45902</v>
      </c>
      <c r="C569" s="28">
        <v>45902.0</v>
      </c>
      <c r="D569" s="44">
        <v>8.0</v>
      </c>
      <c r="E569" s="50" t="s">
        <v>76</v>
      </c>
      <c r="F569" s="100" t="s">
        <v>145</v>
      </c>
      <c r="G569" s="100"/>
      <c r="H569" s="106"/>
      <c r="I569" s="100" t="s">
        <v>6</v>
      </c>
      <c r="J569" s="102" t="s">
        <v>103</v>
      </c>
      <c r="K569" s="103" t="s">
        <v>210</v>
      </c>
      <c r="L569" s="32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</row>
    <row r="570" ht="15.75" customHeight="1">
      <c r="A570" s="27"/>
      <c r="B570" s="16">
        <f t="shared" si="6"/>
        <v>45902</v>
      </c>
      <c r="C570" s="28">
        <v>45902.0</v>
      </c>
      <c r="D570" s="44">
        <v>1.0</v>
      </c>
      <c r="E570" s="50" t="s">
        <v>100</v>
      </c>
      <c r="F570" s="20" t="s">
        <v>67</v>
      </c>
      <c r="G570" s="20"/>
      <c r="H570" s="107"/>
      <c r="I570" s="20" t="s">
        <v>6</v>
      </c>
      <c r="J570" s="32" t="s">
        <v>103</v>
      </c>
      <c r="K570" s="104" t="s">
        <v>210</v>
      </c>
      <c r="L570" s="32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</row>
    <row r="571" ht="15.75" customHeight="1">
      <c r="A571" s="27"/>
      <c r="B571" s="16">
        <f t="shared" si="6"/>
        <v>45902</v>
      </c>
      <c r="C571" s="28">
        <v>45902.0</v>
      </c>
      <c r="D571" s="44">
        <v>2.0</v>
      </c>
      <c r="E571" s="50" t="s">
        <v>97</v>
      </c>
      <c r="F571" s="100" t="s">
        <v>67</v>
      </c>
      <c r="G571" s="100"/>
      <c r="H571" s="106"/>
      <c r="I571" s="100" t="s">
        <v>6</v>
      </c>
      <c r="J571" s="102" t="s">
        <v>103</v>
      </c>
      <c r="K571" s="103" t="s">
        <v>210</v>
      </c>
      <c r="L571" s="32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</row>
    <row r="572" ht="15.75" customHeight="1">
      <c r="A572" s="27"/>
      <c r="B572" s="16">
        <f t="shared" si="6"/>
        <v>45902</v>
      </c>
      <c r="C572" s="28">
        <v>45902.0</v>
      </c>
      <c r="D572" s="44">
        <v>3.0</v>
      </c>
      <c r="E572" s="50" t="s">
        <v>97</v>
      </c>
      <c r="F572" s="20" t="s">
        <v>121</v>
      </c>
      <c r="G572" s="20"/>
      <c r="H572" s="107"/>
      <c r="I572" s="20" t="s">
        <v>6</v>
      </c>
      <c r="J572" s="32" t="s">
        <v>103</v>
      </c>
      <c r="K572" s="104" t="s">
        <v>210</v>
      </c>
      <c r="L572" s="32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</row>
    <row r="573" ht="15.75" customHeight="1">
      <c r="A573" s="27"/>
      <c r="B573" s="16">
        <f t="shared" si="6"/>
        <v>45902</v>
      </c>
      <c r="C573" s="28">
        <v>45902.0</v>
      </c>
      <c r="D573" s="44">
        <v>4.0</v>
      </c>
      <c r="E573" s="50" t="s">
        <v>97</v>
      </c>
      <c r="F573" s="100" t="s">
        <v>98</v>
      </c>
      <c r="G573" s="100"/>
      <c r="H573" s="106"/>
      <c r="I573" s="100" t="s">
        <v>6</v>
      </c>
      <c r="J573" s="102" t="s">
        <v>103</v>
      </c>
      <c r="K573" s="103" t="s">
        <v>210</v>
      </c>
      <c r="L573" s="32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</row>
    <row r="574" ht="15.75" customHeight="1">
      <c r="A574" s="27"/>
      <c r="B574" s="16">
        <f t="shared" si="6"/>
        <v>45902</v>
      </c>
      <c r="C574" s="28">
        <v>45902.0</v>
      </c>
      <c r="D574" s="44">
        <v>6.0</v>
      </c>
      <c r="E574" s="50" t="s">
        <v>100</v>
      </c>
      <c r="F574" s="20" t="s">
        <v>147</v>
      </c>
      <c r="G574" s="20"/>
      <c r="H574" s="107"/>
      <c r="I574" s="20" t="s">
        <v>6</v>
      </c>
      <c r="J574" s="32" t="s">
        <v>103</v>
      </c>
      <c r="K574" s="104" t="s">
        <v>210</v>
      </c>
      <c r="L574" s="32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</row>
    <row r="575" ht="15.75" customHeight="1">
      <c r="A575" s="27"/>
      <c r="B575" s="16">
        <f t="shared" si="6"/>
        <v>45902</v>
      </c>
      <c r="C575" s="28">
        <v>45902.0</v>
      </c>
      <c r="D575" s="44">
        <v>8.0</v>
      </c>
      <c r="E575" s="50" t="s">
        <v>100</v>
      </c>
      <c r="F575" s="100" t="s">
        <v>99</v>
      </c>
      <c r="G575" s="100"/>
      <c r="H575" s="106"/>
      <c r="I575" s="100" t="s">
        <v>6</v>
      </c>
      <c r="J575" s="102" t="s">
        <v>103</v>
      </c>
      <c r="K575" s="103" t="s">
        <v>210</v>
      </c>
      <c r="L575" s="32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</row>
    <row r="576" ht="15.75" customHeight="1">
      <c r="A576" s="27"/>
      <c r="B576" s="16">
        <f t="shared" si="6"/>
        <v>45903</v>
      </c>
      <c r="C576" s="28">
        <v>45903.0</v>
      </c>
      <c r="D576" s="44">
        <v>5.0</v>
      </c>
      <c r="E576" s="50" t="s">
        <v>56</v>
      </c>
      <c r="F576" s="20" t="s">
        <v>67</v>
      </c>
      <c r="G576" s="20"/>
      <c r="H576" s="107"/>
      <c r="I576" s="20" t="s">
        <v>7</v>
      </c>
      <c r="J576" s="32" t="s">
        <v>142</v>
      </c>
      <c r="K576" s="104" t="s">
        <v>210</v>
      </c>
      <c r="L576" s="32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</row>
    <row r="577" ht="15.75" customHeight="1">
      <c r="A577" s="27"/>
      <c r="B577" s="16">
        <f t="shared" si="6"/>
        <v>45903</v>
      </c>
      <c r="C577" s="28">
        <v>45903.0</v>
      </c>
      <c r="D577" s="44">
        <v>6.0</v>
      </c>
      <c r="E577" s="50" t="s">
        <v>74</v>
      </c>
      <c r="F577" s="100" t="s">
        <v>142</v>
      </c>
      <c r="G577" s="100"/>
      <c r="H577" s="106"/>
      <c r="I577" s="100" t="s">
        <v>7</v>
      </c>
      <c r="J577" s="102" t="s">
        <v>164</v>
      </c>
      <c r="K577" s="103" t="s">
        <v>210</v>
      </c>
      <c r="L577" s="32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</row>
    <row r="578" ht="15.75" customHeight="1">
      <c r="A578" s="27"/>
      <c r="B578" s="16">
        <f t="shared" si="6"/>
        <v>45904</v>
      </c>
      <c r="C578" s="28">
        <v>45904.0</v>
      </c>
      <c r="D578" s="44">
        <v>1.0</v>
      </c>
      <c r="E578" s="50" t="s">
        <v>76</v>
      </c>
      <c r="F578" s="20" t="s">
        <v>134</v>
      </c>
      <c r="G578" s="20" t="s">
        <v>58</v>
      </c>
      <c r="H578" s="107"/>
      <c r="I578" s="20" t="s">
        <v>151</v>
      </c>
      <c r="J578" s="32" t="s">
        <v>117</v>
      </c>
      <c r="K578" s="104" t="s">
        <v>210</v>
      </c>
      <c r="L578" s="32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</row>
    <row r="579" ht="15.75" customHeight="1">
      <c r="A579" s="27"/>
      <c r="B579" s="16">
        <f t="shared" si="6"/>
        <v>45904</v>
      </c>
      <c r="C579" s="28">
        <v>45904.0</v>
      </c>
      <c r="D579" s="44">
        <v>2.0</v>
      </c>
      <c r="E579" s="50" t="s">
        <v>97</v>
      </c>
      <c r="F579" s="100" t="s">
        <v>134</v>
      </c>
      <c r="G579" s="100" t="s">
        <v>58</v>
      </c>
      <c r="H579" s="106"/>
      <c r="I579" s="100" t="s">
        <v>151</v>
      </c>
      <c r="J579" s="102" t="s">
        <v>117</v>
      </c>
      <c r="K579" s="103" t="s">
        <v>210</v>
      </c>
      <c r="L579" s="32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</row>
    <row r="580" ht="15.75" customHeight="1">
      <c r="A580" s="27"/>
      <c r="B580" s="16">
        <f t="shared" si="6"/>
        <v>45904</v>
      </c>
      <c r="C580" s="28">
        <v>45904.0</v>
      </c>
      <c r="D580" s="44">
        <v>3.0</v>
      </c>
      <c r="E580" s="50" t="s">
        <v>69</v>
      </c>
      <c r="F580" s="20" t="s">
        <v>84</v>
      </c>
      <c r="G580" s="20"/>
      <c r="H580" s="107"/>
      <c r="I580" s="20" t="s">
        <v>151</v>
      </c>
      <c r="J580" s="32" t="s">
        <v>117</v>
      </c>
      <c r="K580" s="104" t="s">
        <v>210</v>
      </c>
      <c r="L580" s="32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</row>
    <row r="581" ht="15.75" customHeight="1">
      <c r="A581" s="27"/>
      <c r="B581" s="16">
        <f t="shared" si="6"/>
        <v>45904</v>
      </c>
      <c r="C581" s="28">
        <v>45904.0</v>
      </c>
      <c r="D581" s="44">
        <v>1.0</v>
      </c>
      <c r="E581" s="50" t="s">
        <v>56</v>
      </c>
      <c r="F581" s="100" t="s">
        <v>107</v>
      </c>
      <c r="G581" s="100"/>
      <c r="H581" s="106"/>
      <c r="I581" s="100" t="s">
        <v>6</v>
      </c>
      <c r="J581" s="102" t="s">
        <v>70</v>
      </c>
      <c r="K581" s="103" t="s">
        <v>210</v>
      </c>
      <c r="L581" s="32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</row>
    <row r="582" ht="15.75" customHeight="1">
      <c r="A582" s="27"/>
      <c r="B582" s="16">
        <f t="shared" si="6"/>
        <v>45904</v>
      </c>
      <c r="C582" s="28">
        <v>45904.0</v>
      </c>
      <c r="D582" s="50">
        <v>2.0</v>
      </c>
      <c r="E582" s="50" t="s">
        <v>65</v>
      </c>
      <c r="F582" s="20" t="s">
        <v>66</v>
      </c>
      <c r="G582" s="20"/>
      <c r="H582" s="108"/>
      <c r="I582" s="20" t="s">
        <v>6</v>
      </c>
      <c r="J582" s="32" t="s">
        <v>70</v>
      </c>
      <c r="K582" s="104" t="s">
        <v>210</v>
      </c>
      <c r="L582" s="32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</row>
    <row r="583" ht="15.75" customHeight="1">
      <c r="A583" s="27"/>
      <c r="B583" s="16">
        <f t="shared" si="6"/>
        <v>45904</v>
      </c>
      <c r="C583" s="28">
        <v>45904.0</v>
      </c>
      <c r="D583" s="50">
        <v>3.0</v>
      </c>
      <c r="E583" s="50" t="s">
        <v>61</v>
      </c>
      <c r="F583" s="100" t="s">
        <v>105</v>
      </c>
      <c r="G583" s="100" t="s">
        <v>58</v>
      </c>
      <c r="H583" s="106"/>
      <c r="I583" s="100" t="s">
        <v>6</v>
      </c>
      <c r="J583" s="102" t="s">
        <v>70</v>
      </c>
      <c r="K583" s="103" t="s">
        <v>210</v>
      </c>
      <c r="L583" s="32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</row>
    <row r="584" ht="15.75" customHeight="1">
      <c r="A584" s="27"/>
      <c r="B584" s="16">
        <f t="shared" si="6"/>
        <v>45904</v>
      </c>
      <c r="C584" s="28">
        <v>45904.0</v>
      </c>
      <c r="D584" s="50">
        <v>4.0</v>
      </c>
      <c r="E584" s="50" t="s">
        <v>82</v>
      </c>
      <c r="F584" s="20" t="s">
        <v>67</v>
      </c>
      <c r="G584" s="20"/>
      <c r="H584" s="107"/>
      <c r="I584" s="20" t="s">
        <v>6</v>
      </c>
      <c r="J584" s="32" t="s">
        <v>70</v>
      </c>
      <c r="K584" s="104" t="s">
        <v>210</v>
      </c>
      <c r="L584" s="32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</row>
    <row r="585" ht="15.75" customHeight="1">
      <c r="A585" s="27"/>
      <c r="B585" s="16">
        <f t="shared" si="6"/>
        <v>45904</v>
      </c>
      <c r="C585" s="28">
        <v>45904.0</v>
      </c>
      <c r="D585" s="44">
        <v>5.0</v>
      </c>
      <c r="E585" s="50" t="s">
        <v>76</v>
      </c>
      <c r="F585" s="100" t="s">
        <v>66</v>
      </c>
      <c r="G585" s="100"/>
      <c r="H585" s="106"/>
      <c r="I585" s="100" t="s">
        <v>6</v>
      </c>
      <c r="J585" s="102" t="s">
        <v>70</v>
      </c>
      <c r="K585" s="103" t="s">
        <v>210</v>
      </c>
      <c r="L585" s="32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</row>
    <row r="586" ht="15.75" customHeight="1">
      <c r="A586" s="27"/>
      <c r="B586" s="16">
        <f t="shared" si="6"/>
        <v>45904</v>
      </c>
      <c r="C586" s="28">
        <v>45904.0</v>
      </c>
      <c r="D586" s="44">
        <v>8.0</v>
      </c>
      <c r="E586" s="50" t="s">
        <v>97</v>
      </c>
      <c r="F586" s="20" t="s">
        <v>77</v>
      </c>
      <c r="G586" s="20"/>
      <c r="H586" s="107"/>
      <c r="I586" s="20" t="s">
        <v>6</v>
      </c>
      <c r="J586" s="32" t="s">
        <v>70</v>
      </c>
      <c r="K586" s="104" t="s">
        <v>210</v>
      </c>
      <c r="L586" s="32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</row>
    <row r="587" ht="15.75" customHeight="1">
      <c r="A587" s="27"/>
      <c r="B587" s="16">
        <f t="shared" si="6"/>
        <v>45904</v>
      </c>
      <c r="C587" s="28">
        <v>45904.0</v>
      </c>
      <c r="D587" s="44">
        <v>5.0</v>
      </c>
      <c r="E587" s="50" t="s">
        <v>82</v>
      </c>
      <c r="F587" s="100" t="s">
        <v>145</v>
      </c>
      <c r="G587" s="100"/>
      <c r="H587" s="99"/>
      <c r="I587" s="87" t="s">
        <v>15</v>
      </c>
      <c r="J587" s="102" t="s">
        <v>110</v>
      </c>
      <c r="K587" s="103" t="s">
        <v>210</v>
      </c>
      <c r="L587" s="32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</row>
    <row r="588" ht="15.75" customHeight="1">
      <c r="A588" s="27"/>
      <c r="B588" s="16">
        <f t="shared" si="6"/>
        <v>45903</v>
      </c>
      <c r="C588" s="28">
        <v>45903.0</v>
      </c>
      <c r="D588" s="44">
        <v>1.0</v>
      </c>
      <c r="E588" s="50" t="s">
        <v>76</v>
      </c>
      <c r="F588" s="109" t="s">
        <v>145</v>
      </c>
      <c r="G588" s="109"/>
      <c r="H588" s="110"/>
      <c r="I588" s="111" t="s">
        <v>15</v>
      </c>
      <c r="J588" s="112" t="s">
        <v>110</v>
      </c>
      <c r="K588" s="113" t="s">
        <v>210</v>
      </c>
      <c r="L588" s="32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</row>
    <row r="589" ht="15.75" customHeight="1">
      <c r="A589" s="27"/>
      <c r="B589" s="16">
        <f t="shared" si="6"/>
        <v>45903</v>
      </c>
      <c r="C589" s="28">
        <v>45903.0</v>
      </c>
      <c r="D589" s="44">
        <v>2.0</v>
      </c>
      <c r="E589" s="50" t="s">
        <v>82</v>
      </c>
      <c r="F589" s="109" t="s">
        <v>145</v>
      </c>
      <c r="G589" s="109"/>
      <c r="H589" s="110"/>
      <c r="I589" s="111" t="s">
        <v>15</v>
      </c>
      <c r="J589" s="112" t="s">
        <v>110</v>
      </c>
      <c r="K589" s="113" t="s">
        <v>210</v>
      </c>
      <c r="L589" s="32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</row>
    <row r="590" ht="15.75" customHeight="1">
      <c r="A590" s="27"/>
      <c r="B590" s="16">
        <f t="shared" si="6"/>
        <v>45903</v>
      </c>
      <c r="C590" s="28">
        <v>45903.0</v>
      </c>
      <c r="D590" s="44">
        <v>3.0</v>
      </c>
      <c r="E590" s="50"/>
      <c r="F590" s="109" t="s">
        <v>145</v>
      </c>
      <c r="G590" s="109"/>
      <c r="H590" s="110"/>
      <c r="I590" s="111" t="s">
        <v>15</v>
      </c>
      <c r="J590" s="112" t="s">
        <v>110</v>
      </c>
      <c r="K590" s="113" t="s">
        <v>210</v>
      </c>
      <c r="L590" s="32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</row>
    <row r="591" ht="15.75" customHeight="1">
      <c r="A591" s="27"/>
      <c r="B591" s="16">
        <f t="shared" si="6"/>
        <v>45903</v>
      </c>
      <c r="C591" s="28">
        <v>45903.0</v>
      </c>
      <c r="D591" s="44">
        <v>4.0</v>
      </c>
      <c r="E591" s="50" t="s">
        <v>82</v>
      </c>
      <c r="F591" s="109" t="s">
        <v>145</v>
      </c>
      <c r="G591" s="109"/>
      <c r="H591" s="110"/>
      <c r="I591" s="111" t="s">
        <v>15</v>
      </c>
      <c r="J591" s="112" t="s">
        <v>110</v>
      </c>
      <c r="K591" s="113" t="s">
        <v>210</v>
      </c>
      <c r="L591" s="32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</row>
    <row r="592" ht="15.75" customHeight="1">
      <c r="A592" s="27"/>
      <c r="B592" s="16">
        <f t="shared" si="6"/>
        <v>45903</v>
      </c>
      <c r="C592" s="28">
        <v>45903.0</v>
      </c>
      <c r="D592" s="44">
        <v>5.0</v>
      </c>
      <c r="E592" s="50"/>
      <c r="F592" s="109" t="s">
        <v>145</v>
      </c>
      <c r="G592" s="109"/>
      <c r="H592" s="110"/>
      <c r="I592" s="111" t="s">
        <v>15</v>
      </c>
      <c r="J592" s="112" t="s">
        <v>110</v>
      </c>
      <c r="K592" s="113" t="s">
        <v>210</v>
      </c>
      <c r="L592" s="32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</row>
    <row r="593" ht="15.75" customHeight="1">
      <c r="A593" s="27"/>
      <c r="B593" s="16">
        <f t="shared" si="6"/>
        <v>45903</v>
      </c>
      <c r="C593" s="28">
        <v>45903.0</v>
      </c>
      <c r="D593" s="44">
        <v>6.0</v>
      </c>
      <c r="E593" s="50"/>
      <c r="F593" s="109" t="s">
        <v>145</v>
      </c>
      <c r="G593" s="109"/>
      <c r="H593" s="110"/>
      <c r="I593" s="111" t="s">
        <v>15</v>
      </c>
      <c r="J593" s="112" t="s">
        <v>110</v>
      </c>
      <c r="K593" s="113" t="s">
        <v>210</v>
      </c>
      <c r="L593" s="32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</row>
    <row r="594" ht="15.75" customHeight="1">
      <c r="A594" s="27"/>
      <c r="B594" s="16">
        <f t="shared" si="6"/>
        <v>45903</v>
      </c>
      <c r="C594" s="28">
        <v>45903.0</v>
      </c>
      <c r="D594" s="44">
        <v>7.0</v>
      </c>
      <c r="E594" s="50" t="s">
        <v>76</v>
      </c>
      <c r="F594" s="109" t="s">
        <v>145</v>
      </c>
      <c r="G594" s="109"/>
      <c r="H594" s="110"/>
      <c r="I594" s="111" t="s">
        <v>15</v>
      </c>
      <c r="J594" s="112" t="s">
        <v>110</v>
      </c>
      <c r="K594" s="113" t="s">
        <v>210</v>
      </c>
      <c r="L594" s="32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</row>
    <row r="595" ht="15.75" customHeight="1">
      <c r="A595" s="27"/>
      <c r="B595" s="16">
        <f t="shared" si="6"/>
        <v>45903</v>
      </c>
      <c r="C595" s="28">
        <v>45903.0</v>
      </c>
      <c r="D595" s="44">
        <v>8.0</v>
      </c>
      <c r="E595" s="50" t="s">
        <v>76</v>
      </c>
      <c r="F595" s="109" t="s">
        <v>145</v>
      </c>
      <c r="G595" s="109"/>
      <c r="H595" s="110"/>
      <c r="I595" s="111" t="s">
        <v>15</v>
      </c>
      <c r="J595" s="112" t="s">
        <v>110</v>
      </c>
      <c r="K595" s="113" t="s">
        <v>210</v>
      </c>
      <c r="L595" s="32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</row>
    <row r="596" ht="15.75" customHeight="1">
      <c r="A596" s="27"/>
      <c r="B596" s="16">
        <f t="shared" si="6"/>
        <v>45904</v>
      </c>
      <c r="C596" s="28">
        <v>45904.0</v>
      </c>
      <c r="D596" s="44">
        <v>3.0</v>
      </c>
      <c r="E596" s="50" t="s">
        <v>76</v>
      </c>
      <c r="F596" s="109" t="s">
        <v>134</v>
      </c>
      <c r="G596" s="109" t="s">
        <v>58</v>
      </c>
      <c r="H596" s="110"/>
      <c r="I596" s="111" t="s">
        <v>151</v>
      </c>
      <c r="J596" s="112" t="s">
        <v>117</v>
      </c>
      <c r="K596" s="113" t="s">
        <v>210</v>
      </c>
      <c r="L596" s="32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</row>
    <row r="597" ht="15.75" customHeight="1">
      <c r="A597" s="27"/>
      <c r="B597" s="16">
        <f t="shared" si="6"/>
        <v>45904</v>
      </c>
      <c r="C597" s="28">
        <v>45904.0</v>
      </c>
      <c r="D597" s="44">
        <v>4.0</v>
      </c>
      <c r="E597" s="50" t="s">
        <v>97</v>
      </c>
      <c r="F597" s="109" t="s">
        <v>134</v>
      </c>
      <c r="G597" s="109" t="s">
        <v>58</v>
      </c>
      <c r="H597" s="110"/>
      <c r="I597" s="111" t="s">
        <v>151</v>
      </c>
      <c r="J597" s="112" t="s">
        <v>117</v>
      </c>
      <c r="K597" s="113" t="s">
        <v>210</v>
      </c>
      <c r="L597" s="32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</row>
    <row r="598" ht="15.75" customHeight="1">
      <c r="A598" s="27"/>
      <c r="B598" s="16">
        <f t="shared" si="6"/>
        <v>45904</v>
      </c>
      <c r="C598" s="28">
        <v>45904.0</v>
      </c>
      <c r="D598" s="44">
        <v>7.0</v>
      </c>
      <c r="E598" s="50" t="s">
        <v>69</v>
      </c>
      <c r="F598" s="109" t="s">
        <v>84</v>
      </c>
      <c r="G598" s="109"/>
      <c r="H598" s="110"/>
      <c r="I598" s="111" t="s">
        <v>151</v>
      </c>
      <c r="J598" s="112" t="s">
        <v>117</v>
      </c>
      <c r="K598" s="113" t="s">
        <v>210</v>
      </c>
      <c r="L598" s="32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</row>
    <row r="599" ht="15.75" customHeight="1">
      <c r="A599" s="27"/>
      <c r="B599" s="16">
        <f t="shared" si="6"/>
        <v>45904</v>
      </c>
      <c r="C599" s="28">
        <v>45904.0</v>
      </c>
      <c r="D599" s="44">
        <v>1.0</v>
      </c>
      <c r="E599" s="50" t="s">
        <v>56</v>
      </c>
      <c r="F599" s="109" t="s">
        <v>107</v>
      </c>
      <c r="G599" s="109"/>
      <c r="H599" s="110"/>
      <c r="I599" s="111" t="s">
        <v>6</v>
      </c>
      <c r="J599" s="112" t="s">
        <v>70</v>
      </c>
      <c r="K599" s="113" t="s">
        <v>210</v>
      </c>
      <c r="L599" s="32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</row>
    <row r="600" ht="15.75" customHeight="1">
      <c r="A600" s="27"/>
      <c r="B600" s="16">
        <f t="shared" si="6"/>
        <v>45904</v>
      </c>
      <c r="C600" s="28">
        <v>45904.0</v>
      </c>
      <c r="D600" s="44">
        <v>2.0</v>
      </c>
      <c r="E600" s="50" t="s">
        <v>65</v>
      </c>
      <c r="F600" s="109" t="s">
        <v>66</v>
      </c>
      <c r="G600" s="109"/>
      <c r="H600" s="110"/>
      <c r="I600" s="111" t="s">
        <v>6</v>
      </c>
      <c r="J600" s="112" t="s">
        <v>70</v>
      </c>
      <c r="K600" s="113" t="s">
        <v>210</v>
      </c>
      <c r="L600" s="32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</row>
    <row r="601" ht="15.75" customHeight="1">
      <c r="A601" s="27"/>
      <c r="B601" s="16">
        <f t="shared" si="6"/>
        <v>45904</v>
      </c>
      <c r="C601" s="28">
        <v>45904.0</v>
      </c>
      <c r="D601" s="44">
        <v>3.0</v>
      </c>
      <c r="E601" s="50" t="s">
        <v>61</v>
      </c>
      <c r="F601" s="109" t="s">
        <v>105</v>
      </c>
      <c r="G601" s="109" t="s">
        <v>58</v>
      </c>
      <c r="H601" s="110"/>
      <c r="I601" s="111" t="s">
        <v>6</v>
      </c>
      <c r="J601" s="112" t="s">
        <v>70</v>
      </c>
      <c r="K601" s="113" t="s">
        <v>210</v>
      </c>
      <c r="L601" s="32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</row>
    <row r="602" ht="15.75" customHeight="1">
      <c r="A602" s="27"/>
      <c r="B602" s="16">
        <f t="shared" si="6"/>
        <v>45904</v>
      </c>
      <c r="C602" s="28">
        <v>45904.0</v>
      </c>
      <c r="D602" s="44">
        <v>4.0</v>
      </c>
      <c r="E602" s="50" t="s">
        <v>82</v>
      </c>
      <c r="F602" s="109" t="s">
        <v>67</v>
      </c>
      <c r="G602" s="109"/>
      <c r="H602" s="110"/>
      <c r="I602" s="111" t="s">
        <v>6</v>
      </c>
      <c r="J602" s="112" t="s">
        <v>70</v>
      </c>
      <c r="K602" s="113" t="s">
        <v>210</v>
      </c>
      <c r="L602" s="32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</row>
    <row r="603" ht="15.75" customHeight="1">
      <c r="A603" s="27"/>
      <c r="B603" s="16">
        <f t="shared" si="6"/>
        <v>45904</v>
      </c>
      <c r="C603" s="28">
        <v>45904.0</v>
      </c>
      <c r="D603" s="44">
        <v>5.0</v>
      </c>
      <c r="E603" s="50" t="s">
        <v>76</v>
      </c>
      <c r="F603" s="109" t="s">
        <v>66</v>
      </c>
      <c r="G603" s="109"/>
      <c r="H603" s="110"/>
      <c r="I603" s="111" t="s">
        <v>6</v>
      </c>
      <c r="J603" s="112" t="s">
        <v>70</v>
      </c>
      <c r="K603" s="113" t="s">
        <v>210</v>
      </c>
      <c r="L603" s="32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</row>
    <row r="604" ht="15.75" customHeight="1">
      <c r="A604" s="27"/>
      <c r="B604" s="16">
        <f t="shared" si="6"/>
        <v>45904</v>
      </c>
      <c r="C604" s="28">
        <v>45904.0</v>
      </c>
      <c r="D604" s="44">
        <v>8.0</v>
      </c>
      <c r="E604" s="50" t="s">
        <v>97</v>
      </c>
      <c r="F604" s="109" t="s">
        <v>77</v>
      </c>
      <c r="G604" s="109"/>
      <c r="H604" s="110"/>
      <c r="I604" s="111" t="s">
        <v>6</v>
      </c>
      <c r="J604" s="112" t="s">
        <v>70</v>
      </c>
      <c r="K604" s="113" t="s">
        <v>210</v>
      </c>
      <c r="L604" s="32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</row>
    <row r="605" ht="15.75" customHeight="1">
      <c r="A605" s="27"/>
      <c r="B605" s="16">
        <f t="shared" si="6"/>
        <v>45905</v>
      </c>
      <c r="C605" s="28">
        <v>45905.0</v>
      </c>
      <c r="D605" s="44">
        <v>2.0</v>
      </c>
      <c r="E605" s="50" t="s">
        <v>65</v>
      </c>
      <c r="F605" s="109" t="s">
        <v>134</v>
      </c>
      <c r="G605" s="109" t="s">
        <v>58</v>
      </c>
      <c r="H605" s="110"/>
      <c r="I605" s="111" t="s">
        <v>6</v>
      </c>
      <c r="J605" s="112" t="s">
        <v>70</v>
      </c>
      <c r="K605" s="113" t="s">
        <v>210</v>
      </c>
      <c r="L605" s="32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</row>
    <row r="606" ht="15.75" customHeight="1">
      <c r="A606" s="27"/>
      <c r="B606" s="16">
        <f t="shared" si="6"/>
        <v>45905</v>
      </c>
      <c r="C606" s="28">
        <v>45905.0</v>
      </c>
      <c r="D606" s="44">
        <v>3.0</v>
      </c>
      <c r="E606" s="50" t="s">
        <v>97</v>
      </c>
      <c r="F606" s="109" t="s">
        <v>134</v>
      </c>
      <c r="G606" s="109" t="s">
        <v>58</v>
      </c>
      <c r="H606" s="110"/>
      <c r="I606" s="111" t="s">
        <v>6</v>
      </c>
      <c r="J606" s="112" t="s">
        <v>70</v>
      </c>
      <c r="K606" s="113" t="s">
        <v>210</v>
      </c>
      <c r="L606" s="32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</row>
    <row r="607" ht="15.75" customHeight="1">
      <c r="A607" s="27"/>
      <c r="B607" s="16">
        <f t="shared" si="6"/>
        <v>45905</v>
      </c>
      <c r="C607" s="28">
        <v>45905.0</v>
      </c>
      <c r="D607" s="44">
        <v>4.0</v>
      </c>
      <c r="E607" s="50" t="s">
        <v>62</v>
      </c>
      <c r="F607" s="109" t="s">
        <v>134</v>
      </c>
      <c r="G607" s="109" t="s">
        <v>58</v>
      </c>
      <c r="H607" s="110"/>
      <c r="I607" s="111" t="s">
        <v>6</v>
      </c>
      <c r="J607" s="112" t="s">
        <v>70</v>
      </c>
      <c r="K607" s="113" t="s">
        <v>210</v>
      </c>
      <c r="L607" s="32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</row>
    <row r="608" ht="15.75" customHeight="1">
      <c r="A608" s="27"/>
      <c r="B608" s="16">
        <f t="shared" si="6"/>
        <v>45905</v>
      </c>
      <c r="C608" s="28">
        <v>45905.0</v>
      </c>
      <c r="D608" s="44">
        <v>5.0</v>
      </c>
      <c r="E608" s="50" t="s">
        <v>64</v>
      </c>
      <c r="F608" s="109" t="s">
        <v>134</v>
      </c>
      <c r="G608" s="109" t="s">
        <v>58</v>
      </c>
      <c r="H608" s="110"/>
      <c r="I608" s="111" t="s">
        <v>6</v>
      </c>
      <c r="J608" s="112" t="s">
        <v>70</v>
      </c>
      <c r="K608" s="113" t="s">
        <v>210</v>
      </c>
      <c r="L608" s="32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</row>
    <row r="609" ht="15.75" customHeight="1">
      <c r="A609" s="27"/>
      <c r="B609" s="16">
        <f t="shared" si="6"/>
        <v>45905</v>
      </c>
      <c r="C609" s="28">
        <v>45905.0</v>
      </c>
      <c r="D609" s="44">
        <v>6.0</v>
      </c>
      <c r="E609" s="50" t="s">
        <v>64</v>
      </c>
      <c r="F609" s="109" t="s">
        <v>134</v>
      </c>
      <c r="G609" s="109" t="s">
        <v>58</v>
      </c>
      <c r="H609" s="110"/>
      <c r="I609" s="111" t="s">
        <v>6</v>
      </c>
      <c r="J609" s="112" t="s">
        <v>70</v>
      </c>
      <c r="K609" s="113" t="s">
        <v>210</v>
      </c>
      <c r="L609" s="32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</row>
    <row r="610" ht="15.75" customHeight="1">
      <c r="A610" s="27"/>
      <c r="B610" s="16">
        <f t="shared" si="6"/>
        <v>45905</v>
      </c>
      <c r="C610" s="28">
        <v>45905.0</v>
      </c>
      <c r="D610" s="44">
        <v>7.0</v>
      </c>
      <c r="E610" s="50" t="s">
        <v>69</v>
      </c>
      <c r="F610" s="109" t="s">
        <v>134</v>
      </c>
      <c r="G610" s="109" t="s">
        <v>58</v>
      </c>
      <c r="H610" s="110"/>
      <c r="I610" s="111" t="s">
        <v>6</v>
      </c>
      <c r="J610" s="112" t="s">
        <v>70</v>
      </c>
      <c r="K610" s="113" t="s">
        <v>210</v>
      </c>
      <c r="L610" s="32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</row>
    <row r="611" ht="15.75" customHeight="1">
      <c r="A611" s="27"/>
      <c r="B611" s="16">
        <f t="shared" si="6"/>
        <v>45905</v>
      </c>
      <c r="C611" s="28">
        <v>45905.0</v>
      </c>
      <c r="D611" s="44">
        <v>8.0</v>
      </c>
      <c r="E611" s="50" t="s">
        <v>100</v>
      </c>
      <c r="F611" s="109" t="s">
        <v>134</v>
      </c>
      <c r="G611" s="109" t="s">
        <v>58</v>
      </c>
      <c r="H611" s="110"/>
      <c r="I611" s="111" t="s">
        <v>6</v>
      </c>
      <c r="J611" s="112" t="s">
        <v>70</v>
      </c>
      <c r="K611" s="113" t="s">
        <v>210</v>
      </c>
      <c r="L611" s="32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</row>
    <row r="612" ht="15.75" customHeight="1">
      <c r="A612" s="27"/>
      <c r="B612" s="16">
        <f t="shared" si="6"/>
        <v>45915</v>
      </c>
      <c r="C612" s="28">
        <v>45915.0</v>
      </c>
      <c r="D612" s="44">
        <v>5.0</v>
      </c>
      <c r="E612" s="50" t="s">
        <v>61</v>
      </c>
      <c r="F612" s="109" t="s">
        <v>110</v>
      </c>
      <c r="G612" s="109"/>
      <c r="H612" s="110"/>
      <c r="I612" s="114" t="s">
        <v>15</v>
      </c>
      <c r="J612" s="112" t="s">
        <v>105</v>
      </c>
      <c r="K612" s="113" t="s">
        <v>211</v>
      </c>
      <c r="L612" s="32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</row>
    <row r="613" ht="15.75" customHeight="1">
      <c r="A613" s="27"/>
      <c r="B613" s="16">
        <f t="shared" si="6"/>
        <v>45915</v>
      </c>
      <c r="C613" s="28">
        <v>45915.0</v>
      </c>
      <c r="D613" s="44">
        <v>6.0</v>
      </c>
      <c r="E613" s="50" t="s">
        <v>61</v>
      </c>
      <c r="F613" s="109" t="s">
        <v>110</v>
      </c>
      <c r="G613" s="109"/>
      <c r="H613" s="110"/>
      <c r="I613" s="114" t="s">
        <v>15</v>
      </c>
      <c r="J613" s="112" t="s">
        <v>105</v>
      </c>
      <c r="K613" s="113" t="s">
        <v>211</v>
      </c>
      <c r="L613" s="32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</row>
    <row r="614" ht="15.75" customHeight="1">
      <c r="A614" s="27"/>
      <c r="B614" s="16">
        <f t="shared" si="6"/>
        <v>45915</v>
      </c>
      <c r="C614" s="28">
        <v>45915.0</v>
      </c>
      <c r="D614" s="44">
        <v>7.0</v>
      </c>
      <c r="E614" s="50" t="s">
        <v>56</v>
      </c>
      <c r="F614" s="109" t="s">
        <v>110</v>
      </c>
      <c r="G614" s="109"/>
      <c r="H614" s="110"/>
      <c r="I614" s="114" t="s">
        <v>15</v>
      </c>
      <c r="J614" s="112" t="s">
        <v>105</v>
      </c>
      <c r="K614" s="113" t="s">
        <v>211</v>
      </c>
      <c r="L614" s="32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</row>
    <row r="615" ht="15.75" customHeight="1">
      <c r="A615" s="27"/>
      <c r="B615" s="16">
        <f t="shared" si="6"/>
        <v>45915</v>
      </c>
      <c r="C615" s="28">
        <v>45915.0</v>
      </c>
      <c r="D615" s="44">
        <v>8.0</v>
      </c>
      <c r="E615" s="50" t="s">
        <v>56</v>
      </c>
      <c r="F615" s="109" t="s">
        <v>110</v>
      </c>
      <c r="G615" s="109"/>
      <c r="H615" s="110"/>
      <c r="I615" s="114" t="s">
        <v>15</v>
      </c>
      <c r="J615" s="112" t="s">
        <v>105</v>
      </c>
      <c r="K615" s="113" t="s">
        <v>211</v>
      </c>
      <c r="L615" s="32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</row>
    <row r="616" ht="15.75" customHeight="1">
      <c r="A616" s="27"/>
      <c r="B616" s="16">
        <f t="shared" si="6"/>
        <v>45916</v>
      </c>
      <c r="C616" s="28">
        <v>45916.0</v>
      </c>
      <c r="D616" s="44">
        <v>1.0</v>
      </c>
      <c r="E616" s="50" t="s">
        <v>56</v>
      </c>
      <c r="F616" s="109" t="s">
        <v>110</v>
      </c>
      <c r="G616" s="109"/>
      <c r="H616" s="110"/>
      <c r="I616" s="114" t="s">
        <v>15</v>
      </c>
      <c r="J616" s="112" t="s">
        <v>105</v>
      </c>
      <c r="K616" s="113" t="s">
        <v>211</v>
      </c>
      <c r="L616" s="32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</row>
    <row r="617" ht="15.75" customHeight="1">
      <c r="A617" s="27"/>
      <c r="B617" s="16">
        <f t="shared" si="6"/>
        <v>45916</v>
      </c>
      <c r="C617" s="28">
        <v>45916.0</v>
      </c>
      <c r="D617" s="44">
        <v>2.0</v>
      </c>
      <c r="E617" s="50" t="s">
        <v>61</v>
      </c>
      <c r="F617" s="109" t="s">
        <v>121</v>
      </c>
      <c r="G617" s="109"/>
      <c r="H617" s="110"/>
      <c r="I617" s="114" t="s">
        <v>15</v>
      </c>
      <c r="J617" s="112" t="s">
        <v>105</v>
      </c>
      <c r="K617" s="113" t="s">
        <v>211</v>
      </c>
      <c r="L617" s="32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</row>
    <row r="618" ht="15.75" customHeight="1">
      <c r="A618" s="27"/>
      <c r="B618" s="16">
        <f t="shared" si="6"/>
        <v>45916</v>
      </c>
      <c r="C618" s="28">
        <v>45916.0</v>
      </c>
      <c r="D618" s="115">
        <v>3.0</v>
      </c>
      <c r="E618" s="116" t="s">
        <v>72</v>
      </c>
      <c r="F618" s="109" t="s">
        <v>145</v>
      </c>
      <c r="G618" s="39"/>
      <c r="H618" s="37"/>
      <c r="I618" s="114" t="s">
        <v>15</v>
      </c>
      <c r="J618" s="112" t="s">
        <v>105</v>
      </c>
      <c r="K618" s="113" t="s">
        <v>211</v>
      </c>
      <c r="L618" s="32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</row>
    <row r="619" ht="15.75" customHeight="1">
      <c r="A619" s="27"/>
      <c r="B619" s="16">
        <f t="shared" si="6"/>
        <v>45916</v>
      </c>
      <c r="C619" s="28">
        <v>45916.0</v>
      </c>
      <c r="D619" s="115">
        <v>4.0</v>
      </c>
      <c r="E619" s="117" t="s">
        <v>74</v>
      </c>
      <c r="F619" s="109" t="s">
        <v>145</v>
      </c>
      <c r="G619" s="39"/>
      <c r="H619" s="37"/>
      <c r="I619" s="114" t="s">
        <v>15</v>
      </c>
      <c r="J619" s="112" t="s">
        <v>105</v>
      </c>
      <c r="K619" s="113" t="s">
        <v>211</v>
      </c>
      <c r="L619" s="32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</row>
    <row r="620" ht="15.75" customHeight="1">
      <c r="A620" s="27"/>
      <c r="B620" s="16">
        <f t="shared" si="6"/>
        <v>45917</v>
      </c>
      <c r="C620" s="28">
        <v>45917.0</v>
      </c>
      <c r="D620" s="115">
        <v>5.0</v>
      </c>
      <c r="E620" s="117" t="s">
        <v>61</v>
      </c>
      <c r="F620" s="20" t="s">
        <v>110</v>
      </c>
      <c r="G620" s="40"/>
      <c r="H620" s="37"/>
      <c r="I620" s="114" t="s">
        <v>15</v>
      </c>
      <c r="J620" s="112" t="s">
        <v>105</v>
      </c>
      <c r="K620" s="113" t="s">
        <v>211</v>
      </c>
      <c r="L620" s="32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</row>
    <row r="621" ht="15.75" customHeight="1">
      <c r="A621" s="27"/>
      <c r="B621" s="16">
        <f t="shared" si="6"/>
        <v>45917</v>
      </c>
      <c r="C621" s="28">
        <v>45917.0</v>
      </c>
      <c r="D621" s="115">
        <v>6.0</v>
      </c>
      <c r="E621" s="116" t="s">
        <v>56</v>
      </c>
      <c r="F621" s="20" t="s">
        <v>110</v>
      </c>
      <c r="G621" s="40"/>
      <c r="H621" s="37"/>
      <c r="I621" s="114" t="s">
        <v>15</v>
      </c>
      <c r="J621" s="112" t="s">
        <v>105</v>
      </c>
      <c r="K621" s="113" t="s">
        <v>211</v>
      </c>
      <c r="L621" s="32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</row>
    <row r="622" ht="15.75" customHeight="1">
      <c r="A622" s="27"/>
      <c r="B622" s="16">
        <f t="shared" si="6"/>
        <v>45918</v>
      </c>
      <c r="C622" s="28">
        <v>45918.0</v>
      </c>
      <c r="D622" s="115">
        <v>1.0</v>
      </c>
      <c r="E622" s="116" t="s">
        <v>74</v>
      </c>
      <c r="F622" s="20" t="s">
        <v>107</v>
      </c>
      <c r="G622" s="40"/>
      <c r="H622" s="37"/>
      <c r="I622" s="114" t="s">
        <v>15</v>
      </c>
      <c r="J622" s="112" t="s">
        <v>105</v>
      </c>
      <c r="K622" s="113" t="s">
        <v>211</v>
      </c>
      <c r="L622" s="32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</row>
    <row r="623" ht="15.75" customHeight="1">
      <c r="A623" s="27"/>
      <c r="B623" s="16">
        <f t="shared" si="6"/>
        <v>45918</v>
      </c>
      <c r="C623" s="28">
        <v>45918.0</v>
      </c>
      <c r="D623" s="115">
        <v>4.0</v>
      </c>
      <c r="E623" s="116" t="s">
        <v>72</v>
      </c>
      <c r="F623" s="20" t="s">
        <v>67</v>
      </c>
      <c r="G623" s="40"/>
      <c r="H623" s="37"/>
      <c r="I623" s="114" t="s">
        <v>15</v>
      </c>
      <c r="J623" s="112" t="s">
        <v>105</v>
      </c>
      <c r="K623" s="113" t="s">
        <v>211</v>
      </c>
      <c r="L623" s="32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</row>
    <row r="624" ht="15.75" customHeight="1">
      <c r="A624" s="27"/>
      <c r="B624" s="16">
        <f t="shared" si="6"/>
        <v>45918</v>
      </c>
      <c r="C624" s="28">
        <v>45918.0</v>
      </c>
      <c r="D624" s="115">
        <v>6.0</v>
      </c>
      <c r="E624" s="116" t="s">
        <v>100</v>
      </c>
      <c r="F624" s="20" t="s">
        <v>71</v>
      </c>
      <c r="G624" s="40"/>
      <c r="H624" s="37"/>
      <c r="I624" s="114" t="s">
        <v>15</v>
      </c>
      <c r="J624" s="32" t="s">
        <v>109</v>
      </c>
      <c r="K624" s="113" t="s">
        <v>211</v>
      </c>
      <c r="L624" s="32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</row>
    <row r="625" ht="15.75" customHeight="1">
      <c r="A625" s="27"/>
      <c r="B625" s="16">
        <f t="shared" si="6"/>
        <v>45918</v>
      </c>
      <c r="C625" s="28">
        <v>45918.0</v>
      </c>
      <c r="D625" s="115">
        <v>7.0</v>
      </c>
      <c r="E625" s="116" t="s">
        <v>74</v>
      </c>
      <c r="F625" s="20" t="s">
        <v>212</v>
      </c>
      <c r="G625" s="40"/>
      <c r="H625" s="37"/>
      <c r="I625" s="114" t="s">
        <v>15</v>
      </c>
      <c r="J625" s="32" t="s">
        <v>109</v>
      </c>
      <c r="K625" s="113" t="s">
        <v>211</v>
      </c>
      <c r="L625" s="32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</row>
    <row r="626" ht="15.75" customHeight="1">
      <c r="A626" s="27"/>
      <c r="B626" s="16">
        <f t="shared" si="6"/>
        <v>45918</v>
      </c>
      <c r="C626" s="28">
        <v>45918.0</v>
      </c>
      <c r="D626" s="115">
        <v>8.0</v>
      </c>
      <c r="E626" s="117" t="s">
        <v>56</v>
      </c>
      <c r="F626" s="20" t="s">
        <v>147</v>
      </c>
      <c r="G626" s="40"/>
      <c r="H626" s="37"/>
      <c r="I626" s="114" t="s">
        <v>15</v>
      </c>
      <c r="J626" s="32" t="s">
        <v>109</v>
      </c>
      <c r="K626" s="113" t="s">
        <v>211</v>
      </c>
      <c r="L626" s="32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</row>
    <row r="627" ht="15.75" customHeight="1">
      <c r="A627" s="27"/>
      <c r="B627" s="16">
        <f t="shared" si="6"/>
        <v>45918</v>
      </c>
      <c r="C627" s="28">
        <v>45918.0</v>
      </c>
      <c r="D627" s="115">
        <v>8.0</v>
      </c>
      <c r="E627" s="116" t="s">
        <v>82</v>
      </c>
      <c r="F627" s="20" t="s">
        <v>99</v>
      </c>
      <c r="G627" s="40"/>
      <c r="H627" s="37"/>
      <c r="I627" s="114" t="s">
        <v>15</v>
      </c>
      <c r="J627" s="32"/>
      <c r="K627" s="113" t="s">
        <v>211</v>
      </c>
      <c r="L627" s="32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</row>
    <row r="628" ht="15.75" customHeight="1">
      <c r="A628" s="27"/>
      <c r="B628" s="16">
        <f t="shared" si="6"/>
        <v>45918</v>
      </c>
      <c r="C628" s="28">
        <v>45918.0</v>
      </c>
      <c r="D628" s="115">
        <v>3.0</v>
      </c>
      <c r="E628" s="116" t="s">
        <v>213</v>
      </c>
      <c r="F628" s="20" t="s">
        <v>134</v>
      </c>
      <c r="G628" s="40"/>
      <c r="H628" s="37"/>
      <c r="I628" s="32"/>
      <c r="J628" s="32" t="s">
        <v>117</v>
      </c>
      <c r="K628" s="113" t="s">
        <v>211</v>
      </c>
      <c r="L628" s="32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</row>
    <row r="629" ht="15.75" customHeight="1">
      <c r="A629" s="27"/>
      <c r="B629" s="16">
        <f t="shared" si="6"/>
        <v>45918</v>
      </c>
      <c r="C629" s="28">
        <v>45918.0</v>
      </c>
      <c r="D629" s="44">
        <v>4.0</v>
      </c>
      <c r="E629" s="117" t="s">
        <v>214</v>
      </c>
      <c r="F629" s="20" t="s">
        <v>134</v>
      </c>
      <c r="G629" s="40"/>
      <c r="H629" s="37"/>
      <c r="I629" s="32"/>
      <c r="J629" s="32" t="s">
        <v>117</v>
      </c>
      <c r="K629" s="113" t="s">
        <v>211</v>
      </c>
      <c r="L629" s="32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</row>
    <row r="630" ht="15.75" customHeight="1">
      <c r="A630" s="27"/>
      <c r="B630" s="16">
        <f t="shared" si="6"/>
        <v>45918</v>
      </c>
      <c r="C630" s="28">
        <v>45918.0</v>
      </c>
      <c r="D630" s="115">
        <v>7.0</v>
      </c>
      <c r="E630" s="118" t="s">
        <v>215</v>
      </c>
      <c r="F630" s="20" t="s">
        <v>84</v>
      </c>
      <c r="G630" s="40"/>
      <c r="H630" s="37"/>
      <c r="I630" s="32"/>
      <c r="J630" s="32" t="s">
        <v>117</v>
      </c>
      <c r="K630" s="113" t="s">
        <v>211</v>
      </c>
      <c r="L630" s="32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</row>
    <row r="631" ht="15.75" customHeight="1">
      <c r="A631" s="27"/>
      <c r="B631" s="16">
        <f t="shared" si="6"/>
        <v>45919</v>
      </c>
      <c r="C631" s="28">
        <v>45919.0</v>
      </c>
      <c r="D631" s="115">
        <v>1.0</v>
      </c>
      <c r="E631" s="116" t="s">
        <v>82</v>
      </c>
      <c r="F631" s="20" t="s">
        <v>99</v>
      </c>
      <c r="G631" s="39" t="s">
        <v>58</v>
      </c>
      <c r="H631" s="37"/>
      <c r="I631" s="114" t="s">
        <v>15</v>
      </c>
      <c r="J631" s="32" t="s">
        <v>57</v>
      </c>
      <c r="K631" s="113" t="s">
        <v>211</v>
      </c>
      <c r="L631" s="32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</row>
    <row r="632" ht="15.75" customHeight="1">
      <c r="A632" s="27"/>
      <c r="B632" s="16">
        <f t="shared" si="6"/>
        <v>45919</v>
      </c>
      <c r="C632" s="28">
        <v>45919.0</v>
      </c>
      <c r="D632" s="115">
        <v>2.0</v>
      </c>
      <c r="E632" s="116" t="s">
        <v>69</v>
      </c>
      <c r="F632" s="20" t="s">
        <v>77</v>
      </c>
      <c r="G632" s="39" t="s">
        <v>58</v>
      </c>
      <c r="H632" s="37"/>
      <c r="I632" s="114" t="s">
        <v>15</v>
      </c>
      <c r="J632" s="32" t="s">
        <v>57</v>
      </c>
      <c r="K632" s="113" t="s">
        <v>211</v>
      </c>
      <c r="L632" s="32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</row>
    <row r="633" ht="15.75" customHeight="1">
      <c r="A633" s="27"/>
      <c r="B633" s="16">
        <f t="shared" si="6"/>
        <v>45919</v>
      </c>
      <c r="C633" s="28">
        <v>45919.0</v>
      </c>
      <c r="D633" s="115">
        <v>3.0</v>
      </c>
      <c r="E633" s="116" t="s">
        <v>76</v>
      </c>
      <c r="F633" s="20" t="s">
        <v>59</v>
      </c>
      <c r="G633" s="39" t="s">
        <v>58</v>
      </c>
      <c r="H633" s="37"/>
      <c r="I633" s="114" t="s">
        <v>15</v>
      </c>
      <c r="J633" s="32" t="s">
        <v>57</v>
      </c>
      <c r="K633" s="113" t="s">
        <v>211</v>
      </c>
      <c r="L633" s="32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</row>
    <row r="634" ht="15.75" customHeight="1">
      <c r="A634" s="27"/>
      <c r="B634" s="16">
        <f t="shared" si="6"/>
        <v>45919</v>
      </c>
      <c r="C634" s="28">
        <v>45919.0</v>
      </c>
      <c r="D634" s="115">
        <v>4.0</v>
      </c>
      <c r="E634" s="117" t="s">
        <v>65</v>
      </c>
      <c r="F634" s="20" t="s">
        <v>99</v>
      </c>
      <c r="G634" s="39" t="s">
        <v>58</v>
      </c>
      <c r="H634" s="37"/>
      <c r="I634" s="114" t="s">
        <v>15</v>
      </c>
      <c r="J634" s="32" t="s">
        <v>57</v>
      </c>
      <c r="K634" s="113" t="s">
        <v>211</v>
      </c>
      <c r="L634" s="32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</row>
    <row r="635" ht="15.75" customHeight="1">
      <c r="A635" s="27"/>
      <c r="B635" s="16" t="str">
        <f t="shared" si="6"/>
        <v/>
      </c>
      <c r="C635" s="28"/>
      <c r="D635" s="119"/>
      <c r="E635" s="120"/>
      <c r="F635" s="20"/>
      <c r="G635" s="40"/>
      <c r="H635" s="37"/>
      <c r="I635" s="32"/>
      <c r="J635" s="32"/>
      <c r="K635" s="53"/>
      <c r="L635" s="32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</row>
    <row r="636" ht="15.75" customHeight="1">
      <c r="A636" s="27"/>
      <c r="B636" s="16" t="str">
        <f t="shared" si="6"/>
        <v/>
      </c>
      <c r="C636" s="28"/>
      <c r="D636" s="119"/>
      <c r="E636" s="120"/>
      <c r="F636" s="20"/>
      <c r="G636" s="40"/>
      <c r="H636" s="37"/>
      <c r="I636" s="32"/>
      <c r="J636" s="32"/>
      <c r="K636" s="53"/>
      <c r="L636" s="32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</row>
    <row r="637" ht="15.75" customHeight="1">
      <c r="A637" s="27"/>
      <c r="B637" s="16" t="str">
        <f t="shared" si="6"/>
        <v/>
      </c>
      <c r="C637" s="28"/>
      <c r="D637" s="119"/>
      <c r="E637" s="121"/>
      <c r="F637" s="20"/>
      <c r="G637" s="40"/>
      <c r="H637" s="37"/>
      <c r="I637" s="32"/>
      <c r="J637" s="32"/>
      <c r="K637" s="53"/>
      <c r="L637" s="32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</row>
    <row r="638" ht="15.75" customHeight="1">
      <c r="A638" s="27"/>
      <c r="B638" s="16" t="str">
        <f t="shared" si="6"/>
        <v/>
      </c>
      <c r="C638" s="28"/>
      <c r="D638" s="119"/>
      <c r="E638" s="120"/>
      <c r="F638" s="20"/>
      <c r="G638" s="40"/>
      <c r="H638" s="37"/>
      <c r="I638" s="32"/>
      <c r="J638" s="32"/>
      <c r="K638" s="53"/>
      <c r="L638" s="32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</row>
    <row r="639" ht="15.75" customHeight="1">
      <c r="A639" s="27"/>
      <c r="B639" s="16" t="str">
        <f t="shared" si="6"/>
        <v/>
      </c>
      <c r="C639" s="28"/>
      <c r="D639" s="119"/>
      <c r="E639" s="120"/>
      <c r="F639" s="20"/>
      <c r="G639" s="40"/>
      <c r="H639" s="37"/>
      <c r="I639" s="32"/>
      <c r="J639" s="32"/>
      <c r="K639" s="53"/>
      <c r="L639" s="32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</row>
    <row r="640" ht="15.75" customHeight="1">
      <c r="A640" s="27"/>
      <c r="B640" s="16" t="str">
        <f t="shared" si="6"/>
        <v/>
      </c>
      <c r="C640" s="28"/>
      <c r="D640" s="119"/>
      <c r="E640" s="121"/>
      <c r="F640" s="20"/>
      <c r="G640" s="40"/>
      <c r="H640" s="37"/>
      <c r="I640" s="32"/>
      <c r="J640" s="32"/>
      <c r="K640" s="53"/>
      <c r="L640" s="32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</row>
    <row r="641" ht="15.75" customHeight="1">
      <c r="A641" s="27"/>
      <c r="B641" s="16" t="str">
        <f t="shared" si="6"/>
        <v/>
      </c>
      <c r="C641" s="28"/>
      <c r="D641" s="119"/>
      <c r="E641" s="120"/>
      <c r="F641" s="20"/>
      <c r="G641" s="40"/>
      <c r="H641" s="37"/>
      <c r="I641" s="32"/>
      <c r="J641" s="32"/>
      <c r="K641" s="53"/>
      <c r="L641" s="32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</row>
    <row r="642" ht="15.75" customHeight="1">
      <c r="A642" s="27"/>
      <c r="B642" s="16" t="str">
        <f t="shared" si="6"/>
        <v/>
      </c>
      <c r="C642" s="28"/>
      <c r="D642" s="119"/>
      <c r="E642" s="120"/>
      <c r="F642" s="20"/>
      <c r="G642" s="40"/>
      <c r="H642" s="37"/>
      <c r="I642" s="32"/>
      <c r="J642" s="32"/>
      <c r="K642" s="53"/>
      <c r="L642" s="32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</row>
    <row r="643" ht="15.75" customHeight="1">
      <c r="A643" s="27"/>
      <c r="B643" s="16" t="str">
        <f t="shared" si="6"/>
        <v/>
      </c>
      <c r="C643" s="28"/>
      <c r="D643" s="119"/>
      <c r="E643" s="121"/>
      <c r="F643" s="20"/>
      <c r="G643" s="40"/>
      <c r="H643" s="37"/>
      <c r="I643" s="32"/>
      <c r="J643" s="32"/>
      <c r="K643" s="53"/>
      <c r="L643" s="32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</row>
    <row r="644" ht="15.75" customHeight="1">
      <c r="A644" s="27"/>
      <c r="B644" s="16" t="str">
        <f t="shared" si="6"/>
        <v/>
      </c>
      <c r="C644" s="28"/>
      <c r="D644" s="119"/>
      <c r="E644" s="121"/>
      <c r="F644" s="20"/>
      <c r="G644" s="40"/>
      <c r="H644" s="37"/>
      <c r="I644" s="32"/>
      <c r="J644" s="32"/>
      <c r="K644" s="53"/>
      <c r="L644" s="32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</row>
    <row r="645" ht="15.75" customHeight="1">
      <c r="A645" s="27"/>
      <c r="B645" s="16" t="str">
        <f t="shared" si="6"/>
        <v/>
      </c>
      <c r="C645" s="28"/>
      <c r="D645" s="119"/>
      <c r="E645" s="122"/>
      <c r="F645" s="20"/>
      <c r="G645" s="40"/>
      <c r="H645" s="20"/>
      <c r="I645" s="32"/>
      <c r="J645" s="32"/>
      <c r="K645" s="53"/>
      <c r="L645" s="32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</row>
    <row r="646" ht="15.75" customHeight="1">
      <c r="A646" s="27"/>
      <c r="B646" s="16" t="str">
        <f t="shared" si="6"/>
        <v/>
      </c>
      <c r="C646" s="28"/>
      <c r="D646" s="119"/>
      <c r="E646" s="120"/>
      <c r="F646" s="20"/>
      <c r="G646" s="40"/>
      <c r="H646" s="40"/>
      <c r="I646" s="32"/>
      <c r="J646" s="32"/>
      <c r="K646" s="53"/>
      <c r="L646" s="32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</row>
    <row r="647" ht="15.75" customHeight="1">
      <c r="A647" s="27"/>
      <c r="B647" s="16" t="str">
        <f t="shared" si="6"/>
        <v/>
      </c>
      <c r="C647" s="28"/>
      <c r="D647" s="119"/>
      <c r="E647" s="120"/>
      <c r="F647" s="20"/>
      <c r="G647" s="40"/>
      <c r="H647" s="37"/>
      <c r="I647" s="32"/>
      <c r="J647" s="32"/>
      <c r="K647" s="53"/>
      <c r="L647" s="32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</row>
    <row r="648" ht="15.75" customHeight="1">
      <c r="A648" s="27"/>
      <c r="B648" s="16" t="str">
        <f t="shared" si="6"/>
        <v/>
      </c>
      <c r="C648" s="28"/>
      <c r="D648" s="119"/>
      <c r="E648" s="120"/>
      <c r="F648" s="20"/>
      <c r="G648" s="40"/>
      <c r="H648" s="37"/>
      <c r="I648" s="32"/>
      <c r="J648" s="32"/>
      <c r="K648" s="53"/>
      <c r="L648" s="32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</row>
    <row r="649" ht="15.75" customHeight="1">
      <c r="A649" s="27"/>
      <c r="B649" s="16" t="str">
        <f t="shared" si="6"/>
        <v/>
      </c>
      <c r="C649" s="28"/>
      <c r="D649" s="119"/>
      <c r="E649" s="121"/>
      <c r="F649" s="20"/>
      <c r="G649" s="40"/>
      <c r="H649" s="37"/>
      <c r="I649" s="32"/>
      <c r="J649" s="32"/>
      <c r="K649" s="53"/>
      <c r="L649" s="32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</row>
    <row r="650" ht="15.75" customHeight="1">
      <c r="A650" s="27"/>
      <c r="B650" s="16" t="str">
        <f t="shared" si="6"/>
        <v/>
      </c>
      <c r="C650" s="28"/>
      <c r="D650" s="119"/>
      <c r="E650" s="121"/>
      <c r="F650" s="20"/>
      <c r="G650" s="40"/>
      <c r="H650" s="40"/>
      <c r="I650" s="32"/>
      <c r="J650" s="32"/>
      <c r="K650" s="53"/>
      <c r="L650" s="32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</row>
    <row r="651" ht="15.75" customHeight="1">
      <c r="A651" s="27"/>
      <c r="B651" s="16" t="str">
        <f t="shared" si="6"/>
        <v/>
      </c>
      <c r="C651" s="28"/>
      <c r="D651" s="119"/>
      <c r="E651" s="121"/>
      <c r="F651" s="20"/>
      <c r="G651" s="40"/>
      <c r="H651" s="40"/>
      <c r="I651" s="32"/>
      <c r="J651" s="32"/>
      <c r="K651" s="53"/>
      <c r="L651" s="32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</row>
    <row r="652" ht="15.75" customHeight="1">
      <c r="A652" s="27"/>
      <c r="B652" s="16" t="str">
        <f t="shared" si="6"/>
        <v/>
      </c>
      <c r="C652" s="28"/>
      <c r="D652" s="119"/>
      <c r="E652" s="121"/>
      <c r="F652" s="20"/>
      <c r="G652" s="40"/>
      <c r="H652" s="37"/>
      <c r="I652" s="32"/>
      <c r="J652" s="32"/>
      <c r="K652" s="53"/>
      <c r="L652" s="32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</row>
    <row r="653" ht="15.75" customHeight="1">
      <c r="A653" s="27"/>
      <c r="B653" s="16" t="str">
        <f t="shared" si="6"/>
        <v/>
      </c>
      <c r="C653" s="28"/>
      <c r="D653" s="119"/>
      <c r="E653" s="121"/>
      <c r="F653" s="20"/>
      <c r="G653" s="40"/>
      <c r="H653" s="37"/>
      <c r="I653" s="32"/>
      <c r="J653" s="32"/>
      <c r="K653" s="53"/>
      <c r="L653" s="32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</row>
    <row r="654" ht="15.75" customHeight="1">
      <c r="A654" s="27"/>
      <c r="B654" s="16" t="str">
        <f t="shared" si="6"/>
        <v/>
      </c>
      <c r="C654" s="28"/>
      <c r="D654" s="119"/>
      <c r="E654" s="121"/>
      <c r="F654" s="20"/>
      <c r="G654" s="40"/>
      <c r="H654" s="40"/>
      <c r="I654" s="32"/>
      <c r="J654" s="32"/>
      <c r="K654" s="53"/>
      <c r="L654" s="32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</row>
    <row r="655" ht="15.75" customHeight="1">
      <c r="A655" s="27"/>
      <c r="B655" s="16" t="str">
        <f t="shared" si="6"/>
        <v/>
      </c>
      <c r="C655" s="28"/>
      <c r="D655" s="119"/>
      <c r="E655" s="123"/>
      <c r="F655" s="20"/>
      <c r="G655" s="40"/>
      <c r="H655" s="40"/>
      <c r="I655" s="32"/>
      <c r="J655" s="32"/>
      <c r="K655" s="53"/>
      <c r="L655" s="32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</row>
    <row r="656" ht="15.75" customHeight="1">
      <c r="A656" s="27"/>
      <c r="B656" s="16" t="str">
        <f t="shared" si="6"/>
        <v/>
      </c>
      <c r="C656" s="28"/>
      <c r="D656" s="119"/>
      <c r="E656" s="121"/>
      <c r="F656" s="20"/>
      <c r="G656" s="40"/>
      <c r="H656" s="40"/>
      <c r="I656" s="32"/>
      <c r="J656" s="32"/>
      <c r="K656" s="53"/>
      <c r="L656" s="32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</row>
    <row r="657" ht="15.75" customHeight="1">
      <c r="A657" s="27"/>
      <c r="B657" s="16" t="str">
        <f t="shared" si="6"/>
        <v/>
      </c>
      <c r="C657" s="28"/>
      <c r="D657" s="119"/>
      <c r="E657" s="123"/>
      <c r="F657" s="20"/>
      <c r="G657" s="40"/>
      <c r="H657" s="40"/>
      <c r="I657" s="32"/>
      <c r="J657" s="32"/>
      <c r="K657" s="53"/>
      <c r="L657" s="32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</row>
    <row r="658" ht="15.75" customHeight="1">
      <c r="A658" s="27"/>
      <c r="B658" s="16" t="str">
        <f t="shared" si="6"/>
        <v/>
      </c>
      <c r="C658" s="28"/>
      <c r="D658" s="119"/>
      <c r="E658" s="123"/>
      <c r="F658" s="20"/>
      <c r="G658" s="124"/>
      <c r="H658" s="124"/>
      <c r="I658" s="32"/>
      <c r="J658" s="32"/>
      <c r="K658" s="53"/>
      <c r="L658" s="32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</row>
    <row r="659" ht="15.75" customHeight="1">
      <c r="A659" s="27"/>
      <c r="B659" s="16" t="str">
        <f t="shared" si="6"/>
        <v/>
      </c>
      <c r="C659" s="28"/>
      <c r="D659" s="119"/>
      <c r="E659" s="123"/>
      <c r="F659" s="20"/>
      <c r="G659" s="40"/>
      <c r="H659" s="40"/>
      <c r="I659" s="32"/>
      <c r="J659" s="32"/>
      <c r="K659" s="53"/>
      <c r="L659" s="32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</row>
    <row r="660" ht="15.75" customHeight="1">
      <c r="A660" s="27"/>
      <c r="B660" s="16" t="str">
        <f t="shared" si="6"/>
        <v/>
      </c>
      <c r="C660" s="28"/>
      <c r="D660" s="119"/>
      <c r="E660" s="123"/>
      <c r="F660" s="20"/>
      <c r="G660" s="40"/>
      <c r="H660" s="40"/>
      <c r="I660" s="32"/>
      <c r="J660" s="32"/>
      <c r="K660" s="53"/>
      <c r="L660" s="32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</row>
    <row r="661" ht="15.75" customHeight="1">
      <c r="A661" s="27"/>
      <c r="B661" s="16" t="str">
        <f t="shared" si="6"/>
        <v/>
      </c>
      <c r="C661" s="28"/>
      <c r="D661" s="119"/>
      <c r="E661" s="121"/>
      <c r="F661" s="20"/>
      <c r="G661" s="40"/>
      <c r="H661" s="37"/>
      <c r="I661" s="32"/>
      <c r="J661" s="32"/>
      <c r="K661" s="53"/>
      <c r="L661" s="32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</row>
    <row r="662" ht="15.75" customHeight="1">
      <c r="A662" s="27"/>
      <c r="B662" s="16" t="str">
        <f t="shared" si="6"/>
        <v/>
      </c>
      <c r="C662" s="28"/>
      <c r="D662" s="119"/>
      <c r="E662" s="121"/>
      <c r="F662" s="20"/>
      <c r="G662" s="40"/>
      <c r="H662" s="37"/>
      <c r="I662" s="32"/>
      <c r="J662" s="32"/>
      <c r="K662" s="53"/>
      <c r="L662" s="32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</row>
    <row r="663" ht="15.75" customHeight="1">
      <c r="A663" s="27"/>
      <c r="B663" s="16" t="str">
        <f t="shared" si="6"/>
        <v/>
      </c>
      <c r="C663" s="28"/>
      <c r="D663" s="119"/>
      <c r="E663" s="121"/>
      <c r="F663" s="20"/>
      <c r="G663" s="40"/>
      <c r="H663" s="37"/>
      <c r="I663" s="32"/>
      <c r="J663" s="32"/>
      <c r="K663" s="53"/>
      <c r="L663" s="32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</row>
    <row r="664" ht="15.75" customHeight="1">
      <c r="A664" s="27"/>
      <c r="B664" s="16" t="str">
        <f t="shared" si="6"/>
        <v/>
      </c>
      <c r="C664" s="28"/>
      <c r="D664" s="119"/>
      <c r="E664" s="121"/>
      <c r="F664" s="20"/>
      <c r="G664" s="40"/>
      <c r="H664" s="37"/>
      <c r="I664" s="32"/>
      <c r="J664" s="32"/>
      <c r="K664" s="53"/>
      <c r="L664" s="32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</row>
    <row r="665" ht="15.75" customHeight="1">
      <c r="A665" s="27"/>
      <c r="B665" s="16" t="str">
        <f t="shared" si="6"/>
        <v/>
      </c>
      <c r="C665" s="28"/>
      <c r="D665" s="119"/>
      <c r="E665" s="121"/>
      <c r="F665" s="20"/>
      <c r="G665" s="40"/>
      <c r="H665" s="37"/>
      <c r="I665" s="32"/>
      <c r="J665" s="32"/>
      <c r="K665" s="53"/>
      <c r="L665" s="32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</row>
    <row r="666" ht="15.75" customHeight="1">
      <c r="A666" s="27"/>
      <c r="B666" s="16" t="str">
        <f t="shared" si="6"/>
        <v/>
      </c>
      <c r="C666" s="28"/>
      <c r="D666" s="119"/>
      <c r="E666" s="120"/>
      <c r="F666" s="20"/>
      <c r="G666" s="40"/>
      <c r="H666" s="37"/>
      <c r="I666" s="32"/>
      <c r="J666" s="32"/>
      <c r="K666" s="53"/>
      <c r="L666" s="32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</row>
    <row r="667" ht="15.75" customHeight="1">
      <c r="A667" s="27"/>
      <c r="B667" s="16" t="str">
        <f t="shared" si="6"/>
        <v/>
      </c>
      <c r="C667" s="28"/>
      <c r="D667" s="119"/>
      <c r="E667" s="120"/>
      <c r="F667" s="20"/>
      <c r="G667" s="40"/>
      <c r="H667" s="37"/>
      <c r="I667" s="32"/>
      <c r="J667" s="32"/>
      <c r="K667" s="53"/>
      <c r="L667" s="32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</row>
    <row r="668" ht="15.75" customHeight="1">
      <c r="A668" s="27"/>
      <c r="B668" s="16" t="str">
        <f t="shared" si="6"/>
        <v/>
      </c>
      <c r="C668" s="28"/>
      <c r="D668" s="119"/>
      <c r="E668" s="120"/>
      <c r="F668" s="20"/>
      <c r="G668" s="40"/>
      <c r="H668" s="37"/>
      <c r="I668" s="32"/>
      <c r="J668" s="32"/>
      <c r="K668" s="53"/>
      <c r="L668" s="32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</row>
    <row r="669" ht="15.75" customHeight="1">
      <c r="A669" s="27"/>
      <c r="B669" s="16" t="str">
        <f t="shared" si="6"/>
        <v/>
      </c>
      <c r="C669" s="28"/>
      <c r="D669" s="119"/>
      <c r="E669" s="120"/>
      <c r="F669" s="20"/>
      <c r="G669" s="40"/>
      <c r="H669" s="37"/>
      <c r="I669" s="32"/>
      <c r="J669" s="32"/>
      <c r="K669" s="53"/>
      <c r="L669" s="32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</row>
    <row r="670" ht="15.75" customHeight="1">
      <c r="A670" s="27"/>
      <c r="B670" s="16" t="str">
        <f t="shared" si="6"/>
        <v/>
      </c>
      <c r="C670" s="28"/>
      <c r="D670" s="119"/>
      <c r="E670" s="121"/>
      <c r="F670" s="20"/>
      <c r="G670" s="40"/>
      <c r="H670" s="37"/>
      <c r="I670" s="32"/>
      <c r="J670" s="32"/>
      <c r="K670" s="53"/>
      <c r="L670" s="32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</row>
    <row r="671" ht="15.75" customHeight="1">
      <c r="A671" s="27"/>
      <c r="B671" s="16" t="str">
        <f t="shared" si="6"/>
        <v/>
      </c>
      <c r="C671" s="28"/>
      <c r="D671" s="119"/>
      <c r="E671" s="120"/>
      <c r="F671" s="20"/>
      <c r="G671" s="40"/>
      <c r="H671" s="37"/>
      <c r="I671" s="32"/>
      <c r="J671" s="32"/>
      <c r="K671" s="53"/>
      <c r="L671" s="32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</row>
    <row r="672" ht="15.75" customHeight="1">
      <c r="A672" s="27"/>
      <c r="B672" s="16" t="str">
        <f t="shared" si="6"/>
        <v/>
      </c>
      <c r="C672" s="28"/>
      <c r="D672" s="119"/>
      <c r="E672" s="120"/>
      <c r="F672" s="20"/>
      <c r="G672" s="40"/>
      <c r="H672" s="37"/>
      <c r="I672" s="32"/>
      <c r="J672" s="32"/>
      <c r="K672" s="53"/>
      <c r="L672" s="32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</row>
    <row r="673" ht="15.75" customHeight="1">
      <c r="A673" s="27"/>
      <c r="B673" s="16" t="str">
        <f t="shared" si="6"/>
        <v/>
      </c>
      <c r="C673" s="28"/>
      <c r="D673" s="119"/>
      <c r="E673" s="120"/>
      <c r="F673" s="20"/>
      <c r="G673" s="40"/>
      <c r="H673" s="37"/>
      <c r="I673" s="32"/>
      <c r="J673" s="32"/>
      <c r="K673" s="53"/>
      <c r="L673" s="32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</row>
    <row r="674" ht="15.75" customHeight="1">
      <c r="A674" s="27"/>
      <c r="B674" s="16" t="str">
        <f t="shared" si="6"/>
        <v/>
      </c>
      <c r="C674" s="28"/>
      <c r="D674" s="119"/>
      <c r="E674" s="121"/>
      <c r="F674" s="20"/>
      <c r="G674" s="40"/>
      <c r="H674" s="37"/>
      <c r="I674" s="32"/>
      <c r="J674" s="32"/>
      <c r="K674" s="53"/>
      <c r="L674" s="32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</row>
    <row r="675" ht="15.75" customHeight="1">
      <c r="A675" s="27"/>
      <c r="B675" s="16" t="str">
        <f t="shared" si="6"/>
        <v/>
      </c>
      <c r="C675" s="28"/>
      <c r="D675" s="119"/>
      <c r="E675" s="120"/>
      <c r="F675" s="20"/>
      <c r="G675" s="40"/>
      <c r="H675" s="37"/>
      <c r="I675" s="32"/>
      <c r="J675" s="32"/>
      <c r="K675" s="53"/>
      <c r="L675" s="32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</row>
    <row r="676" ht="15.75" customHeight="1">
      <c r="A676" s="27"/>
      <c r="B676" s="16" t="str">
        <f t="shared" si="6"/>
        <v/>
      </c>
      <c r="C676" s="28"/>
      <c r="D676" s="119"/>
      <c r="E676" s="121"/>
      <c r="F676" s="20"/>
      <c r="G676" s="40"/>
      <c r="H676" s="37"/>
      <c r="I676" s="32"/>
      <c r="J676" s="32"/>
      <c r="K676" s="53"/>
      <c r="L676" s="32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</row>
    <row r="677" ht="15.75" customHeight="1">
      <c r="A677" s="27"/>
      <c r="B677" s="16" t="str">
        <f t="shared" si="6"/>
        <v/>
      </c>
      <c r="C677" s="28"/>
      <c r="D677" s="119"/>
      <c r="E677" s="121"/>
      <c r="F677" s="20"/>
      <c r="G677" s="40"/>
      <c r="H677" s="37"/>
      <c r="I677" s="32"/>
      <c r="J677" s="32"/>
      <c r="K677" s="53"/>
      <c r="L677" s="32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</row>
    <row r="678" ht="15.75" customHeight="1">
      <c r="A678" s="27"/>
      <c r="B678" s="16" t="str">
        <f t="shared" si="6"/>
        <v/>
      </c>
      <c r="C678" s="28"/>
      <c r="D678" s="119"/>
      <c r="E678" s="121"/>
      <c r="F678" s="20"/>
      <c r="G678" s="40"/>
      <c r="H678" s="37"/>
      <c r="I678" s="32"/>
      <c r="J678" s="32"/>
      <c r="K678" s="53"/>
      <c r="L678" s="32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</row>
    <row r="679" ht="15.75" customHeight="1">
      <c r="A679" s="27"/>
      <c r="B679" s="16" t="str">
        <f t="shared" si="6"/>
        <v/>
      </c>
      <c r="C679" s="28"/>
      <c r="D679" s="119"/>
      <c r="E679" s="121"/>
      <c r="F679" s="20"/>
      <c r="G679" s="40"/>
      <c r="H679" s="37"/>
      <c r="I679" s="32"/>
      <c r="J679" s="32"/>
      <c r="K679" s="53"/>
      <c r="L679" s="32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</row>
    <row r="680" ht="15.75" customHeight="1">
      <c r="A680" s="27"/>
      <c r="B680" s="16" t="str">
        <f t="shared" si="6"/>
        <v/>
      </c>
      <c r="C680" s="28"/>
      <c r="D680" s="119"/>
      <c r="E680" s="121"/>
      <c r="F680" s="20"/>
      <c r="G680" s="40"/>
      <c r="H680" s="37"/>
      <c r="I680" s="32"/>
      <c r="J680" s="32"/>
      <c r="K680" s="53"/>
      <c r="L680" s="32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</row>
    <row r="681" ht="15.75" customHeight="1">
      <c r="A681" s="27"/>
      <c r="B681" s="16" t="str">
        <f t="shared" si="6"/>
        <v/>
      </c>
      <c r="C681" s="28"/>
      <c r="D681" s="119"/>
      <c r="E681" s="125"/>
      <c r="F681" s="20"/>
      <c r="G681" s="40"/>
      <c r="H681" s="37"/>
      <c r="I681" s="32"/>
      <c r="J681" s="32"/>
      <c r="K681" s="53"/>
      <c r="L681" s="32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</row>
    <row r="682" ht="15.75" customHeight="1">
      <c r="A682" s="27"/>
      <c r="B682" s="16" t="str">
        <f t="shared" si="6"/>
        <v/>
      </c>
      <c r="C682" s="28"/>
      <c r="D682" s="119"/>
      <c r="E682" s="126"/>
      <c r="F682" s="20"/>
      <c r="G682" s="40"/>
      <c r="H682" s="37"/>
      <c r="I682" s="32"/>
      <c r="J682" s="32"/>
      <c r="K682" s="53"/>
      <c r="L682" s="32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</row>
    <row r="683" ht="15.75" customHeight="1">
      <c r="A683" s="27"/>
      <c r="B683" s="16" t="str">
        <f t="shared" si="6"/>
        <v/>
      </c>
      <c r="C683" s="28"/>
      <c r="D683" s="119"/>
      <c r="E683" s="120"/>
      <c r="F683" s="20"/>
      <c r="G683" s="40"/>
      <c r="H683" s="37"/>
      <c r="I683" s="32"/>
      <c r="J683" s="32"/>
      <c r="K683" s="53"/>
      <c r="L683" s="32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</row>
    <row r="684" ht="15.75" customHeight="1">
      <c r="A684" s="27"/>
      <c r="B684" s="16" t="str">
        <f t="shared" si="6"/>
        <v/>
      </c>
      <c r="C684" s="28"/>
      <c r="D684" s="119"/>
      <c r="E684" s="120"/>
      <c r="F684" s="20"/>
      <c r="G684" s="40"/>
      <c r="H684" s="37"/>
      <c r="I684" s="32"/>
      <c r="J684" s="32"/>
      <c r="K684" s="53"/>
      <c r="L684" s="32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</row>
    <row r="685" ht="15.75" customHeight="1">
      <c r="A685" s="27"/>
      <c r="B685" s="16" t="str">
        <f t="shared" si="6"/>
        <v/>
      </c>
      <c r="C685" s="28"/>
      <c r="D685" s="119"/>
      <c r="E685" s="121"/>
      <c r="F685" s="20"/>
      <c r="G685" s="40"/>
      <c r="H685" s="37"/>
      <c r="I685" s="32"/>
      <c r="J685" s="32"/>
      <c r="K685" s="53"/>
      <c r="L685" s="32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</row>
    <row r="686" ht="15.75" customHeight="1">
      <c r="A686" s="27"/>
      <c r="B686" s="16" t="str">
        <f t="shared" si="6"/>
        <v/>
      </c>
      <c r="C686" s="28"/>
      <c r="D686" s="119"/>
      <c r="E686" s="127"/>
      <c r="F686" s="20"/>
      <c r="G686" s="40"/>
      <c r="H686" s="37"/>
      <c r="I686" s="32"/>
      <c r="J686" s="32"/>
      <c r="K686" s="53"/>
      <c r="L686" s="32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</row>
    <row r="687" ht="15.75" customHeight="1">
      <c r="A687" s="27"/>
      <c r="B687" s="16" t="str">
        <f t="shared" si="6"/>
        <v/>
      </c>
      <c r="C687" s="28"/>
      <c r="D687" s="119"/>
      <c r="E687" s="127"/>
      <c r="F687" s="20"/>
      <c r="G687" s="40"/>
      <c r="H687" s="37"/>
      <c r="I687" s="32"/>
      <c r="J687" s="32"/>
      <c r="K687" s="53"/>
      <c r="L687" s="32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</row>
    <row r="688" ht="15.75" customHeight="1">
      <c r="A688" s="27"/>
      <c r="B688" s="16" t="str">
        <f t="shared" si="6"/>
        <v/>
      </c>
      <c r="C688" s="28"/>
      <c r="D688" s="119"/>
      <c r="E688" s="128"/>
      <c r="F688" s="20"/>
      <c r="G688" s="40"/>
      <c r="H688" s="37"/>
      <c r="I688" s="32"/>
      <c r="J688" s="32"/>
      <c r="K688" s="53"/>
      <c r="L688" s="32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</row>
    <row r="689" ht="15.75" customHeight="1">
      <c r="A689" s="27"/>
      <c r="B689" s="16" t="str">
        <f t="shared" si="6"/>
        <v/>
      </c>
      <c r="C689" s="28"/>
      <c r="D689" s="119"/>
      <c r="E689" s="128"/>
      <c r="F689" s="20"/>
      <c r="G689" s="40"/>
      <c r="H689" s="37"/>
      <c r="I689" s="32"/>
      <c r="J689" s="32"/>
      <c r="K689" s="53"/>
      <c r="L689" s="32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</row>
    <row r="690" ht="15.75" customHeight="1">
      <c r="A690" s="27"/>
      <c r="B690" s="16" t="str">
        <f t="shared" si="6"/>
        <v/>
      </c>
      <c r="C690" s="28"/>
      <c r="D690" s="119"/>
      <c r="E690" s="120"/>
      <c r="F690" s="20"/>
      <c r="G690" s="37"/>
      <c r="H690" s="37"/>
      <c r="I690" s="32"/>
      <c r="J690" s="32"/>
      <c r="K690" s="53"/>
      <c r="L690" s="32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</row>
    <row r="691" ht="15.75" customHeight="1">
      <c r="A691" s="27"/>
      <c r="B691" s="16" t="str">
        <f t="shared" si="6"/>
        <v/>
      </c>
      <c r="C691" s="28"/>
      <c r="D691" s="119"/>
      <c r="E691" s="121"/>
      <c r="F691" s="20"/>
      <c r="G691" s="40"/>
      <c r="H691" s="20"/>
      <c r="I691" s="32"/>
      <c r="J691" s="32"/>
      <c r="K691" s="53"/>
      <c r="L691" s="32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</row>
    <row r="692" ht="15.75" customHeight="1">
      <c r="A692" s="27"/>
      <c r="B692" s="16" t="str">
        <f t="shared" si="6"/>
        <v/>
      </c>
      <c r="C692" s="28"/>
      <c r="D692" s="119"/>
      <c r="E692" s="121"/>
      <c r="F692" s="20"/>
      <c r="G692" s="40"/>
      <c r="H692" s="20"/>
      <c r="I692" s="32"/>
      <c r="J692" s="32"/>
      <c r="K692" s="53"/>
      <c r="L692" s="32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</row>
    <row r="693" ht="15.75" customHeight="1">
      <c r="A693" s="27"/>
      <c r="B693" s="16" t="str">
        <f t="shared" si="6"/>
        <v/>
      </c>
      <c r="C693" s="28"/>
      <c r="D693" s="129"/>
      <c r="E693" s="129"/>
      <c r="F693" s="20"/>
      <c r="G693" s="37"/>
      <c r="H693" s="20"/>
      <c r="I693" s="32"/>
      <c r="J693" s="32"/>
      <c r="K693" s="53"/>
      <c r="L693" s="32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</row>
    <row r="694" ht="15.75" customHeight="1">
      <c r="A694" s="27"/>
      <c r="B694" s="16" t="str">
        <f t="shared" si="6"/>
        <v/>
      </c>
      <c r="C694" s="28"/>
      <c r="D694" s="129"/>
      <c r="E694" s="129"/>
      <c r="F694" s="20"/>
      <c r="G694" s="37"/>
      <c r="H694" s="20"/>
      <c r="I694" s="32"/>
      <c r="J694" s="32"/>
      <c r="K694" s="53"/>
      <c r="L694" s="32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</row>
    <row r="695" ht="15.75" customHeight="1">
      <c r="A695" s="27"/>
      <c r="B695" s="16" t="str">
        <f t="shared" si="6"/>
        <v/>
      </c>
      <c r="C695" s="28"/>
      <c r="D695" s="119"/>
      <c r="E695" s="120"/>
      <c r="F695" s="20"/>
      <c r="G695" s="40"/>
      <c r="H695" s="37"/>
      <c r="I695" s="32"/>
      <c r="J695" s="32"/>
      <c r="K695" s="53"/>
      <c r="L695" s="32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</row>
    <row r="696" ht="15.75" customHeight="1">
      <c r="A696" s="27"/>
      <c r="B696" s="16" t="str">
        <f t="shared" si="6"/>
        <v/>
      </c>
      <c r="C696" s="28"/>
      <c r="D696" s="119"/>
      <c r="E696" s="120"/>
      <c r="F696" s="20"/>
      <c r="G696" s="40"/>
      <c r="H696" s="37"/>
      <c r="I696" s="32"/>
      <c r="J696" s="32"/>
      <c r="K696" s="53"/>
      <c r="L696" s="32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</row>
    <row r="697" ht="15.75" customHeight="1">
      <c r="A697" s="27"/>
      <c r="B697" s="16" t="str">
        <f t="shared" si="6"/>
        <v/>
      </c>
      <c r="C697" s="28"/>
      <c r="D697" s="119"/>
      <c r="E697" s="121"/>
      <c r="F697" s="20"/>
      <c r="G697" s="40"/>
      <c r="H697" s="37"/>
      <c r="I697" s="32"/>
      <c r="J697" s="32"/>
      <c r="K697" s="53"/>
      <c r="L697" s="32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</row>
    <row r="698" ht="15.75" customHeight="1">
      <c r="A698" s="27"/>
      <c r="B698" s="16" t="str">
        <f t="shared" si="6"/>
        <v/>
      </c>
      <c r="C698" s="28"/>
      <c r="D698" s="119"/>
      <c r="E698" s="121"/>
      <c r="F698" s="20"/>
      <c r="G698" s="40"/>
      <c r="H698" s="20"/>
      <c r="I698" s="32"/>
      <c r="J698" s="32"/>
      <c r="K698" s="53"/>
      <c r="L698" s="32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</row>
    <row r="699" ht="15.75" customHeight="1">
      <c r="A699" s="27"/>
      <c r="B699" s="16" t="str">
        <f t="shared" si="6"/>
        <v/>
      </c>
      <c r="C699" s="28"/>
      <c r="D699" s="119"/>
      <c r="E699" s="121"/>
      <c r="F699" s="20"/>
      <c r="G699" s="40"/>
      <c r="H699" s="20"/>
      <c r="I699" s="32"/>
      <c r="J699" s="32"/>
      <c r="K699" s="53"/>
      <c r="L699" s="32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</row>
    <row r="700" ht="15.75" customHeight="1">
      <c r="A700" s="27"/>
      <c r="B700" s="16" t="str">
        <f t="shared" si="6"/>
        <v/>
      </c>
      <c r="C700" s="28"/>
      <c r="D700" s="119"/>
      <c r="E700" s="121"/>
      <c r="F700" s="20"/>
      <c r="G700" s="37"/>
      <c r="H700" s="20"/>
      <c r="I700" s="32"/>
      <c r="J700" s="32"/>
      <c r="K700" s="53"/>
      <c r="L700" s="32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</row>
    <row r="701" ht="15.75" customHeight="1">
      <c r="A701" s="27"/>
      <c r="B701" s="16" t="str">
        <f t="shared" si="6"/>
        <v/>
      </c>
      <c r="C701" s="28"/>
      <c r="D701" s="119"/>
      <c r="E701" s="121"/>
      <c r="F701" s="20"/>
      <c r="G701" s="37"/>
      <c r="H701" s="20"/>
      <c r="I701" s="32"/>
      <c r="J701" s="32"/>
      <c r="K701" s="53"/>
      <c r="L701" s="32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</row>
    <row r="702" ht="15.75" customHeight="1">
      <c r="A702" s="27"/>
      <c r="B702" s="16" t="str">
        <f t="shared" si="6"/>
        <v/>
      </c>
      <c r="C702" s="28"/>
      <c r="D702" s="119"/>
      <c r="E702" s="121"/>
      <c r="F702" s="20"/>
      <c r="G702" s="37"/>
      <c r="H702" s="20"/>
      <c r="I702" s="32"/>
      <c r="J702" s="32"/>
      <c r="K702" s="53"/>
      <c r="L702" s="32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</row>
    <row r="703" ht="15.75" customHeight="1">
      <c r="A703" s="27"/>
      <c r="B703" s="16" t="str">
        <f t="shared" si="6"/>
        <v/>
      </c>
      <c r="C703" s="28"/>
      <c r="D703" s="119"/>
      <c r="E703" s="121"/>
      <c r="F703" s="20"/>
      <c r="G703" s="37"/>
      <c r="H703" s="20"/>
      <c r="I703" s="32"/>
      <c r="J703" s="32"/>
      <c r="K703" s="53"/>
      <c r="L703" s="32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</row>
    <row r="704" ht="15.75" customHeight="1">
      <c r="A704" s="27"/>
      <c r="B704" s="16" t="str">
        <f t="shared" si="6"/>
        <v/>
      </c>
      <c r="C704" s="28"/>
      <c r="D704" s="119"/>
      <c r="E704" s="120"/>
      <c r="F704" s="20"/>
      <c r="G704" s="40"/>
      <c r="H704" s="20"/>
      <c r="I704" s="32"/>
      <c r="J704" s="32"/>
      <c r="K704" s="53"/>
      <c r="L704" s="32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</row>
    <row r="705" ht="15.75" customHeight="1">
      <c r="A705" s="27"/>
      <c r="B705" s="16" t="str">
        <f t="shared" si="6"/>
        <v/>
      </c>
      <c r="C705" s="28"/>
      <c r="D705" s="119"/>
      <c r="E705" s="125"/>
      <c r="F705" s="20"/>
      <c r="G705" s="40"/>
      <c r="H705" s="20"/>
      <c r="I705" s="32"/>
      <c r="J705" s="32"/>
      <c r="K705" s="53"/>
      <c r="L705" s="32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</row>
    <row r="706" ht="15.75" customHeight="1">
      <c r="A706" s="27"/>
      <c r="B706" s="16" t="str">
        <f t="shared" si="6"/>
        <v/>
      </c>
      <c r="C706" s="28"/>
      <c r="D706" s="119"/>
      <c r="E706" s="121"/>
      <c r="F706" s="20"/>
      <c r="G706" s="40"/>
      <c r="H706" s="20"/>
      <c r="I706" s="32"/>
      <c r="J706" s="32"/>
      <c r="K706" s="53"/>
      <c r="L706" s="32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</row>
    <row r="707" ht="15.75" customHeight="1">
      <c r="A707" s="27"/>
      <c r="B707" s="16" t="str">
        <f t="shared" si="6"/>
        <v/>
      </c>
      <c r="C707" s="28"/>
      <c r="D707" s="119"/>
      <c r="E707" s="121"/>
      <c r="F707" s="20"/>
      <c r="G707" s="40"/>
      <c r="H707" s="20"/>
      <c r="I707" s="32"/>
      <c r="J707" s="32"/>
      <c r="K707" s="53"/>
      <c r="L707" s="32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</row>
    <row r="708" ht="15.75" customHeight="1">
      <c r="A708" s="27"/>
      <c r="B708" s="16" t="str">
        <f t="shared" si="6"/>
        <v/>
      </c>
      <c r="C708" s="28"/>
      <c r="D708" s="119"/>
      <c r="E708" s="121"/>
      <c r="F708" s="20"/>
      <c r="G708" s="40"/>
      <c r="H708" s="20"/>
      <c r="I708" s="32"/>
      <c r="J708" s="32"/>
      <c r="K708" s="53"/>
      <c r="L708" s="32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</row>
    <row r="709" ht="15.75" customHeight="1">
      <c r="A709" s="27"/>
      <c r="B709" s="16" t="str">
        <f t="shared" si="6"/>
        <v/>
      </c>
      <c r="C709" s="28"/>
      <c r="D709" s="119"/>
      <c r="E709" s="121"/>
      <c r="F709" s="20"/>
      <c r="G709" s="40"/>
      <c r="H709" s="20"/>
      <c r="I709" s="32"/>
      <c r="J709" s="32"/>
      <c r="K709" s="53"/>
      <c r="L709" s="32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</row>
    <row r="710" ht="15.75" customHeight="1">
      <c r="A710" s="27"/>
      <c r="B710" s="16" t="str">
        <f t="shared" si="6"/>
        <v/>
      </c>
      <c r="C710" s="28"/>
      <c r="D710" s="119"/>
      <c r="E710" s="121"/>
      <c r="F710" s="20"/>
      <c r="G710" s="40"/>
      <c r="H710" s="20"/>
      <c r="I710" s="32"/>
      <c r="J710" s="32"/>
      <c r="K710" s="53"/>
      <c r="L710" s="32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</row>
    <row r="711" ht="15.75" customHeight="1">
      <c r="A711" s="27"/>
      <c r="B711" s="16" t="str">
        <f t="shared" si="6"/>
        <v/>
      </c>
      <c r="C711" s="28"/>
      <c r="D711" s="119"/>
      <c r="E711" s="121"/>
      <c r="F711" s="20"/>
      <c r="G711" s="40"/>
      <c r="H711" s="20"/>
      <c r="I711" s="32"/>
      <c r="J711" s="32"/>
      <c r="K711" s="53"/>
      <c r="L711" s="32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</row>
    <row r="712" ht="15.75" customHeight="1">
      <c r="A712" s="27"/>
      <c r="B712" s="16" t="str">
        <f t="shared" si="6"/>
        <v/>
      </c>
      <c r="C712" s="28"/>
      <c r="D712" s="119"/>
      <c r="E712" s="121"/>
      <c r="F712" s="20"/>
      <c r="G712" s="40"/>
      <c r="H712" s="20"/>
      <c r="I712" s="32"/>
      <c r="J712" s="32"/>
      <c r="K712" s="53"/>
      <c r="L712" s="32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</row>
    <row r="713" ht="15.75" customHeight="1">
      <c r="A713" s="27"/>
      <c r="B713" s="16" t="str">
        <f t="shared" si="6"/>
        <v/>
      </c>
      <c r="C713" s="28"/>
      <c r="D713" s="119"/>
      <c r="E713" s="121"/>
      <c r="F713" s="20"/>
      <c r="G713" s="37"/>
      <c r="H713" s="20"/>
      <c r="I713" s="32"/>
      <c r="J713" s="32"/>
      <c r="K713" s="53"/>
      <c r="L713" s="32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</row>
    <row r="714" ht="15.75" customHeight="1">
      <c r="A714" s="27"/>
      <c r="B714" s="16" t="str">
        <f t="shared" si="6"/>
        <v/>
      </c>
      <c r="C714" s="28"/>
      <c r="D714" s="119"/>
      <c r="E714" s="121"/>
      <c r="F714" s="20"/>
      <c r="G714" s="37"/>
      <c r="H714" s="20"/>
      <c r="I714" s="32"/>
      <c r="J714" s="32"/>
      <c r="K714" s="53"/>
      <c r="L714" s="32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</row>
    <row r="715" ht="15.75" customHeight="1">
      <c r="A715" s="27"/>
      <c r="B715" s="16" t="str">
        <f t="shared" si="6"/>
        <v/>
      </c>
      <c r="C715" s="28"/>
      <c r="D715" s="119"/>
      <c r="E715" s="121"/>
      <c r="F715" s="20"/>
      <c r="G715" s="37"/>
      <c r="H715" s="20"/>
      <c r="I715" s="32"/>
      <c r="J715" s="32"/>
      <c r="K715" s="53"/>
      <c r="L715" s="32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</row>
    <row r="716" ht="15.75" customHeight="1">
      <c r="A716" s="27"/>
      <c r="B716" s="16" t="str">
        <f t="shared" si="6"/>
        <v/>
      </c>
      <c r="C716" s="28"/>
      <c r="D716" s="119"/>
      <c r="E716" s="121"/>
      <c r="F716" s="20"/>
      <c r="G716" s="37"/>
      <c r="H716" s="20"/>
      <c r="I716" s="32"/>
      <c r="J716" s="32"/>
      <c r="K716" s="53"/>
      <c r="L716" s="32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</row>
    <row r="717" ht="15.75" customHeight="1">
      <c r="A717" s="27"/>
      <c r="B717" s="16" t="str">
        <f t="shared" si="6"/>
        <v/>
      </c>
      <c r="C717" s="28"/>
      <c r="D717" s="119"/>
      <c r="E717" s="121"/>
      <c r="F717" s="20"/>
      <c r="G717" s="37"/>
      <c r="H717" s="20"/>
      <c r="I717" s="32"/>
      <c r="J717" s="32"/>
      <c r="K717" s="53"/>
      <c r="L717" s="32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</row>
    <row r="718" ht="15.75" customHeight="1">
      <c r="A718" s="27"/>
      <c r="B718" s="16" t="str">
        <f t="shared" si="6"/>
        <v/>
      </c>
      <c r="C718" s="28"/>
      <c r="D718" s="119"/>
      <c r="E718" s="121"/>
      <c r="F718" s="20"/>
      <c r="G718" s="37"/>
      <c r="H718" s="20"/>
      <c r="I718" s="32"/>
      <c r="J718" s="32"/>
      <c r="K718" s="53"/>
      <c r="L718" s="32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</row>
    <row r="719" ht="15.75" customHeight="1">
      <c r="A719" s="27"/>
      <c r="B719" s="16" t="str">
        <f t="shared" si="6"/>
        <v/>
      </c>
      <c r="C719" s="28"/>
      <c r="D719" s="119"/>
      <c r="E719" s="130"/>
      <c r="F719" s="20"/>
      <c r="G719" s="37"/>
      <c r="H719" s="37"/>
      <c r="I719" s="32"/>
      <c r="J719" s="32"/>
      <c r="K719" s="53"/>
      <c r="L719" s="32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</row>
    <row r="720" ht="15.75" customHeight="1">
      <c r="A720" s="27"/>
      <c r="B720" s="16" t="str">
        <f t="shared" si="6"/>
        <v/>
      </c>
      <c r="C720" s="28"/>
      <c r="D720" s="119"/>
      <c r="E720" s="127"/>
      <c r="F720" s="20"/>
      <c r="G720" s="37"/>
      <c r="H720" s="37"/>
      <c r="I720" s="32"/>
      <c r="J720" s="32"/>
      <c r="K720" s="53"/>
      <c r="L720" s="32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</row>
    <row r="721" ht="15.75" customHeight="1">
      <c r="A721" s="27"/>
      <c r="B721" s="16" t="str">
        <f t="shared" si="6"/>
        <v/>
      </c>
      <c r="C721" s="28"/>
      <c r="D721" s="119"/>
      <c r="E721" s="127"/>
      <c r="F721" s="20"/>
      <c r="G721" s="37"/>
      <c r="H721" s="37"/>
      <c r="I721" s="32"/>
      <c r="J721" s="32"/>
      <c r="K721" s="53"/>
      <c r="L721" s="32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</row>
    <row r="722" ht="15.75" customHeight="1">
      <c r="A722" s="27"/>
      <c r="B722" s="16" t="str">
        <f t="shared" si="6"/>
        <v/>
      </c>
      <c r="C722" s="28"/>
      <c r="D722" s="119"/>
      <c r="E722" s="127"/>
      <c r="F722" s="20"/>
      <c r="G722" s="37"/>
      <c r="H722" s="37"/>
      <c r="I722" s="32"/>
      <c r="J722" s="32"/>
      <c r="K722" s="53"/>
      <c r="L722" s="32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</row>
    <row r="723" ht="15.75" customHeight="1">
      <c r="A723" s="27"/>
      <c r="B723" s="16" t="str">
        <f t="shared" si="6"/>
        <v/>
      </c>
      <c r="C723" s="28"/>
      <c r="D723" s="119"/>
      <c r="E723" s="120"/>
      <c r="F723" s="20"/>
      <c r="G723" s="40"/>
      <c r="H723" s="37"/>
      <c r="I723" s="32"/>
      <c r="J723" s="32"/>
      <c r="K723" s="53"/>
      <c r="L723" s="32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</row>
    <row r="724" ht="15.75" customHeight="1">
      <c r="A724" s="27"/>
      <c r="B724" s="16" t="str">
        <f t="shared" si="6"/>
        <v/>
      </c>
      <c r="C724" s="28"/>
      <c r="D724" s="119"/>
      <c r="E724" s="120"/>
      <c r="F724" s="20"/>
      <c r="G724" s="40"/>
      <c r="H724" s="37"/>
      <c r="I724" s="32"/>
      <c r="J724" s="32"/>
      <c r="K724" s="53"/>
      <c r="L724" s="32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</row>
    <row r="725" ht="15.75" customHeight="1">
      <c r="A725" s="27"/>
      <c r="B725" s="16" t="str">
        <f t="shared" si="6"/>
        <v/>
      </c>
      <c r="C725" s="28"/>
      <c r="D725" s="119"/>
      <c r="E725" s="131"/>
      <c r="F725" s="20"/>
      <c r="G725" s="37"/>
      <c r="H725" s="37"/>
      <c r="I725" s="32"/>
      <c r="J725" s="32"/>
      <c r="K725" s="53"/>
      <c r="L725" s="32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</row>
    <row r="726" ht="15.75" customHeight="1">
      <c r="A726" s="27"/>
      <c r="B726" s="16" t="str">
        <f t="shared" si="6"/>
        <v/>
      </c>
      <c r="C726" s="28"/>
      <c r="D726" s="119"/>
      <c r="E726" s="121"/>
      <c r="F726" s="20"/>
      <c r="G726" s="37"/>
      <c r="H726" s="37"/>
      <c r="I726" s="32"/>
      <c r="J726" s="32"/>
      <c r="K726" s="53"/>
      <c r="L726" s="32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</row>
    <row r="727" ht="15.75" customHeight="1">
      <c r="A727" s="27"/>
      <c r="B727" s="16" t="str">
        <f t="shared" si="6"/>
        <v/>
      </c>
      <c r="C727" s="28"/>
      <c r="D727" s="119"/>
      <c r="E727" s="46"/>
      <c r="F727" s="20"/>
      <c r="G727" s="37"/>
      <c r="H727" s="37"/>
      <c r="I727" s="32"/>
      <c r="J727" s="32"/>
      <c r="K727" s="53"/>
      <c r="L727" s="32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</row>
    <row r="728" ht="15.75" customHeight="1">
      <c r="A728" s="27"/>
      <c r="B728" s="16" t="str">
        <f t="shared" si="6"/>
        <v/>
      </c>
      <c r="C728" s="28"/>
      <c r="D728" s="119"/>
      <c r="E728" s="132"/>
      <c r="F728" s="20"/>
      <c r="G728" s="37"/>
      <c r="H728" s="37"/>
      <c r="I728" s="32"/>
      <c r="J728" s="32"/>
      <c r="K728" s="53"/>
      <c r="L728" s="32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</row>
    <row r="729" ht="15.75" customHeight="1">
      <c r="A729" s="27"/>
      <c r="B729" s="16" t="str">
        <f t="shared" si="6"/>
        <v/>
      </c>
      <c r="C729" s="28"/>
      <c r="D729" s="119"/>
      <c r="E729" s="132"/>
      <c r="F729" s="20"/>
      <c r="G729" s="37"/>
      <c r="H729" s="37"/>
      <c r="I729" s="32"/>
      <c r="J729" s="32"/>
      <c r="K729" s="53"/>
      <c r="L729" s="32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</row>
    <row r="730" ht="15.75" customHeight="1">
      <c r="A730" s="27"/>
      <c r="B730" s="16" t="str">
        <f t="shared" si="6"/>
        <v/>
      </c>
      <c r="C730" s="28"/>
      <c r="D730" s="119"/>
      <c r="E730" s="132"/>
      <c r="F730" s="20"/>
      <c r="G730" s="37"/>
      <c r="H730" s="37"/>
      <c r="I730" s="32"/>
      <c r="J730" s="32"/>
      <c r="K730" s="53"/>
      <c r="L730" s="32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</row>
    <row r="731" ht="15.75" customHeight="1">
      <c r="A731" s="27"/>
      <c r="B731" s="16" t="str">
        <f t="shared" si="6"/>
        <v/>
      </c>
      <c r="C731" s="28"/>
      <c r="D731" s="119"/>
      <c r="E731" s="120"/>
      <c r="F731" s="20"/>
      <c r="G731" s="37"/>
      <c r="H731" s="37"/>
      <c r="I731" s="32"/>
      <c r="J731" s="32"/>
      <c r="K731" s="53"/>
      <c r="L731" s="32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</row>
    <row r="732" ht="15.75" customHeight="1">
      <c r="A732" s="27"/>
      <c r="B732" s="16" t="str">
        <f t="shared" si="6"/>
        <v/>
      </c>
      <c r="C732" s="28"/>
      <c r="D732" s="119"/>
      <c r="E732" s="133"/>
      <c r="F732" s="20"/>
      <c r="G732" s="37"/>
      <c r="H732" s="20"/>
      <c r="I732" s="32"/>
      <c r="J732" s="32"/>
      <c r="K732" s="53"/>
      <c r="L732" s="32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</row>
    <row r="733" ht="15.75" customHeight="1">
      <c r="A733" s="27"/>
      <c r="B733" s="16" t="str">
        <f t="shared" si="6"/>
        <v/>
      </c>
      <c r="C733" s="28"/>
      <c r="D733" s="119"/>
      <c r="E733" s="133"/>
      <c r="F733" s="20"/>
      <c r="G733" s="37"/>
      <c r="H733" s="20"/>
      <c r="I733" s="32"/>
      <c r="J733" s="32"/>
      <c r="K733" s="53"/>
      <c r="L733" s="32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</row>
    <row r="734" ht="15.75" customHeight="1">
      <c r="A734" s="27"/>
      <c r="B734" s="16" t="str">
        <f t="shared" si="6"/>
        <v/>
      </c>
      <c r="C734" s="28"/>
      <c r="D734" s="119"/>
      <c r="E734" s="120"/>
      <c r="F734" s="20"/>
      <c r="G734" s="37"/>
      <c r="H734" s="20"/>
      <c r="I734" s="32"/>
      <c r="J734" s="32"/>
      <c r="K734" s="53"/>
      <c r="L734" s="32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</row>
    <row r="735" ht="15.75" customHeight="1">
      <c r="A735" s="27"/>
      <c r="B735" s="16" t="str">
        <f t="shared" si="6"/>
        <v/>
      </c>
      <c r="C735" s="28"/>
      <c r="D735" s="119"/>
      <c r="E735" s="120"/>
      <c r="F735" s="20"/>
      <c r="G735" s="37"/>
      <c r="H735" s="20"/>
      <c r="I735" s="32"/>
      <c r="J735" s="32"/>
      <c r="K735" s="53"/>
      <c r="L735" s="32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</row>
    <row r="736" ht="15.75" customHeight="1">
      <c r="A736" s="27"/>
      <c r="B736" s="16" t="str">
        <f t="shared" si="6"/>
        <v/>
      </c>
      <c r="C736" s="28"/>
      <c r="D736" s="119"/>
      <c r="E736" s="66"/>
      <c r="F736" s="20"/>
      <c r="G736" s="37"/>
      <c r="H736" s="37"/>
      <c r="I736" s="32"/>
      <c r="J736" s="32"/>
      <c r="K736" s="53"/>
      <c r="L736" s="32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</row>
    <row r="737" ht="15.75" customHeight="1">
      <c r="A737" s="27"/>
      <c r="B737" s="16" t="str">
        <f t="shared" si="6"/>
        <v/>
      </c>
      <c r="C737" s="28"/>
      <c r="D737" s="119"/>
      <c r="E737" s="67"/>
      <c r="F737" s="20"/>
      <c r="G737" s="37"/>
      <c r="H737" s="37"/>
      <c r="I737" s="32"/>
      <c r="J737" s="32"/>
      <c r="K737" s="53"/>
      <c r="L737" s="32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</row>
    <row r="738" ht="15.75" customHeight="1">
      <c r="A738" s="27"/>
      <c r="B738" s="16" t="str">
        <f t="shared" si="6"/>
        <v/>
      </c>
      <c r="C738" s="28"/>
      <c r="D738" s="119"/>
      <c r="E738" s="66"/>
      <c r="F738" s="20"/>
      <c r="G738" s="37"/>
      <c r="H738" s="37"/>
      <c r="I738" s="32"/>
      <c r="J738" s="32"/>
      <c r="K738" s="53"/>
      <c r="L738" s="32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</row>
    <row r="739" ht="15.75" customHeight="1">
      <c r="A739" s="27"/>
      <c r="B739" s="16" t="str">
        <f t="shared" si="6"/>
        <v/>
      </c>
      <c r="C739" s="28"/>
      <c r="D739" s="119"/>
      <c r="E739" s="66"/>
      <c r="F739" s="20"/>
      <c r="G739" s="37"/>
      <c r="H739" s="37"/>
      <c r="I739" s="32"/>
      <c r="J739" s="32"/>
      <c r="K739" s="53"/>
      <c r="L739" s="32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</row>
    <row r="740" ht="15.75" customHeight="1">
      <c r="A740" s="27"/>
      <c r="B740" s="16" t="str">
        <f t="shared" si="6"/>
        <v/>
      </c>
      <c r="C740" s="28"/>
      <c r="D740" s="119"/>
      <c r="E740" s="69"/>
      <c r="F740" s="20"/>
      <c r="G740" s="37"/>
      <c r="H740" s="37"/>
      <c r="I740" s="32"/>
      <c r="J740" s="32"/>
      <c r="K740" s="53"/>
      <c r="L740" s="32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</row>
    <row r="741" ht="15.75" customHeight="1">
      <c r="A741" s="27"/>
      <c r="B741" s="16" t="str">
        <f t="shared" si="6"/>
        <v/>
      </c>
      <c r="C741" s="28"/>
      <c r="D741" s="119"/>
      <c r="E741" s="66"/>
      <c r="F741" s="20"/>
      <c r="G741" s="63"/>
      <c r="H741" s="37"/>
      <c r="I741" s="32"/>
      <c r="J741" s="32"/>
      <c r="K741" s="53"/>
      <c r="L741" s="32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</row>
    <row r="742" ht="15.75" customHeight="1">
      <c r="A742" s="27"/>
      <c r="B742" s="16" t="str">
        <f t="shared" si="6"/>
        <v/>
      </c>
      <c r="C742" s="28"/>
      <c r="D742" s="119"/>
      <c r="E742" s="134"/>
      <c r="F742" s="20"/>
      <c r="G742" s="63"/>
      <c r="H742" s="37"/>
      <c r="I742" s="32"/>
      <c r="J742" s="32"/>
      <c r="K742" s="53"/>
      <c r="L742" s="32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</row>
    <row r="743" ht="15.75" customHeight="1">
      <c r="A743" s="27"/>
      <c r="B743" s="16" t="str">
        <f t="shared" si="6"/>
        <v/>
      </c>
      <c r="C743" s="28"/>
      <c r="D743" s="119"/>
      <c r="E743" s="135"/>
      <c r="F743" s="20"/>
      <c r="G743" s="63"/>
      <c r="H743" s="37"/>
      <c r="I743" s="32"/>
      <c r="J743" s="32"/>
      <c r="K743" s="53"/>
      <c r="L743" s="32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</row>
    <row r="744" ht="15.75" customHeight="1">
      <c r="A744" s="27"/>
      <c r="B744" s="16" t="str">
        <f t="shared" si="6"/>
        <v/>
      </c>
      <c r="C744" s="28"/>
      <c r="D744" s="119"/>
      <c r="E744" s="67"/>
      <c r="F744" s="20"/>
      <c r="G744" s="63"/>
      <c r="H744" s="37"/>
      <c r="I744" s="32"/>
      <c r="J744" s="32"/>
      <c r="K744" s="53"/>
      <c r="L744" s="32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</row>
    <row r="745" ht="15.75" customHeight="1">
      <c r="A745" s="27"/>
      <c r="B745" s="16" t="str">
        <f t="shared" si="6"/>
        <v/>
      </c>
      <c r="C745" s="28"/>
      <c r="D745" s="119"/>
      <c r="E745" s="136"/>
      <c r="F745" s="20"/>
      <c r="G745" s="63"/>
      <c r="H745" s="37"/>
      <c r="I745" s="32"/>
      <c r="J745" s="32"/>
      <c r="K745" s="53"/>
      <c r="L745" s="32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</row>
    <row r="746" ht="15.75" customHeight="1">
      <c r="A746" s="27"/>
      <c r="B746" s="16" t="str">
        <f t="shared" si="6"/>
        <v/>
      </c>
      <c r="C746" s="28"/>
      <c r="D746" s="119"/>
      <c r="E746" s="135"/>
      <c r="F746" s="20"/>
      <c r="G746" s="63"/>
      <c r="H746" s="37"/>
      <c r="I746" s="32"/>
      <c r="J746" s="32"/>
      <c r="K746" s="53"/>
      <c r="L746" s="32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</row>
    <row r="747" ht="15.75" customHeight="1">
      <c r="A747" s="27"/>
      <c r="B747" s="16" t="str">
        <f t="shared" si="6"/>
        <v/>
      </c>
      <c r="C747" s="28"/>
      <c r="D747" s="119"/>
      <c r="E747" s="135"/>
      <c r="F747" s="20"/>
      <c r="G747" s="63"/>
      <c r="H747" s="37"/>
      <c r="I747" s="32"/>
      <c r="J747" s="32"/>
      <c r="K747" s="53"/>
      <c r="L747" s="32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</row>
    <row r="748" ht="15.75" customHeight="1">
      <c r="A748" s="27"/>
      <c r="B748" s="16" t="str">
        <f t="shared" si="6"/>
        <v/>
      </c>
      <c r="C748" s="28"/>
      <c r="D748" s="119"/>
      <c r="E748" s="67"/>
      <c r="F748" s="20"/>
      <c r="G748" s="37"/>
      <c r="H748" s="37"/>
      <c r="I748" s="32"/>
      <c r="J748" s="32"/>
      <c r="K748" s="53"/>
      <c r="L748" s="32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</row>
    <row r="749" ht="15.75" customHeight="1">
      <c r="A749" s="27"/>
      <c r="B749" s="16" t="str">
        <f t="shared" si="6"/>
        <v/>
      </c>
      <c r="C749" s="28"/>
      <c r="D749" s="119"/>
      <c r="E749" s="67"/>
      <c r="F749" s="20"/>
      <c r="G749" s="37"/>
      <c r="H749" s="37"/>
      <c r="I749" s="32"/>
      <c r="J749" s="32"/>
      <c r="K749" s="53"/>
      <c r="L749" s="32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</row>
    <row r="750" ht="15.75" customHeight="1">
      <c r="A750" s="27"/>
      <c r="B750" s="16" t="str">
        <f t="shared" si="6"/>
        <v/>
      </c>
      <c r="C750" s="28"/>
      <c r="D750" s="119"/>
      <c r="E750" s="67"/>
      <c r="F750" s="20"/>
      <c r="G750" s="37"/>
      <c r="H750" s="37"/>
      <c r="I750" s="32"/>
      <c r="J750" s="32"/>
      <c r="K750" s="53"/>
      <c r="L750" s="32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</row>
    <row r="751" ht="15.75" customHeight="1">
      <c r="A751" s="27"/>
      <c r="B751" s="16" t="str">
        <f t="shared" si="6"/>
        <v/>
      </c>
      <c r="C751" s="28"/>
      <c r="D751" s="119"/>
      <c r="E751" s="66"/>
      <c r="F751" s="20"/>
      <c r="G751" s="63"/>
      <c r="H751" s="37"/>
      <c r="I751" s="32"/>
      <c r="J751" s="32"/>
      <c r="K751" s="53"/>
      <c r="L751" s="32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</row>
    <row r="752" ht="15.75" customHeight="1">
      <c r="A752" s="27"/>
      <c r="B752" s="16" t="str">
        <f t="shared" si="6"/>
        <v/>
      </c>
      <c r="C752" s="28"/>
      <c r="D752" s="119"/>
      <c r="E752" s="66"/>
      <c r="F752" s="20"/>
      <c r="G752" s="63"/>
      <c r="H752" s="37"/>
      <c r="I752" s="32"/>
      <c r="J752" s="32"/>
      <c r="K752" s="53"/>
      <c r="L752" s="32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</row>
    <row r="753" ht="15.75" customHeight="1">
      <c r="A753" s="27"/>
      <c r="B753" s="16" t="str">
        <f t="shared" si="6"/>
        <v/>
      </c>
      <c r="C753" s="28"/>
      <c r="D753" s="119"/>
      <c r="E753" s="137"/>
      <c r="F753" s="20"/>
      <c r="G753" s="63"/>
      <c r="H753" s="37"/>
      <c r="I753" s="32"/>
      <c r="J753" s="32"/>
      <c r="K753" s="53"/>
      <c r="L753" s="32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</row>
    <row r="754" ht="15.75" customHeight="1">
      <c r="A754" s="27"/>
      <c r="B754" s="16" t="str">
        <f t="shared" si="6"/>
        <v/>
      </c>
      <c r="C754" s="28"/>
      <c r="D754" s="119"/>
      <c r="E754" s="66"/>
      <c r="F754" s="20"/>
      <c r="G754" s="63"/>
      <c r="H754" s="37"/>
      <c r="I754" s="32"/>
      <c r="J754" s="32"/>
      <c r="K754" s="53"/>
      <c r="L754" s="32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</row>
    <row r="755" ht="15.75" customHeight="1">
      <c r="A755" s="27"/>
      <c r="B755" s="16" t="str">
        <f t="shared" si="6"/>
        <v/>
      </c>
      <c r="C755" s="28"/>
      <c r="D755" s="119"/>
      <c r="E755" s="67"/>
      <c r="F755" s="20"/>
      <c r="G755" s="63"/>
      <c r="H755" s="37"/>
      <c r="I755" s="32"/>
      <c r="J755" s="32"/>
      <c r="K755" s="53"/>
      <c r="L755" s="32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</row>
    <row r="756" ht="15.75" customHeight="1">
      <c r="A756" s="27"/>
      <c r="B756" s="16" t="str">
        <f t="shared" si="6"/>
        <v/>
      </c>
      <c r="C756" s="28"/>
      <c r="D756" s="119"/>
      <c r="E756" s="133"/>
      <c r="F756" s="20"/>
      <c r="G756" s="63"/>
      <c r="H756" s="37"/>
      <c r="I756" s="32"/>
      <c r="J756" s="32"/>
      <c r="K756" s="53"/>
      <c r="L756" s="32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</row>
    <row r="757" ht="15.75" customHeight="1">
      <c r="A757" s="27"/>
      <c r="B757" s="16" t="str">
        <f t="shared" si="6"/>
        <v/>
      </c>
      <c r="C757" s="28"/>
      <c r="D757" s="119"/>
      <c r="E757" s="133"/>
      <c r="F757" s="20"/>
      <c r="G757" s="63"/>
      <c r="H757" s="37"/>
      <c r="I757" s="32"/>
      <c r="J757" s="32"/>
      <c r="K757" s="53"/>
      <c r="L757" s="32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</row>
    <row r="758" ht="15.75" customHeight="1">
      <c r="A758" s="27"/>
      <c r="B758" s="16" t="str">
        <f t="shared" si="6"/>
        <v/>
      </c>
      <c r="C758" s="28"/>
      <c r="D758" s="119"/>
      <c r="E758" s="133"/>
      <c r="F758" s="20"/>
      <c r="G758" s="63"/>
      <c r="H758" s="37"/>
      <c r="I758" s="32"/>
      <c r="J758" s="32"/>
      <c r="K758" s="53"/>
      <c r="L758" s="32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</row>
    <row r="759" ht="15.75" customHeight="1">
      <c r="A759" s="27"/>
      <c r="B759" s="16" t="str">
        <f t="shared" si="6"/>
        <v/>
      </c>
      <c r="C759" s="28"/>
      <c r="D759" s="89"/>
      <c r="E759" s="67"/>
      <c r="F759" s="20"/>
      <c r="G759" s="37"/>
      <c r="H759" s="20"/>
      <c r="I759" s="32"/>
      <c r="J759" s="32"/>
      <c r="K759" s="53"/>
      <c r="L759" s="32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</row>
    <row r="760" ht="15.75" customHeight="1">
      <c r="A760" s="27"/>
      <c r="B760" s="16" t="str">
        <f t="shared" si="6"/>
        <v/>
      </c>
      <c r="C760" s="28"/>
      <c r="D760" s="89"/>
      <c r="E760" s="67"/>
      <c r="F760" s="20"/>
      <c r="G760" s="37"/>
      <c r="H760" s="20"/>
      <c r="I760" s="32"/>
      <c r="J760" s="32"/>
      <c r="K760" s="53"/>
      <c r="L760" s="32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</row>
    <row r="761" ht="15.75" customHeight="1">
      <c r="A761" s="27"/>
      <c r="B761" s="16" t="str">
        <f t="shared" si="6"/>
        <v/>
      </c>
      <c r="C761" s="28"/>
      <c r="D761" s="89"/>
      <c r="E761" s="90"/>
      <c r="F761" s="20"/>
      <c r="G761" s="37"/>
      <c r="H761" s="37"/>
      <c r="I761" s="32"/>
      <c r="J761" s="32"/>
      <c r="K761" s="53"/>
      <c r="L761" s="32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</row>
    <row r="762" ht="15.75" customHeight="1">
      <c r="A762" s="27"/>
      <c r="B762" s="16" t="str">
        <f t="shared" si="6"/>
        <v/>
      </c>
      <c r="C762" s="28"/>
      <c r="D762" s="89"/>
      <c r="E762" s="90"/>
      <c r="F762" s="20"/>
      <c r="G762" s="37"/>
      <c r="H762" s="37"/>
      <c r="I762" s="32"/>
      <c r="J762" s="32"/>
      <c r="K762" s="53"/>
      <c r="L762" s="32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</row>
    <row r="763" ht="15.75" customHeight="1">
      <c r="A763" s="27"/>
      <c r="B763" s="16" t="str">
        <f t="shared" si="6"/>
        <v/>
      </c>
      <c r="C763" s="28"/>
      <c r="D763" s="89"/>
      <c r="E763" s="90"/>
      <c r="F763" s="20"/>
      <c r="G763" s="37"/>
      <c r="H763" s="37"/>
      <c r="I763" s="32"/>
      <c r="J763" s="32"/>
      <c r="K763" s="53"/>
      <c r="L763" s="32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</row>
    <row r="764" ht="15.75" customHeight="1">
      <c r="A764" s="27"/>
      <c r="B764" s="16" t="str">
        <f t="shared" si="6"/>
        <v/>
      </c>
      <c r="C764" s="28"/>
      <c r="D764" s="89"/>
      <c r="E764" s="90"/>
      <c r="F764" s="20"/>
      <c r="G764" s="37"/>
      <c r="H764" s="37"/>
      <c r="I764" s="32"/>
      <c r="J764" s="32"/>
      <c r="K764" s="53"/>
      <c r="L764" s="32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</row>
    <row r="765" ht="15.75" customHeight="1">
      <c r="A765" s="27"/>
      <c r="B765" s="16" t="str">
        <f t="shared" si="6"/>
        <v/>
      </c>
      <c r="C765" s="28"/>
      <c r="D765" s="89"/>
      <c r="E765" s="90"/>
      <c r="F765" s="20"/>
      <c r="G765" s="37"/>
      <c r="H765" s="37"/>
      <c r="I765" s="32"/>
      <c r="J765" s="32"/>
      <c r="K765" s="53"/>
      <c r="L765" s="32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</row>
    <row r="766" ht="15.75" customHeight="1">
      <c r="A766" s="27"/>
      <c r="B766" s="16" t="str">
        <f t="shared" si="6"/>
        <v/>
      </c>
      <c r="C766" s="28"/>
      <c r="D766" s="89"/>
      <c r="E766" s="90"/>
      <c r="F766" s="20"/>
      <c r="G766" s="37"/>
      <c r="H766" s="37"/>
      <c r="I766" s="32"/>
      <c r="J766" s="32"/>
      <c r="K766" s="53"/>
      <c r="L766" s="32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</row>
    <row r="767" ht="15.75" customHeight="1">
      <c r="A767" s="27"/>
      <c r="B767" s="16" t="str">
        <f t="shared" si="6"/>
        <v/>
      </c>
      <c r="C767" s="28"/>
      <c r="D767" s="89"/>
      <c r="E767" s="90"/>
      <c r="F767" s="20"/>
      <c r="G767" s="37"/>
      <c r="H767" s="37"/>
      <c r="I767" s="32"/>
      <c r="J767" s="32"/>
      <c r="K767" s="53"/>
      <c r="L767" s="32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</row>
    <row r="768" ht="15.75" customHeight="1">
      <c r="A768" s="27"/>
      <c r="B768" s="16" t="str">
        <f t="shared" si="6"/>
        <v/>
      </c>
      <c r="C768" s="28"/>
      <c r="D768" s="89"/>
      <c r="E768" s="90"/>
      <c r="F768" s="20"/>
      <c r="G768" s="37"/>
      <c r="H768" s="37"/>
      <c r="I768" s="32"/>
      <c r="J768" s="32"/>
      <c r="K768" s="53"/>
      <c r="L768" s="32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</row>
    <row r="769" ht="15.75" customHeight="1">
      <c r="A769" s="27"/>
      <c r="B769" s="16" t="str">
        <f t="shared" si="6"/>
        <v/>
      </c>
      <c r="C769" s="28"/>
      <c r="D769" s="89"/>
      <c r="E769" s="90"/>
      <c r="F769" s="20"/>
      <c r="G769" s="37"/>
      <c r="H769" s="37"/>
      <c r="I769" s="32"/>
      <c r="J769" s="32"/>
      <c r="K769" s="53"/>
      <c r="L769" s="32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</row>
    <row r="770" ht="15.75" customHeight="1">
      <c r="A770" s="27"/>
      <c r="B770" s="16" t="str">
        <f t="shared" si="6"/>
        <v/>
      </c>
      <c r="C770" s="28"/>
      <c r="D770" s="89"/>
      <c r="E770" s="90"/>
      <c r="F770" s="20"/>
      <c r="G770" s="37"/>
      <c r="H770" s="37"/>
      <c r="I770" s="32"/>
      <c r="J770" s="32"/>
      <c r="K770" s="53"/>
      <c r="L770" s="32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</row>
    <row r="771" ht="15.75" customHeight="1">
      <c r="A771" s="27"/>
      <c r="B771" s="16" t="str">
        <f t="shared" si="6"/>
        <v/>
      </c>
      <c r="C771" s="28"/>
      <c r="D771" s="89"/>
      <c r="E771" s="90"/>
      <c r="F771" s="20"/>
      <c r="G771" s="37"/>
      <c r="H771" s="37"/>
      <c r="I771" s="32"/>
      <c r="J771" s="32"/>
      <c r="K771" s="53"/>
      <c r="L771" s="32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</row>
    <row r="772" ht="15.75" customHeight="1">
      <c r="A772" s="27"/>
      <c r="B772" s="16" t="str">
        <f t="shared" si="6"/>
        <v/>
      </c>
      <c r="C772" s="28"/>
      <c r="D772" s="89"/>
      <c r="E772" s="90"/>
      <c r="F772" s="20"/>
      <c r="G772" s="37"/>
      <c r="H772" s="37"/>
      <c r="I772" s="32"/>
      <c r="J772" s="32"/>
      <c r="K772" s="53"/>
      <c r="L772" s="32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</row>
    <row r="773" ht="15.75" customHeight="1">
      <c r="A773" s="27"/>
      <c r="B773" s="16" t="str">
        <f t="shared" si="6"/>
        <v/>
      </c>
      <c r="C773" s="28"/>
      <c r="D773" s="89"/>
      <c r="E773" s="90"/>
      <c r="F773" s="20"/>
      <c r="G773" s="37"/>
      <c r="H773" s="37"/>
      <c r="I773" s="32"/>
      <c r="J773" s="32"/>
      <c r="K773" s="53"/>
      <c r="L773" s="32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</row>
    <row r="774" ht="15.75" customHeight="1">
      <c r="A774" s="27"/>
      <c r="B774" s="16" t="str">
        <f t="shared" si="6"/>
        <v/>
      </c>
      <c r="C774" s="28"/>
      <c r="D774" s="89"/>
      <c r="E774" s="90"/>
      <c r="F774" s="20"/>
      <c r="G774" s="37"/>
      <c r="H774" s="37"/>
      <c r="I774" s="32"/>
      <c r="J774" s="32"/>
      <c r="K774" s="53"/>
      <c r="L774" s="32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</row>
    <row r="775" ht="15.75" customHeight="1">
      <c r="A775" s="27"/>
      <c r="B775" s="16" t="str">
        <f t="shared" si="6"/>
        <v/>
      </c>
      <c r="C775" s="28"/>
      <c r="D775" s="89"/>
      <c r="E775" s="90"/>
      <c r="F775" s="20"/>
      <c r="G775" s="37"/>
      <c r="H775" s="37"/>
      <c r="I775" s="32"/>
      <c r="J775" s="32"/>
      <c r="K775" s="53"/>
      <c r="L775" s="32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</row>
    <row r="776" ht="15.75" customHeight="1">
      <c r="A776" s="27"/>
      <c r="B776" s="16" t="str">
        <f t="shared" si="6"/>
        <v/>
      </c>
      <c r="C776" s="28"/>
      <c r="D776" s="89"/>
      <c r="E776" s="90"/>
      <c r="F776" s="20"/>
      <c r="G776" s="37"/>
      <c r="H776" s="37"/>
      <c r="I776" s="32"/>
      <c r="J776" s="32"/>
      <c r="K776" s="53"/>
      <c r="L776" s="32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</row>
    <row r="777" ht="15.75" customHeight="1">
      <c r="A777" s="27"/>
      <c r="B777" s="16" t="str">
        <f t="shared" si="6"/>
        <v/>
      </c>
      <c r="C777" s="28"/>
      <c r="D777" s="89"/>
      <c r="E777" s="90"/>
      <c r="F777" s="20"/>
      <c r="G777" s="37"/>
      <c r="H777" s="37"/>
      <c r="I777" s="32"/>
      <c r="J777" s="32"/>
      <c r="K777" s="53"/>
      <c r="L777" s="32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</row>
    <row r="778" ht="15.75" customHeight="1">
      <c r="A778" s="27"/>
      <c r="B778" s="16" t="str">
        <f t="shared" si="6"/>
        <v/>
      </c>
      <c r="C778" s="28"/>
      <c r="D778" s="89"/>
      <c r="E778" s="90"/>
      <c r="F778" s="20"/>
      <c r="G778" s="37"/>
      <c r="H778" s="37"/>
      <c r="I778" s="32"/>
      <c r="J778" s="32"/>
      <c r="K778" s="53"/>
      <c r="L778" s="32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</row>
    <row r="779" ht="15.75" customHeight="1">
      <c r="A779" s="27"/>
      <c r="B779" s="16" t="str">
        <f t="shared" si="6"/>
        <v/>
      </c>
      <c r="C779" s="28"/>
      <c r="D779" s="89"/>
      <c r="E779" s="90"/>
      <c r="F779" s="20"/>
      <c r="G779" s="37"/>
      <c r="H779" s="37"/>
      <c r="I779" s="32"/>
      <c r="J779" s="32"/>
      <c r="K779" s="53"/>
      <c r="L779" s="32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</row>
    <row r="780" ht="15.75" customHeight="1">
      <c r="A780" s="27"/>
      <c r="B780" s="16" t="str">
        <f t="shared" si="6"/>
        <v/>
      </c>
      <c r="C780" s="28"/>
      <c r="D780" s="89"/>
      <c r="E780" s="90"/>
      <c r="F780" s="20"/>
      <c r="G780" s="37"/>
      <c r="H780" s="37"/>
      <c r="I780" s="32"/>
      <c r="J780" s="32"/>
      <c r="K780" s="53"/>
      <c r="L780" s="32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</row>
    <row r="781" ht="15.75" customHeight="1">
      <c r="A781" s="27"/>
      <c r="B781" s="16" t="str">
        <f t="shared" si="6"/>
        <v/>
      </c>
      <c r="C781" s="28"/>
      <c r="D781" s="89"/>
      <c r="E781" s="90"/>
      <c r="F781" s="20"/>
      <c r="G781" s="37"/>
      <c r="H781" s="37"/>
      <c r="I781" s="32"/>
      <c r="J781" s="32"/>
      <c r="K781" s="53"/>
      <c r="L781" s="32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</row>
    <row r="782" ht="15.75" customHeight="1">
      <c r="A782" s="27"/>
      <c r="B782" s="16" t="str">
        <f t="shared" si="6"/>
        <v/>
      </c>
      <c r="C782" s="28"/>
      <c r="D782" s="89"/>
      <c r="E782" s="90"/>
      <c r="F782" s="20"/>
      <c r="G782" s="37"/>
      <c r="H782" s="37"/>
      <c r="I782" s="32"/>
      <c r="J782" s="32"/>
      <c r="K782" s="53"/>
      <c r="L782" s="32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</row>
    <row r="783" ht="15.75" customHeight="1">
      <c r="A783" s="27"/>
      <c r="B783" s="16" t="str">
        <f t="shared" si="6"/>
        <v/>
      </c>
      <c r="C783" s="28"/>
      <c r="D783" s="89"/>
      <c r="E783" s="90"/>
      <c r="F783" s="20"/>
      <c r="G783" s="37"/>
      <c r="H783" s="37"/>
      <c r="I783" s="32"/>
      <c r="J783" s="32"/>
      <c r="K783" s="53"/>
      <c r="L783" s="32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</row>
    <row r="784" ht="15.75" customHeight="1">
      <c r="A784" s="27"/>
      <c r="B784" s="16" t="str">
        <f t="shared" si="6"/>
        <v/>
      </c>
      <c r="C784" s="28"/>
      <c r="D784" s="89"/>
      <c r="E784" s="90"/>
      <c r="F784" s="20"/>
      <c r="G784" s="37"/>
      <c r="H784" s="37"/>
      <c r="I784" s="32"/>
      <c r="J784" s="32"/>
      <c r="K784" s="53"/>
      <c r="L784" s="32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</row>
    <row r="785" ht="15.75" customHeight="1">
      <c r="A785" s="27"/>
      <c r="B785" s="16" t="str">
        <f t="shared" si="6"/>
        <v/>
      </c>
      <c r="C785" s="28"/>
      <c r="D785" s="89"/>
      <c r="E785" s="90"/>
      <c r="F785" s="20"/>
      <c r="G785" s="37"/>
      <c r="H785" s="37"/>
      <c r="I785" s="32"/>
      <c r="J785" s="32"/>
      <c r="K785" s="53"/>
      <c r="L785" s="32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</row>
    <row r="786" ht="15.75" customHeight="1">
      <c r="A786" s="27"/>
      <c r="B786" s="16" t="str">
        <f t="shared" si="6"/>
        <v/>
      </c>
      <c r="C786" s="28"/>
      <c r="D786" s="89"/>
      <c r="E786" s="90"/>
      <c r="F786" s="20"/>
      <c r="G786" s="37"/>
      <c r="H786" s="37"/>
      <c r="I786" s="32"/>
      <c r="J786" s="32"/>
      <c r="K786" s="53"/>
      <c r="L786" s="32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</row>
    <row r="787" ht="15.75" customHeight="1">
      <c r="A787" s="27"/>
      <c r="B787" s="16" t="str">
        <f t="shared" si="6"/>
        <v/>
      </c>
      <c r="C787" s="28"/>
      <c r="D787" s="89"/>
      <c r="E787" s="90"/>
      <c r="F787" s="20"/>
      <c r="G787" s="37"/>
      <c r="H787" s="37"/>
      <c r="I787" s="32"/>
      <c r="J787" s="32"/>
      <c r="K787" s="53"/>
      <c r="L787" s="32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</row>
    <row r="788" ht="15.75" customHeight="1">
      <c r="A788" s="27"/>
      <c r="B788" s="16" t="str">
        <f t="shared" si="6"/>
        <v/>
      </c>
      <c r="C788" s="28"/>
      <c r="D788" s="89"/>
      <c r="E788" s="90"/>
      <c r="F788" s="20"/>
      <c r="G788" s="37"/>
      <c r="H788" s="37"/>
      <c r="I788" s="32"/>
      <c r="J788" s="32"/>
      <c r="K788" s="53"/>
      <c r="L788" s="32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</row>
    <row r="789" ht="15.75" customHeight="1">
      <c r="A789" s="27"/>
      <c r="B789" s="16" t="str">
        <f t="shared" si="6"/>
        <v/>
      </c>
      <c r="C789" s="28"/>
      <c r="D789" s="89"/>
      <c r="E789" s="90"/>
      <c r="F789" s="20"/>
      <c r="G789" s="37"/>
      <c r="H789" s="37"/>
      <c r="I789" s="32"/>
      <c r="J789" s="32"/>
      <c r="K789" s="53"/>
      <c r="L789" s="32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</row>
    <row r="790" ht="18.0" customHeight="1">
      <c r="A790" s="27"/>
      <c r="B790" s="16" t="str">
        <f t="shared" si="6"/>
        <v/>
      </c>
      <c r="C790" s="28"/>
      <c r="D790" s="89"/>
      <c r="E790" s="90"/>
      <c r="F790" s="20"/>
      <c r="G790" s="37"/>
      <c r="H790" s="37"/>
      <c r="I790" s="32"/>
      <c r="J790" s="32"/>
      <c r="K790" s="53"/>
      <c r="L790" s="32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</row>
    <row r="791" ht="15.75" customHeight="1">
      <c r="A791" s="27"/>
      <c r="B791" s="16" t="str">
        <f t="shared" si="6"/>
        <v/>
      </c>
      <c r="C791" s="28"/>
      <c r="D791" s="89"/>
      <c r="E791" s="90"/>
      <c r="F791" s="20"/>
      <c r="G791" s="37"/>
      <c r="H791" s="37"/>
      <c r="I791" s="32"/>
      <c r="J791" s="32"/>
      <c r="K791" s="53"/>
      <c r="L791" s="32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</row>
    <row r="792" ht="15.75" customHeight="1">
      <c r="A792" s="27"/>
      <c r="B792" s="16" t="str">
        <f t="shared" si="6"/>
        <v/>
      </c>
      <c r="C792" s="28"/>
      <c r="D792" s="89"/>
      <c r="E792" s="90"/>
      <c r="F792" s="20"/>
      <c r="G792" s="37"/>
      <c r="H792" s="37"/>
      <c r="I792" s="32"/>
      <c r="J792" s="32"/>
      <c r="K792" s="53"/>
      <c r="L792" s="32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</row>
    <row r="793" ht="15.75" customHeight="1">
      <c r="A793" s="27"/>
      <c r="B793" s="16" t="str">
        <f t="shared" si="6"/>
        <v/>
      </c>
      <c r="C793" s="28"/>
      <c r="D793" s="89"/>
      <c r="E793" s="90"/>
      <c r="F793" s="20"/>
      <c r="G793" s="37"/>
      <c r="H793" s="37"/>
      <c r="I793" s="32"/>
      <c r="J793" s="32"/>
      <c r="K793" s="53"/>
      <c r="L793" s="32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</row>
    <row r="794" ht="15.75" customHeight="1">
      <c r="A794" s="27"/>
      <c r="B794" s="16" t="str">
        <f t="shared" si="6"/>
        <v/>
      </c>
      <c r="C794" s="28"/>
      <c r="D794" s="89"/>
      <c r="E794" s="90"/>
      <c r="F794" s="20"/>
      <c r="G794" s="37"/>
      <c r="H794" s="37"/>
      <c r="I794" s="32"/>
      <c r="J794" s="32"/>
      <c r="K794" s="53"/>
      <c r="L794" s="32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</row>
    <row r="795" ht="15.75" customHeight="1">
      <c r="A795" s="27"/>
      <c r="B795" s="16" t="str">
        <f t="shared" si="6"/>
        <v/>
      </c>
      <c r="C795" s="28"/>
      <c r="D795" s="89"/>
      <c r="E795" s="90"/>
      <c r="F795" s="20"/>
      <c r="G795" s="37"/>
      <c r="H795" s="37"/>
      <c r="I795" s="32"/>
      <c r="J795" s="32"/>
      <c r="K795" s="53"/>
      <c r="L795" s="32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</row>
    <row r="796" ht="15.75" customHeight="1">
      <c r="A796" s="27"/>
      <c r="B796" s="16" t="str">
        <f t="shared" si="6"/>
        <v/>
      </c>
      <c r="C796" s="28"/>
      <c r="D796" s="89"/>
      <c r="E796" s="90"/>
      <c r="F796" s="20"/>
      <c r="G796" s="37"/>
      <c r="H796" s="37"/>
      <c r="I796" s="32"/>
      <c r="J796" s="32"/>
      <c r="K796" s="53"/>
      <c r="L796" s="32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</row>
    <row r="797" ht="15.75" customHeight="1">
      <c r="A797" s="27"/>
      <c r="B797" s="16" t="str">
        <f t="shared" si="6"/>
        <v/>
      </c>
      <c r="C797" s="28"/>
      <c r="D797" s="89"/>
      <c r="E797" s="90"/>
      <c r="F797" s="20"/>
      <c r="G797" s="37"/>
      <c r="H797" s="37"/>
      <c r="I797" s="32"/>
      <c r="J797" s="32"/>
      <c r="K797" s="53"/>
      <c r="L797" s="32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</row>
    <row r="798" ht="15.75" customHeight="1">
      <c r="A798" s="27"/>
      <c r="B798" s="16" t="str">
        <f t="shared" si="6"/>
        <v/>
      </c>
      <c r="C798" s="28"/>
      <c r="D798" s="89"/>
      <c r="E798" s="90"/>
      <c r="F798" s="20"/>
      <c r="G798" s="37"/>
      <c r="H798" s="37"/>
      <c r="I798" s="32"/>
      <c r="J798" s="32"/>
      <c r="K798" s="53"/>
      <c r="L798" s="32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</row>
    <row r="799" ht="15.75" customHeight="1">
      <c r="A799" s="27"/>
      <c r="B799" s="16" t="str">
        <f t="shared" si="6"/>
        <v/>
      </c>
      <c r="C799" s="28"/>
      <c r="D799" s="89"/>
      <c r="E799" s="90"/>
      <c r="F799" s="20"/>
      <c r="G799" s="37"/>
      <c r="H799" s="37"/>
      <c r="I799" s="32"/>
      <c r="J799" s="32"/>
      <c r="K799" s="53"/>
      <c r="L799" s="32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</row>
    <row r="800" ht="15.75" customHeight="1">
      <c r="A800" s="27"/>
      <c r="B800" s="16" t="str">
        <f t="shared" si="6"/>
        <v/>
      </c>
      <c r="C800" s="28"/>
      <c r="D800" s="89"/>
      <c r="E800" s="90"/>
      <c r="F800" s="20"/>
      <c r="G800" s="37"/>
      <c r="H800" s="37"/>
      <c r="I800" s="32"/>
      <c r="J800" s="32"/>
      <c r="K800" s="53"/>
      <c r="L800" s="32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</row>
    <row r="801" ht="15.75" customHeight="1">
      <c r="A801" s="27"/>
      <c r="B801" s="16" t="str">
        <f t="shared" si="6"/>
        <v/>
      </c>
      <c r="C801" s="28"/>
      <c r="D801" s="89"/>
      <c r="E801" s="90"/>
      <c r="F801" s="20"/>
      <c r="G801" s="37"/>
      <c r="H801" s="37"/>
      <c r="I801" s="32"/>
      <c r="J801" s="32"/>
      <c r="K801" s="53"/>
      <c r="L801" s="32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ht="15.75" customHeight="1">
      <c r="A802" s="27"/>
      <c r="B802" s="16" t="str">
        <f t="shared" si="6"/>
        <v/>
      </c>
      <c r="C802" s="28"/>
      <c r="D802" s="89"/>
      <c r="E802" s="90"/>
      <c r="F802" s="20"/>
      <c r="G802" s="37"/>
      <c r="H802" s="37"/>
      <c r="I802" s="32"/>
      <c r="J802" s="32"/>
      <c r="K802" s="53"/>
      <c r="L802" s="32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</row>
    <row r="803" ht="15.75" customHeight="1">
      <c r="A803" s="27"/>
      <c r="B803" s="16" t="str">
        <f t="shared" si="6"/>
        <v/>
      </c>
      <c r="C803" s="28"/>
      <c r="D803" s="89"/>
      <c r="E803" s="90"/>
      <c r="F803" s="20"/>
      <c r="G803" s="37"/>
      <c r="H803" s="37"/>
      <c r="I803" s="32"/>
      <c r="J803" s="32"/>
      <c r="K803" s="53"/>
      <c r="L803" s="32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</row>
    <row r="804" ht="15.75" customHeight="1">
      <c r="A804" s="27"/>
      <c r="B804" s="16" t="str">
        <f t="shared" si="6"/>
        <v/>
      </c>
      <c r="C804" s="28"/>
      <c r="D804" s="89"/>
      <c r="E804" s="90"/>
      <c r="F804" s="20"/>
      <c r="G804" s="37"/>
      <c r="H804" s="37"/>
      <c r="I804" s="32"/>
      <c r="J804" s="32"/>
      <c r="K804" s="53"/>
      <c r="L804" s="32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</row>
    <row r="805" ht="15.75" customHeight="1">
      <c r="A805" s="27"/>
      <c r="B805" s="16" t="str">
        <f t="shared" si="6"/>
        <v/>
      </c>
      <c r="C805" s="28"/>
      <c r="D805" s="89"/>
      <c r="E805" s="90"/>
      <c r="F805" s="20"/>
      <c r="G805" s="37"/>
      <c r="H805" s="37"/>
      <c r="I805" s="32"/>
      <c r="J805" s="32"/>
      <c r="K805" s="53"/>
      <c r="L805" s="32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</row>
    <row r="806" ht="15.75" customHeight="1">
      <c r="A806" s="27"/>
      <c r="B806" s="16" t="str">
        <f t="shared" si="6"/>
        <v/>
      </c>
      <c r="C806" s="28"/>
      <c r="D806" s="89"/>
      <c r="E806" s="90"/>
      <c r="F806" s="20"/>
      <c r="G806" s="37"/>
      <c r="H806" s="37"/>
      <c r="I806" s="32"/>
      <c r="J806" s="32"/>
      <c r="K806" s="53"/>
      <c r="L806" s="32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</row>
    <row r="807" ht="15.75" customHeight="1">
      <c r="A807" s="27"/>
      <c r="B807" s="16" t="str">
        <f t="shared" si="6"/>
        <v/>
      </c>
      <c r="C807" s="28"/>
      <c r="D807" s="89"/>
      <c r="E807" s="90"/>
      <c r="F807" s="20"/>
      <c r="G807" s="37"/>
      <c r="H807" s="37"/>
      <c r="I807" s="32"/>
      <c r="J807" s="32"/>
      <c r="K807" s="53"/>
      <c r="L807" s="32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</row>
    <row r="808" ht="15.75" customHeight="1">
      <c r="A808" s="27"/>
      <c r="B808" s="16" t="str">
        <f t="shared" si="6"/>
        <v/>
      </c>
      <c r="C808" s="28"/>
      <c r="D808" s="89"/>
      <c r="E808" s="90"/>
      <c r="F808" s="20"/>
      <c r="G808" s="37"/>
      <c r="H808" s="37"/>
      <c r="I808" s="32"/>
      <c r="J808" s="32"/>
      <c r="K808" s="53"/>
      <c r="L808" s="32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</row>
    <row r="809" ht="15.75" customHeight="1">
      <c r="A809" s="27"/>
      <c r="B809" s="16" t="str">
        <f t="shared" si="6"/>
        <v/>
      </c>
      <c r="C809" s="28"/>
      <c r="D809" s="89"/>
      <c r="E809" s="90"/>
      <c r="F809" s="20"/>
      <c r="G809" s="37"/>
      <c r="H809" s="37"/>
      <c r="I809" s="32"/>
      <c r="J809" s="32"/>
      <c r="K809" s="53"/>
      <c r="L809" s="32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</row>
    <row r="810" ht="15.75" customHeight="1">
      <c r="A810" s="27"/>
      <c r="B810" s="16" t="str">
        <f t="shared" si="6"/>
        <v/>
      </c>
      <c r="C810" s="28"/>
      <c r="D810" s="89"/>
      <c r="E810" s="90"/>
      <c r="F810" s="20"/>
      <c r="G810" s="37"/>
      <c r="H810" s="37"/>
      <c r="I810" s="32"/>
      <c r="J810" s="32"/>
      <c r="K810" s="53"/>
      <c r="L810" s="32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</row>
    <row r="811" ht="15.75" customHeight="1">
      <c r="A811" s="27"/>
      <c r="B811" s="16" t="str">
        <f t="shared" si="6"/>
        <v/>
      </c>
      <c r="C811" s="28"/>
      <c r="D811" s="89"/>
      <c r="E811" s="90"/>
      <c r="F811" s="20"/>
      <c r="G811" s="37"/>
      <c r="H811" s="37"/>
      <c r="I811" s="32"/>
      <c r="J811" s="32"/>
      <c r="K811" s="53"/>
      <c r="L811" s="32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</row>
    <row r="812" ht="15.75" customHeight="1">
      <c r="A812" s="27"/>
      <c r="B812" s="16" t="str">
        <f t="shared" si="6"/>
        <v/>
      </c>
      <c r="C812" s="28"/>
      <c r="D812" s="89"/>
      <c r="E812" s="90"/>
      <c r="F812" s="20"/>
      <c r="G812" s="37"/>
      <c r="H812" s="37"/>
      <c r="I812" s="32"/>
      <c r="J812" s="32"/>
      <c r="K812" s="53"/>
      <c r="L812" s="32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</row>
    <row r="813" ht="15.75" customHeight="1">
      <c r="A813" s="27"/>
      <c r="B813" s="16" t="str">
        <f t="shared" si="6"/>
        <v/>
      </c>
      <c r="C813" s="28"/>
      <c r="D813" s="89"/>
      <c r="E813" s="90"/>
      <c r="F813" s="20"/>
      <c r="G813" s="37"/>
      <c r="H813" s="37"/>
      <c r="I813" s="32"/>
      <c r="J813" s="32"/>
      <c r="K813" s="53"/>
      <c r="L813" s="32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</row>
    <row r="814" ht="15.75" customHeight="1">
      <c r="A814" s="27"/>
      <c r="B814" s="16" t="str">
        <f t="shared" si="6"/>
        <v/>
      </c>
      <c r="C814" s="28"/>
      <c r="D814" s="89"/>
      <c r="E814" s="90"/>
      <c r="F814" s="20"/>
      <c r="G814" s="37"/>
      <c r="H814" s="37"/>
      <c r="I814" s="32"/>
      <c r="J814" s="32"/>
      <c r="K814" s="53"/>
      <c r="L814" s="32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</row>
    <row r="815" ht="15.75" customHeight="1">
      <c r="A815" s="27"/>
      <c r="B815" s="16" t="str">
        <f t="shared" si="6"/>
        <v/>
      </c>
      <c r="C815" s="28"/>
      <c r="D815" s="89"/>
      <c r="E815" s="90"/>
      <c r="F815" s="20"/>
      <c r="G815" s="37"/>
      <c r="H815" s="37"/>
      <c r="I815" s="32"/>
      <c r="J815" s="32"/>
      <c r="K815" s="53"/>
      <c r="L815" s="32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</row>
    <row r="816" ht="15.75" customHeight="1">
      <c r="A816" s="27"/>
      <c r="B816" s="16" t="str">
        <f t="shared" si="6"/>
        <v/>
      </c>
      <c r="C816" s="28"/>
      <c r="D816" s="89"/>
      <c r="E816" s="90"/>
      <c r="F816" s="20"/>
      <c r="G816" s="37"/>
      <c r="H816" s="37"/>
      <c r="I816" s="32"/>
      <c r="J816" s="32"/>
      <c r="K816" s="53"/>
      <c r="L816" s="32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</row>
    <row r="817" ht="15.75" customHeight="1">
      <c r="A817" s="27"/>
      <c r="B817" s="16" t="str">
        <f t="shared" si="6"/>
        <v/>
      </c>
      <c r="C817" s="28"/>
      <c r="D817" s="89"/>
      <c r="E817" s="90"/>
      <c r="F817" s="20"/>
      <c r="G817" s="37"/>
      <c r="H817" s="37"/>
      <c r="I817" s="32"/>
      <c r="J817" s="32"/>
      <c r="K817" s="53"/>
      <c r="L817" s="32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</row>
    <row r="818" ht="15.75" customHeight="1">
      <c r="A818" s="27"/>
      <c r="B818" s="16" t="str">
        <f t="shared" si="6"/>
        <v/>
      </c>
      <c r="C818" s="28"/>
      <c r="D818" s="89"/>
      <c r="E818" s="90"/>
      <c r="F818" s="20"/>
      <c r="G818" s="37"/>
      <c r="H818" s="37"/>
      <c r="I818" s="32"/>
      <c r="J818" s="32"/>
      <c r="K818" s="53"/>
      <c r="L818" s="32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</row>
    <row r="819" ht="15.75" customHeight="1">
      <c r="A819" s="27"/>
      <c r="B819" s="16" t="str">
        <f t="shared" si="6"/>
        <v/>
      </c>
      <c r="C819" s="28"/>
      <c r="D819" s="89"/>
      <c r="E819" s="90"/>
      <c r="F819" s="20"/>
      <c r="G819" s="37"/>
      <c r="H819" s="37"/>
      <c r="I819" s="32"/>
      <c r="J819" s="32"/>
      <c r="K819" s="53"/>
      <c r="L819" s="32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</row>
    <row r="820" ht="15.75" customHeight="1">
      <c r="A820" s="27"/>
      <c r="B820" s="16" t="str">
        <f t="shared" si="6"/>
        <v/>
      </c>
      <c r="C820" s="28"/>
      <c r="D820" s="89"/>
      <c r="E820" s="90"/>
      <c r="F820" s="20"/>
      <c r="G820" s="37"/>
      <c r="H820" s="37"/>
      <c r="I820" s="32"/>
      <c r="J820" s="32"/>
      <c r="K820" s="53"/>
      <c r="L820" s="32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</row>
    <row r="821" ht="15.75" customHeight="1">
      <c r="A821" s="27"/>
      <c r="B821" s="16" t="str">
        <f t="shared" si="6"/>
        <v/>
      </c>
      <c r="C821" s="28"/>
      <c r="D821" s="89"/>
      <c r="E821" s="90"/>
      <c r="F821" s="20"/>
      <c r="G821" s="37"/>
      <c r="H821" s="37"/>
      <c r="I821" s="32"/>
      <c r="J821" s="32"/>
      <c r="K821" s="53"/>
      <c r="L821" s="32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</row>
    <row r="822" ht="15.75" customHeight="1">
      <c r="A822" s="27"/>
      <c r="B822" s="16" t="str">
        <f t="shared" si="6"/>
        <v/>
      </c>
      <c r="C822" s="28"/>
      <c r="D822" s="89"/>
      <c r="E822" s="90"/>
      <c r="F822" s="20"/>
      <c r="G822" s="37"/>
      <c r="H822" s="37"/>
      <c r="I822" s="32"/>
      <c r="J822" s="32"/>
      <c r="K822" s="53"/>
      <c r="L822" s="32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</row>
    <row r="823" ht="15.75" customHeight="1">
      <c r="A823" s="27"/>
      <c r="B823" s="16" t="str">
        <f t="shared" si="6"/>
        <v/>
      </c>
      <c r="C823" s="28"/>
      <c r="D823" s="89"/>
      <c r="E823" s="90"/>
      <c r="F823" s="20"/>
      <c r="G823" s="37"/>
      <c r="H823" s="37"/>
      <c r="I823" s="32"/>
      <c r="J823" s="32"/>
      <c r="K823" s="53"/>
      <c r="L823" s="32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</row>
    <row r="824" ht="15.75" customHeight="1">
      <c r="A824" s="27"/>
      <c r="B824" s="16" t="str">
        <f t="shared" si="6"/>
        <v/>
      </c>
      <c r="C824" s="28"/>
      <c r="D824" s="89"/>
      <c r="E824" s="90"/>
      <c r="F824" s="20"/>
      <c r="G824" s="37"/>
      <c r="H824" s="37"/>
      <c r="I824" s="32"/>
      <c r="J824" s="32"/>
      <c r="K824" s="53"/>
      <c r="L824" s="32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</row>
    <row r="825" ht="15.75" customHeight="1">
      <c r="A825" s="27"/>
      <c r="B825" s="16" t="str">
        <f t="shared" si="6"/>
        <v/>
      </c>
      <c r="C825" s="28"/>
      <c r="D825" s="89"/>
      <c r="E825" s="90"/>
      <c r="F825" s="20"/>
      <c r="G825" s="37"/>
      <c r="H825" s="37"/>
      <c r="I825" s="32"/>
      <c r="J825" s="32"/>
      <c r="K825" s="53"/>
      <c r="L825" s="32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</row>
    <row r="826" ht="15.75" customHeight="1">
      <c r="A826" s="27"/>
      <c r="B826" s="16" t="str">
        <f t="shared" si="6"/>
        <v/>
      </c>
      <c r="C826" s="28"/>
      <c r="D826" s="89"/>
      <c r="E826" s="90"/>
      <c r="F826" s="20"/>
      <c r="G826" s="37"/>
      <c r="H826" s="37"/>
      <c r="I826" s="32"/>
      <c r="J826" s="32"/>
      <c r="K826" s="53"/>
      <c r="L826" s="32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</row>
    <row r="827" ht="15.75" customHeight="1">
      <c r="A827" s="27"/>
      <c r="B827" s="16" t="str">
        <f t="shared" si="6"/>
        <v/>
      </c>
      <c r="C827" s="28"/>
      <c r="D827" s="89"/>
      <c r="E827" s="90"/>
      <c r="F827" s="20"/>
      <c r="G827" s="37"/>
      <c r="H827" s="37"/>
      <c r="I827" s="32"/>
      <c r="J827" s="32"/>
      <c r="K827" s="53"/>
      <c r="L827" s="32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</row>
    <row r="828" ht="15.75" customHeight="1">
      <c r="A828" s="27"/>
      <c r="B828" s="16" t="str">
        <f t="shared" si="6"/>
        <v/>
      </c>
      <c r="C828" s="28"/>
      <c r="D828" s="89"/>
      <c r="E828" s="90"/>
      <c r="F828" s="20"/>
      <c r="G828" s="37"/>
      <c r="H828" s="37"/>
      <c r="I828" s="32"/>
      <c r="J828" s="32"/>
      <c r="K828" s="53"/>
      <c r="L828" s="32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</row>
    <row r="829" ht="15.75" customHeight="1">
      <c r="A829" s="27"/>
      <c r="B829" s="16" t="str">
        <f t="shared" si="6"/>
        <v/>
      </c>
      <c r="C829" s="28"/>
      <c r="D829" s="89"/>
      <c r="E829" s="90"/>
      <c r="F829" s="20"/>
      <c r="G829" s="37"/>
      <c r="H829" s="37"/>
      <c r="I829" s="32"/>
      <c r="J829" s="32"/>
      <c r="K829" s="53"/>
      <c r="L829" s="32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</row>
    <row r="830" ht="15.75" customHeight="1">
      <c r="A830" s="27"/>
      <c r="B830" s="16" t="str">
        <f t="shared" si="6"/>
        <v/>
      </c>
      <c r="C830" s="28"/>
      <c r="D830" s="89"/>
      <c r="E830" s="90"/>
      <c r="F830" s="20"/>
      <c r="G830" s="37"/>
      <c r="H830" s="37"/>
      <c r="I830" s="32"/>
      <c r="J830" s="32"/>
      <c r="K830" s="53"/>
      <c r="L830" s="32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</row>
    <row r="831" ht="15.75" customHeight="1">
      <c r="A831" s="27"/>
      <c r="B831" s="16" t="str">
        <f t="shared" si="6"/>
        <v/>
      </c>
      <c r="C831" s="28"/>
      <c r="D831" s="89"/>
      <c r="E831" s="90"/>
      <c r="F831" s="20"/>
      <c r="G831" s="37"/>
      <c r="H831" s="37"/>
      <c r="I831" s="32"/>
      <c r="J831" s="32"/>
      <c r="K831" s="53"/>
      <c r="L831" s="32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</row>
    <row r="832" ht="15.75" customHeight="1">
      <c r="A832" s="27"/>
      <c r="B832" s="16" t="str">
        <f t="shared" si="6"/>
        <v/>
      </c>
      <c r="C832" s="28"/>
      <c r="D832" s="89"/>
      <c r="E832" s="90"/>
      <c r="F832" s="20"/>
      <c r="G832" s="37"/>
      <c r="H832" s="37"/>
      <c r="I832" s="32"/>
      <c r="J832" s="32"/>
      <c r="K832" s="53"/>
      <c r="L832" s="32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</row>
    <row r="833" ht="15.75" customHeight="1">
      <c r="A833" s="27"/>
      <c r="B833" s="16" t="str">
        <f t="shared" si="6"/>
        <v/>
      </c>
      <c r="C833" s="28"/>
      <c r="D833" s="89"/>
      <c r="E833" s="90"/>
      <c r="F833" s="20"/>
      <c r="G833" s="37"/>
      <c r="H833" s="37"/>
      <c r="I833" s="32"/>
      <c r="J833" s="32"/>
      <c r="K833" s="53"/>
      <c r="L833" s="32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</row>
    <row r="834" ht="15.75" customHeight="1">
      <c r="A834" s="27"/>
      <c r="B834" s="16" t="str">
        <f t="shared" si="6"/>
        <v/>
      </c>
      <c r="C834" s="28"/>
      <c r="D834" s="89"/>
      <c r="E834" s="90"/>
      <c r="F834" s="20"/>
      <c r="G834" s="37"/>
      <c r="H834" s="37"/>
      <c r="I834" s="32"/>
      <c r="J834" s="32"/>
      <c r="K834" s="53"/>
      <c r="L834" s="32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</row>
    <row r="835" ht="15.75" customHeight="1">
      <c r="A835" s="27"/>
      <c r="B835" s="16" t="str">
        <f t="shared" si="6"/>
        <v/>
      </c>
      <c r="C835" s="28"/>
      <c r="D835" s="89"/>
      <c r="E835" s="90"/>
      <c r="F835" s="20"/>
      <c r="G835" s="37"/>
      <c r="H835" s="37"/>
      <c r="I835" s="32"/>
      <c r="J835" s="32"/>
      <c r="K835" s="53"/>
      <c r="L835" s="32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</row>
    <row r="836" ht="15.75" customHeight="1">
      <c r="A836" s="27"/>
      <c r="B836" s="16" t="str">
        <f t="shared" si="6"/>
        <v/>
      </c>
      <c r="C836" s="28"/>
      <c r="D836" s="89"/>
      <c r="E836" s="90"/>
      <c r="F836" s="20"/>
      <c r="G836" s="37"/>
      <c r="H836" s="37"/>
      <c r="I836" s="32"/>
      <c r="J836" s="32"/>
      <c r="K836" s="53"/>
      <c r="L836" s="32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</row>
    <row r="837" ht="15.75" customHeight="1">
      <c r="A837" s="27"/>
      <c r="B837" s="16" t="str">
        <f t="shared" si="6"/>
        <v/>
      </c>
      <c r="C837" s="28"/>
      <c r="D837" s="89"/>
      <c r="E837" s="90"/>
      <c r="F837" s="20"/>
      <c r="G837" s="37"/>
      <c r="H837" s="37"/>
      <c r="I837" s="32"/>
      <c r="J837" s="32"/>
      <c r="K837" s="53"/>
      <c r="L837" s="32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</row>
    <row r="838" ht="15.75" customHeight="1">
      <c r="A838" s="27"/>
      <c r="B838" s="16" t="str">
        <f t="shared" si="6"/>
        <v/>
      </c>
      <c r="C838" s="28"/>
      <c r="D838" s="89"/>
      <c r="E838" s="90"/>
      <c r="F838" s="20"/>
      <c r="G838" s="37"/>
      <c r="H838" s="37"/>
      <c r="I838" s="32"/>
      <c r="J838" s="32"/>
      <c r="K838" s="53"/>
      <c r="L838" s="32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</row>
    <row r="839" ht="15.75" customHeight="1">
      <c r="A839" s="27"/>
      <c r="B839" s="16" t="str">
        <f t="shared" si="6"/>
        <v/>
      </c>
      <c r="C839" s="28"/>
      <c r="D839" s="89"/>
      <c r="E839" s="90"/>
      <c r="F839" s="20"/>
      <c r="G839" s="37"/>
      <c r="H839" s="37"/>
      <c r="I839" s="32"/>
      <c r="J839" s="32"/>
      <c r="K839" s="53"/>
      <c r="L839" s="32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</row>
    <row r="840" ht="15.75" customHeight="1">
      <c r="A840" s="27"/>
      <c r="B840" s="16" t="str">
        <f t="shared" si="6"/>
        <v/>
      </c>
      <c r="C840" s="28"/>
      <c r="D840" s="89"/>
      <c r="E840" s="90"/>
      <c r="F840" s="20"/>
      <c r="G840" s="37"/>
      <c r="H840" s="37"/>
      <c r="I840" s="32"/>
      <c r="J840" s="32"/>
      <c r="K840" s="53"/>
      <c r="L840" s="32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</row>
    <row r="841" ht="15.75" customHeight="1">
      <c r="A841" s="27"/>
      <c r="B841" s="16" t="str">
        <f t="shared" si="6"/>
        <v/>
      </c>
      <c r="C841" s="28"/>
      <c r="D841" s="89"/>
      <c r="E841" s="90"/>
      <c r="F841" s="20"/>
      <c r="G841" s="37"/>
      <c r="H841" s="37"/>
      <c r="I841" s="32"/>
      <c r="J841" s="32"/>
      <c r="K841" s="53"/>
      <c r="L841" s="32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</row>
    <row r="842" ht="15.75" customHeight="1">
      <c r="A842" s="27"/>
      <c r="B842" s="16" t="str">
        <f t="shared" si="6"/>
        <v/>
      </c>
      <c r="C842" s="28"/>
      <c r="D842" s="89"/>
      <c r="E842" s="90"/>
      <c r="F842" s="20"/>
      <c r="G842" s="37"/>
      <c r="H842" s="37"/>
      <c r="I842" s="32"/>
      <c r="J842" s="32"/>
      <c r="K842" s="53"/>
      <c r="L842" s="32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</row>
    <row r="843" ht="15.75" customHeight="1">
      <c r="A843" s="27"/>
      <c r="B843" s="16" t="str">
        <f t="shared" si="6"/>
        <v/>
      </c>
      <c r="C843" s="28"/>
      <c r="D843" s="89"/>
      <c r="E843" s="90"/>
      <c r="F843" s="20"/>
      <c r="G843" s="37"/>
      <c r="H843" s="37"/>
      <c r="I843" s="32"/>
      <c r="J843" s="32"/>
      <c r="K843" s="53"/>
      <c r="L843" s="32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</row>
    <row r="844" ht="15.75" customHeight="1">
      <c r="A844" s="27"/>
      <c r="B844" s="16" t="str">
        <f t="shared" si="6"/>
        <v/>
      </c>
      <c r="C844" s="28"/>
      <c r="D844" s="89"/>
      <c r="E844" s="90"/>
      <c r="F844" s="20"/>
      <c r="G844" s="37"/>
      <c r="H844" s="37"/>
      <c r="I844" s="32"/>
      <c r="J844" s="32"/>
      <c r="K844" s="53"/>
      <c r="L844" s="32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</row>
    <row r="845" ht="15.75" customHeight="1">
      <c r="A845" s="27"/>
      <c r="B845" s="16" t="str">
        <f t="shared" si="6"/>
        <v/>
      </c>
      <c r="C845" s="28"/>
      <c r="D845" s="89"/>
      <c r="E845" s="90"/>
      <c r="F845" s="20"/>
      <c r="G845" s="37"/>
      <c r="H845" s="37"/>
      <c r="I845" s="32"/>
      <c r="J845" s="32"/>
      <c r="K845" s="53"/>
      <c r="L845" s="32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</row>
    <row r="846" ht="15.75" customHeight="1">
      <c r="A846" s="27"/>
      <c r="B846" s="16" t="str">
        <f t="shared" si="6"/>
        <v/>
      </c>
      <c r="C846" s="28"/>
      <c r="D846" s="89"/>
      <c r="E846" s="90"/>
      <c r="F846" s="20"/>
      <c r="G846" s="37"/>
      <c r="H846" s="37"/>
      <c r="I846" s="32"/>
      <c r="J846" s="32"/>
      <c r="K846" s="53"/>
      <c r="L846" s="32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</row>
    <row r="847" ht="15.75" customHeight="1">
      <c r="A847" s="27"/>
      <c r="B847" s="16" t="str">
        <f t="shared" si="6"/>
        <v/>
      </c>
      <c r="C847" s="28"/>
      <c r="D847" s="89"/>
      <c r="E847" s="90"/>
      <c r="F847" s="20"/>
      <c r="G847" s="37"/>
      <c r="H847" s="37"/>
      <c r="I847" s="32"/>
      <c r="J847" s="32"/>
      <c r="K847" s="53"/>
      <c r="L847" s="32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</row>
    <row r="848" ht="15.75" customHeight="1">
      <c r="A848" s="27"/>
      <c r="B848" s="16" t="str">
        <f t="shared" si="6"/>
        <v/>
      </c>
      <c r="C848" s="28"/>
      <c r="D848" s="89"/>
      <c r="E848" s="90"/>
      <c r="F848" s="20"/>
      <c r="G848" s="37"/>
      <c r="H848" s="37"/>
      <c r="I848" s="32"/>
      <c r="J848" s="32"/>
      <c r="K848" s="53"/>
      <c r="L848" s="32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</row>
    <row r="849" ht="15.75" customHeight="1">
      <c r="A849" s="27"/>
      <c r="B849" s="16" t="str">
        <f t="shared" si="6"/>
        <v/>
      </c>
      <c r="C849" s="28"/>
      <c r="D849" s="89"/>
      <c r="E849" s="90"/>
      <c r="F849" s="20"/>
      <c r="G849" s="37"/>
      <c r="H849" s="37"/>
      <c r="I849" s="32"/>
      <c r="J849" s="32"/>
      <c r="K849" s="53"/>
      <c r="L849" s="32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</row>
    <row r="850" ht="15.75" customHeight="1">
      <c r="A850" s="27"/>
      <c r="B850" s="16" t="str">
        <f t="shared" si="6"/>
        <v/>
      </c>
      <c r="C850" s="28"/>
      <c r="D850" s="89"/>
      <c r="E850" s="90"/>
      <c r="F850" s="20"/>
      <c r="G850" s="37"/>
      <c r="H850" s="37"/>
      <c r="I850" s="32"/>
      <c r="J850" s="32"/>
      <c r="K850" s="53"/>
      <c r="L850" s="32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</row>
    <row r="851" ht="15.75" customHeight="1">
      <c r="A851" s="27"/>
      <c r="B851" s="16" t="str">
        <f t="shared" si="6"/>
        <v/>
      </c>
      <c r="C851" s="28"/>
      <c r="D851" s="89"/>
      <c r="E851" s="90"/>
      <c r="F851" s="20"/>
      <c r="G851" s="37"/>
      <c r="H851" s="37"/>
      <c r="I851" s="32"/>
      <c r="J851" s="32"/>
      <c r="K851" s="53"/>
      <c r="L851" s="32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</row>
    <row r="852" ht="15.75" customHeight="1">
      <c r="A852" s="27"/>
      <c r="B852" s="16" t="str">
        <f t="shared" si="6"/>
        <v/>
      </c>
      <c r="C852" s="28"/>
      <c r="D852" s="89"/>
      <c r="E852" s="90"/>
      <c r="F852" s="20"/>
      <c r="G852" s="37"/>
      <c r="H852" s="37"/>
      <c r="I852" s="32"/>
      <c r="J852" s="32"/>
      <c r="K852" s="53"/>
      <c r="L852" s="32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</row>
    <row r="853" ht="15.75" customHeight="1">
      <c r="A853" s="27"/>
      <c r="B853" s="16" t="str">
        <f t="shared" si="6"/>
        <v/>
      </c>
      <c r="C853" s="28"/>
      <c r="D853" s="89"/>
      <c r="E853" s="90"/>
      <c r="F853" s="20"/>
      <c r="G853" s="37"/>
      <c r="H853" s="37"/>
      <c r="I853" s="32"/>
      <c r="J853" s="32"/>
      <c r="K853" s="53"/>
      <c r="L853" s="32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</row>
    <row r="854" ht="15.75" customHeight="1">
      <c r="A854" s="27"/>
      <c r="B854" s="16" t="str">
        <f t="shared" si="6"/>
        <v/>
      </c>
      <c r="C854" s="28"/>
      <c r="D854" s="89"/>
      <c r="E854" s="90"/>
      <c r="F854" s="20"/>
      <c r="G854" s="37"/>
      <c r="H854" s="37"/>
      <c r="I854" s="32"/>
      <c r="J854" s="32"/>
      <c r="K854" s="53"/>
      <c r="L854" s="32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</row>
    <row r="855" ht="15.75" customHeight="1">
      <c r="A855" s="27"/>
      <c r="B855" s="16" t="str">
        <f t="shared" si="6"/>
        <v/>
      </c>
      <c r="C855" s="28"/>
      <c r="D855" s="89"/>
      <c r="E855" s="90"/>
      <c r="F855" s="20"/>
      <c r="G855" s="37"/>
      <c r="H855" s="37"/>
      <c r="I855" s="32"/>
      <c r="J855" s="32"/>
      <c r="K855" s="53"/>
      <c r="L855" s="32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</row>
    <row r="856" ht="15.75" customHeight="1">
      <c r="A856" s="27"/>
      <c r="B856" s="16" t="str">
        <f t="shared" si="6"/>
        <v/>
      </c>
      <c r="C856" s="28"/>
      <c r="D856" s="89"/>
      <c r="E856" s="90"/>
      <c r="F856" s="20"/>
      <c r="G856" s="37"/>
      <c r="H856" s="37"/>
      <c r="I856" s="32"/>
      <c r="J856" s="32"/>
      <c r="K856" s="53"/>
      <c r="L856" s="32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</row>
    <row r="857" ht="15.75" customHeight="1">
      <c r="A857" s="27"/>
      <c r="B857" s="16" t="str">
        <f t="shared" si="6"/>
        <v/>
      </c>
      <c r="C857" s="28"/>
      <c r="D857" s="89"/>
      <c r="E857" s="90"/>
      <c r="F857" s="20"/>
      <c r="G857" s="37"/>
      <c r="H857" s="37"/>
      <c r="I857" s="32"/>
      <c r="J857" s="32"/>
      <c r="K857" s="53"/>
      <c r="L857" s="32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</row>
    <row r="858" ht="15.75" customHeight="1">
      <c r="A858" s="27"/>
      <c r="B858" s="16" t="str">
        <f t="shared" si="6"/>
        <v/>
      </c>
      <c r="C858" s="28"/>
      <c r="D858" s="89"/>
      <c r="E858" s="90"/>
      <c r="F858" s="20"/>
      <c r="G858" s="37"/>
      <c r="H858" s="37"/>
      <c r="I858" s="32"/>
      <c r="J858" s="32"/>
      <c r="K858" s="53"/>
      <c r="L858" s="32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</row>
    <row r="859" ht="15.75" customHeight="1">
      <c r="A859" s="27"/>
      <c r="B859" s="16" t="str">
        <f t="shared" si="6"/>
        <v/>
      </c>
      <c r="C859" s="28"/>
      <c r="D859" s="89"/>
      <c r="E859" s="90"/>
      <c r="F859" s="20"/>
      <c r="G859" s="37"/>
      <c r="H859" s="37"/>
      <c r="I859" s="32"/>
      <c r="J859" s="32"/>
      <c r="K859" s="53"/>
      <c r="L859" s="32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</row>
    <row r="860" ht="15.75" customHeight="1">
      <c r="A860" s="27"/>
      <c r="B860" s="16" t="str">
        <f t="shared" si="6"/>
        <v/>
      </c>
      <c r="C860" s="28"/>
      <c r="D860" s="89"/>
      <c r="E860" s="90"/>
      <c r="F860" s="20"/>
      <c r="G860" s="37"/>
      <c r="H860" s="37"/>
      <c r="I860" s="32"/>
      <c r="J860" s="32"/>
      <c r="K860" s="53"/>
      <c r="L860" s="32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</row>
    <row r="861" ht="15.75" customHeight="1">
      <c r="A861" s="27"/>
      <c r="B861" s="16" t="str">
        <f t="shared" si="6"/>
        <v/>
      </c>
      <c r="C861" s="28"/>
      <c r="D861" s="89"/>
      <c r="E861" s="90"/>
      <c r="F861" s="20"/>
      <c r="G861" s="37"/>
      <c r="H861" s="37"/>
      <c r="I861" s="32"/>
      <c r="J861" s="32"/>
      <c r="K861" s="53"/>
      <c r="L861" s="32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</row>
    <row r="862" ht="15.75" customHeight="1">
      <c r="A862" s="27"/>
      <c r="B862" s="16" t="str">
        <f t="shared" si="6"/>
        <v/>
      </c>
      <c r="C862" s="28"/>
      <c r="D862" s="89"/>
      <c r="E862" s="90"/>
      <c r="F862" s="20"/>
      <c r="G862" s="37"/>
      <c r="H862" s="37"/>
      <c r="I862" s="32"/>
      <c r="J862" s="32"/>
      <c r="K862" s="53"/>
      <c r="L862" s="32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</row>
    <row r="863" ht="15.75" customHeight="1">
      <c r="A863" s="27"/>
      <c r="B863" s="16" t="str">
        <f t="shared" si="6"/>
        <v/>
      </c>
      <c r="C863" s="28"/>
      <c r="D863" s="89"/>
      <c r="E863" s="90"/>
      <c r="F863" s="20"/>
      <c r="G863" s="37"/>
      <c r="H863" s="37"/>
      <c r="I863" s="32"/>
      <c r="J863" s="32"/>
      <c r="K863" s="53"/>
      <c r="L863" s="32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</row>
    <row r="864" ht="15.75" customHeight="1">
      <c r="A864" s="27"/>
      <c r="B864" s="16" t="str">
        <f t="shared" si="6"/>
        <v/>
      </c>
      <c r="C864" s="28"/>
      <c r="D864" s="89"/>
      <c r="E864" s="90"/>
      <c r="F864" s="20"/>
      <c r="G864" s="37"/>
      <c r="H864" s="37"/>
      <c r="I864" s="32"/>
      <c r="J864" s="32"/>
      <c r="K864" s="53"/>
      <c r="L864" s="32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</row>
    <row r="865" ht="15.75" customHeight="1">
      <c r="A865" s="27"/>
      <c r="B865" s="16" t="str">
        <f t="shared" si="6"/>
        <v/>
      </c>
      <c r="C865" s="28"/>
      <c r="D865" s="89"/>
      <c r="E865" s="90"/>
      <c r="F865" s="20"/>
      <c r="G865" s="37"/>
      <c r="H865" s="37"/>
      <c r="I865" s="32"/>
      <c r="J865" s="32"/>
      <c r="K865" s="53"/>
      <c r="L865" s="32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</row>
    <row r="866" ht="15.75" customHeight="1">
      <c r="A866" s="27"/>
      <c r="B866" s="16" t="str">
        <f t="shared" si="6"/>
        <v/>
      </c>
      <c r="C866" s="28"/>
      <c r="D866" s="89"/>
      <c r="E866" s="90"/>
      <c r="F866" s="20"/>
      <c r="G866" s="37"/>
      <c r="H866" s="37"/>
      <c r="I866" s="32"/>
      <c r="J866" s="32"/>
      <c r="K866" s="53"/>
      <c r="L866" s="32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</row>
    <row r="867" ht="15.75" customHeight="1">
      <c r="A867" s="27"/>
      <c r="B867" s="16" t="str">
        <f t="shared" si="6"/>
        <v/>
      </c>
      <c r="C867" s="28"/>
      <c r="D867" s="89"/>
      <c r="E867" s="90"/>
      <c r="F867" s="20"/>
      <c r="G867" s="37"/>
      <c r="H867" s="37"/>
      <c r="I867" s="32"/>
      <c r="J867" s="32"/>
      <c r="K867" s="53"/>
      <c r="L867" s="32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</row>
    <row r="868" ht="15.75" customHeight="1">
      <c r="A868" s="27"/>
      <c r="B868" s="16" t="str">
        <f t="shared" si="6"/>
        <v/>
      </c>
      <c r="C868" s="28"/>
      <c r="D868" s="89"/>
      <c r="E868" s="90"/>
      <c r="F868" s="20"/>
      <c r="G868" s="37"/>
      <c r="H868" s="37"/>
      <c r="I868" s="32"/>
      <c r="J868" s="32"/>
      <c r="K868" s="53"/>
      <c r="L868" s="32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</row>
    <row r="869" ht="15.75" customHeight="1">
      <c r="A869" s="27"/>
      <c r="B869" s="16" t="str">
        <f t="shared" si="6"/>
        <v/>
      </c>
      <c r="C869" s="28"/>
      <c r="D869" s="89"/>
      <c r="E869" s="90"/>
      <c r="F869" s="20"/>
      <c r="G869" s="37"/>
      <c r="H869" s="37"/>
      <c r="I869" s="32"/>
      <c r="J869" s="32"/>
      <c r="K869" s="53"/>
      <c r="L869" s="32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</row>
    <row r="870" ht="15.75" customHeight="1">
      <c r="A870" s="27"/>
      <c r="B870" s="16" t="str">
        <f t="shared" si="6"/>
        <v/>
      </c>
      <c r="C870" s="28"/>
      <c r="D870" s="89"/>
      <c r="E870" s="90"/>
      <c r="F870" s="20"/>
      <c r="G870" s="37"/>
      <c r="H870" s="37"/>
      <c r="I870" s="32"/>
      <c r="J870" s="32"/>
      <c r="K870" s="53"/>
      <c r="L870" s="32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</row>
    <row r="871" ht="15.75" customHeight="1">
      <c r="A871" s="27"/>
      <c r="B871" s="16" t="str">
        <f t="shared" si="6"/>
        <v/>
      </c>
      <c r="C871" s="28"/>
      <c r="D871" s="89"/>
      <c r="E871" s="90"/>
      <c r="F871" s="20"/>
      <c r="G871" s="37"/>
      <c r="H871" s="37"/>
      <c r="I871" s="32"/>
      <c r="J871" s="32"/>
      <c r="K871" s="53"/>
      <c r="L871" s="32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</row>
    <row r="872" ht="15.75" customHeight="1">
      <c r="A872" s="27"/>
      <c r="B872" s="16" t="str">
        <f t="shared" si="6"/>
        <v/>
      </c>
      <c r="C872" s="28"/>
      <c r="D872" s="89"/>
      <c r="E872" s="90"/>
      <c r="F872" s="20"/>
      <c r="G872" s="37"/>
      <c r="H872" s="37"/>
      <c r="I872" s="32"/>
      <c r="J872" s="32"/>
      <c r="K872" s="53"/>
      <c r="L872" s="32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</row>
    <row r="873" ht="15.75" customHeight="1">
      <c r="A873" s="27"/>
      <c r="B873" s="16" t="str">
        <f t="shared" si="6"/>
        <v/>
      </c>
      <c r="C873" s="28"/>
      <c r="D873" s="89"/>
      <c r="E873" s="90"/>
      <c r="F873" s="20"/>
      <c r="G873" s="37"/>
      <c r="H873" s="37"/>
      <c r="I873" s="32"/>
      <c r="J873" s="32"/>
      <c r="K873" s="53"/>
      <c r="L873" s="32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</row>
    <row r="874" ht="15.75" customHeight="1">
      <c r="A874" s="27"/>
      <c r="B874" s="16" t="str">
        <f t="shared" si="6"/>
        <v/>
      </c>
      <c r="C874" s="28"/>
      <c r="D874" s="89"/>
      <c r="E874" s="90"/>
      <c r="F874" s="20"/>
      <c r="G874" s="37"/>
      <c r="H874" s="37"/>
      <c r="I874" s="32"/>
      <c r="J874" s="32"/>
      <c r="K874" s="53"/>
      <c r="L874" s="32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</row>
    <row r="875" ht="15.75" customHeight="1">
      <c r="A875" s="27"/>
      <c r="B875" s="16" t="str">
        <f t="shared" si="6"/>
        <v/>
      </c>
      <c r="C875" s="28"/>
      <c r="D875" s="89"/>
      <c r="E875" s="90"/>
      <c r="F875" s="20"/>
      <c r="G875" s="37"/>
      <c r="H875" s="37"/>
      <c r="I875" s="32"/>
      <c r="J875" s="32"/>
      <c r="K875" s="53"/>
      <c r="L875" s="32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</row>
    <row r="876" ht="15.75" customHeight="1">
      <c r="A876" s="27"/>
      <c r="B876" s="16" t="str">
        <f t="shared" si="6"/>
        <v/>
      </c>
      <c r="C876" s="28"/>
      <c r="D876" s="89"/>
      <c r="E876" s="90"/>
      <c r="F876" s="20"/>
      <c r="G876" s="37"/>
      <c r="H876" s="37"/>
      <c r="I876" s="32"/>
      <c r="J876" s="32"/>
      <c r="K876" s="53"/>
      <c r="L876" s="32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</row>
    <row r="877" ht="15.75" customHeight="1">
      <c r="A877" s="27"/>
      <c r="B877" s="16" t="str">
        <f t="shared" si="6"/>
        <v/>
      </c>
      <c r="C877" s="28"/>
      <c r="D877" s="89"/>
      <c r="E877" s="90"/>
      <c r="F877" s="20"/>
      <c r="G877" s="37"/>
      <c r="H877" s="37"/>
      <c r="I877" s="32"/>
      <c r="J877" s="32"/>
      <c r="K877" s="53"/>
      <c r="L877" s="32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</row>
    <row r="878" ht="15.75" customHeight="1">
      <c r="A878" s="27"/>
      <c r="B878" s="16" t="str">
        <f t="shared" si="6"/>
        <v/>
      </c>
      <c r="C878" s="28"/>
      <c r="D878" s="89"/>
      <c r="E878" s="90"/>
      <c r="F878" s="20"/>
      <c r="G878" s="37"/>
      <c r="H878" s="37"/>
      <c r="I878" s="32"/>
      <c r="J878" s="32"/>
      <c r="K878" s="53"/>
      <c r="L878" s="32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</row>
    <row r="879" ht="15.75" customHeight="1">
      <c r="A879" s="27"/>
      <c r="B879" s="16" t="str">
        <f t="shared" si="6"/>
        <v/>
      </c>
      <c r="C879" s="28"/>
      <c r="D879" s="89"/>
      <c r="E879" s="90"/>
      <c r="F879" s="20"/>
      <c r="G879" s="37"/>
      <c r="H879" s="37"/>
      <c r="I879" s="32"/>
      <c r="J879" s="32"/>
      <c r="K879" s="53"/>
      <c r="L879" s="32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</row>
    <row r="880" ht="15.75" customHeight="1">
      <c r="A880" s="27"/>
      <c r="B880" s="16" t="str">
        <f t="shared" si="6"/>
        <v/>
      </c>
      <c r="C880" s="28"/>
      <c r="D880" s="89"/>
      <c r="E880" s="90"/>
      <c r="F880" s="20"/>
      <c r="G880" s="37"/>
      <c r="H880" s="37"/>
      <c r="I880" s="32"/>
      <c r="J880" s="32"/>
      <c r="K880" s="53"/>
      <c r="L880" s="32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</row>
    <row r="881" ht="15.75" customHeight="1">
      <c r="A881" s="27"/>
      <c r="B881" s="16" t="str">
        <f t="shared" si="6"/>
        <v/>
      </c>
      <c r="C881" s="28"/>
      <c r="D881" s="89"/>
      <c r="E881" s="90"/>
      <c r="F881" s="20"/>
      <c r="G881" s="37"/>
      <c r="H881" s="37"/>
      <c r="I881" s="32"/>
      <c r="J881" s="32"/>
      <c r="K881" s="53"/>
      <c r="L881" s="32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</row>
    <row r="882" ht="15.75" customHeight="1">
      <c r="A882" s="27"/>
      <c r="B882" s="16" t="str">
        <f t="shared" si="6"/>
        <v/>
      </c>
      <c r="C882" s="28"/>
      <c r="D882" s="89"/>
      <c r="E882" s="90"/>
      <c r="F882" s="20"/>
      <c r="G882" s="37"/>
      <c r="H882" s="37"/>
      <c r="I882" s="32"/>
      <c r="J882" s="32"/>
      <c r="K882" s="53"/>
      <c r="L882" s="32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</row>
    <row r="883" ht="15.75" customHeight="1">
      <c r="A883" s="27"/>
      <c r="B883" s="16" t="str">
        <f t="shared" si="6"/>
        <v/>
      </c>
      <c r="C883" s="28"/>
      <c r="D883" s="89"/>
      <c r="E883" s="90"/>
      <c r="F883" s="20"/>
      <c r="G883" s="37"/>
      <c r="H883" s="37"/>
      <c r="I883" s="32"/>
      <c r="J883" s="32"/>
      <c r="K883" s="53"/>
      <c r="L883" s="32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</row>
    <row r="884" ht="15.75" customHeight="1">
      <c r="A884" s="27"/>
      <c r="B884" s="16" t="str">
        <f t="shared" si="6"/>
        <v/>
      </c>
      <c r="C884" s="28"/>
      <c r="D884" s="89"/>
      <c r="E884" s="90"/>
      <c r="F884" s="20"/>
      <c r="G884" s="37"/>
      <c r="H884" s="37"/>
      <c r="I884" s="32"/>
      <c r="J884" s="32"/>
      <c r="K884" s="53"/>
      <c r="L884" s="32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</row>
    <row r="885" ht="15.75" customHeight="1">
      <c r="A885" s="27"/>
      <c r="B885" s="16" t="str">
        <f t="shared" si="6"/>
        <v/>
      </c>
      <c r="C885" s="28"/>
      <c r="D885" s="89"/>
      <c r="E885" s="90"/>
      <c r="F885" s="20"/>
      <c r="G885" s="37"/>
      <c r="H885" s="37"/>
      <c r="I885" s="32"/>
      <c r="J885" s="32"/>
      <c r="K885" s="53"/>
      <c r="L885" s="32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</row>
    <row r="886" ht="15.75" customHeight="1">
      <c r="A886" s="27"/>
      <c r="B886" s="16" t="str">
        <f t="shared" si="6"/>
        <v/>
      </c>
      <c r="C886" s="28"/>
      <c r="D886" s="89"/>
      <c r="E886" s="90"/>
      <c r="F886" s="20"/>
      <c r="G886" s="37"/>
      <c r="H886" s="37"/>
      <c r="I886" s="32"/>
      <c r="J886" s="32"/>
      <c r="K886" s="53"/>
      <c r="L886" s="32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</row>
    <row r="887" ht="15.75" customHeight="1">
      <c r="A887" s="27"/>
      <c r="B887" s="16" t="str">
        <f t="shared" si="6"/>
        <v/>
      </c>
      <c r="C887" s="28"/>
      <c r="D887" s="89"/>
      <c r="E887" s="90"/>
      <c r="F887" s="20"/>
      <c r="G887" s="37"/>
      <c r="H887" s="37"/>
      <c r="I887" s="32"/>
      <c r="J887" s="32"/>
      <c r="K887" s="53"/>
      <c r="L887" s="32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</row>
    <row r="888" ht="15.75" customHeight="1">
      <c r="A888" s="27"/>
      <c r="B888" s="16" t="str">
        <f t="shared" si="6"/>
        <v/>
      </c>
      <c r="C888" s="28"/>
      <c r="D888" s="89"/>
      <c r="E888" s="90"/>
      <c r="F888" s="20"/>
      <c r="G888" s="37"/>
      <c r="H888" s="37"/>
      <c r="I888" s="32"/>
      <c r="J888" s="32"/>
      <c r="K888" s="53"/>
      <c r="L888" s="32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</row>
    <row r="889" ht="15.75" customHeight="1">
      <c r="A889" s="27"/>
      <c r="B889" s="16" t="str">
        <f t="shared" si="6"/>
        <v/>
      </c>
      <c r="C889" s="28"/>
      <c r="D889" s="89"/>
      <c r="E889" s="90"/>
      <c r="F889" s="20"/>
      <c r="G889" s="37"/>
      <c r="H889" s="37"/>
      <c r="I889" s="32"/>
      <c r="J889" s="32"/>
      <c r="K889" s="53"/>
      <c r="L889" s="32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</row>
    <row r="890" ht="15.75" customHeight="1">
      <c r="A890" s="27"/>
      <c r="B890" s="16" t="str">
        <f t="shared" si="6"/>
        <v/>
      </c>
      <c r="C890" s="28"/>
      <c r="D890" s="89"/>
      <c r="E890" s="90"/>
      <c r="F890" s="20"/>
      <c r="G890" s="37"/>
      <c r="H890" s="37"/>
      <c r="I890" s="32"/>
      <c r="J890" s="32"/>
      <c r="K890" s="53"/>
      <c r="L890" s="32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</row>
    <row r="891" ht="15.75" customHeight="1">
      <c r="A891" s="27"/>
      <c r="B891" s="16" t="str">
        <f t="shared" si="6"/>
        <v/>
      </c>
      <c r="C891" s="28"/>
      <c r="D891" s="89"/>
      <c r="E891" s="90"/>
      <c r="F891" s="20"/>
      <c r="G891" s="37"/>
      <c r="H891" s="37"/>
      <c r="I891" s="32"/>
      <c r="J891" s="32"/>
      <c r="K891" s="53"/>
      <c r="L891" s="32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</row>
    <row r="892" ht="15.75" customHeight="1">
      <c r="A892" s="27"/>
      <c r="B892" s="16" t="str">
        <f t="shared" si="6"/>
        <v/>
      </c>
      <c r="C892" s="28"/>
      <c r="D892" s="89"/>
      <c r="E892" s="90"/>
      <c r="F892" s="20"/>
      <c r="G892" s="37"/>
      <c r="H892" s="37"/>
      <c r="I892" s="32"/>
      <c r="J892" s="32"/>
      <c r="K892" s="53"/>
      <c r="L892" s="32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</row>
    <row r="893" ht="15.75" customHeight="1">
      <c r="A893" s="27"/>
      <c r="B893" s="16" t="str">
        <f t="shared" si="6"/>
        <v/>
      </c>
      <c r="C893" s="28"/>
      <c r="D893" s="89"/>
      <c r="E893" s="90"/>
      <c r="F893" s="20"/>
      <c r="G893" s="37"/>
      <c r="H893" s="37"/>
      <c r="I893" s="32"/>
      <c r="J893" s="32"/>
      <c r="K893" s="53"/>
      <c r="L893" s="32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</row>
    <row r="894" ht="15.75" customHeight="1">
      <c r="A894" s="27"/>
      <c r="B894" s="16" t="str">
        <f t="shared" si="6"/>
        <v/>
      </c>
      <c r="C894" s="28"/>
      <c r="D894" s="89"/>
      <c r="E894" s="90"/>
      <c r="F894" s="20"/>
      <c r="G894" s="37"/>
      <c r="H894" s="37"/>
      <c r="I894" s="32"/>
      <c r="J894" s="32"/>
      <c r="K894" s="53"/>
      <c r="L894" s="32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</row>
    <row r="895" ht="15.75" customHeight="1">
      <c r="A895" s="27"/>
      <c r="B895" s="16" t="str">
        <f t="shared" si="6"/>
        <v/>
      </c>
      <c r="C895" s="28"/>
      <c r="D895" s="89"/>
      <c r="E895" s="90"/>
      <c r="F895" s="20"/>
      <c r="G895" s="37"/>
      <c r="H895" s="37"/>
      <c r="I895" s="32"/>
      <c r="J895" s="32"/>
      <c r="K895" s="53"/>
      <c r="L895" s="32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</row>
    <row r="896" ht="15.75" customHeight="1">
      <c r="A896" s="27"/>
      <c r="B896" s="16" t="str">
        <f t="shared" si="6"/>
        <v/>
      </c>
      <c r="C896" s="28"/>
      <c r="D896" s="89"/>
      <c r="E896" s="90"/>
      <c r="F896" s="20"/>
      <c r="G896" s="37"/>
      <c r="H896" s="37"/>
      <c r="I896" s="32"/>
      <c r="J896" s="32"/>
      <c r="K896" s="53"/>
      <c r="L896" s="32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</row>
    <row r="897" ht="15.75" customHeight="1">
      <c r="A897" s="27"/>
      <c r="B897" s="16" t="str">
        <f t="shared" si="6"/>
        <v/>
      </c>
      <c r="C897" s="28"/>
      <c r="D897" s="89"/>
      <c r="E897" s="90"/>
      <c r="F897" s="20"/>
      <c r="G897" s="37"/>
      <c r="H897" s="37"/>
      <c r="I897" s="32"/>
      <c r="J897" s="32"/>
      <c r="K897" s="53"/>
      <c r="L897" s="32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</row>
    <row r="898" ht="15.75" customHeight="1">
      <c r="A898" s="27"/>
      <c r="B898" s="16" t="str">
        <f t="shared" si="6"/>
        <v/>
      </c>
      <c r="C898" s="28"/>
      <c r="D898" s="89"/>
      <c r="E898" s="90"/>
      <c r="F898" s="20"/>
      <c r="G898" s="37"/>
      <c r="H898" s="37"/>
      <c r="I898" s="32"/>
      <c r="J898" s="32"/>
      <c r="K898" s="53"/>
      <c r="L898" s="32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</row>
    <row r="899" ht="15.75" customHeight="1">
      <c r="A899" s="27"/>
      <c r="B899" s="16" t="str">
        <f t="shared" si="6"/>
        <v/>
      </c>
      <c r="C899" s="28"/>
      <c r="D899" s="89"/>
      <c r="E899" s="90"/>
      <c r="F899" s="20"/>
      <c r="G899" s="37"/>
      <c r="H899" s="37"/>
      <c r="I899" s="32"/>
      <c r="J899" s="32"/>
      <c r="K899" s="53"/>
      <c r="L899" s="32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</row>
    <row r="900" ht="15.75" customHeight="1">
      <c r="A900" s="27"/>
      <c r="B900" s="16" t="str">
        <f t="shared" si="6"/>
        <v/>
      </c>
      <c r="C900" s="28"/>
      <c r="D900" s="89"/>
      <c r="E900" s="90"/>
      <c r="F900" s="20"/>
      <c r="G900" s="37"/>
      <c r="H900" s="37"/>
      <c r="I900" s="32"/>
      <c r="J900" s="32"/>
      <c r="K900" s="53"/>
      <c r="L900" s="32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</row>
    <row r="901" ht="15.75" customHeight="1">
      <c r="A901" s="27"/>
      <c r="B901" s="16" t="str">
        <f t="shared" si="6"/>
        <v/>
      </c>
      <c r="C901" s="28"/>
      <c r="D901" s="89"/>
      <c r="E901" s="90"/>
      <c r="F901" s="20"/>
      <c r="G901" s="37"/>
      <c r="H901" s="37"/>
      <c r="I901" s="32"/>
      <c r="J901" s="32"/>
      <c r="K901" s="53"/>
      <c r="L901" s="32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</row>
    <row r="902" ht="15.75" customHeight="1">
      <c r="A902" s="27"/>
      <c r="B902" s="16" t="str">
        <f t="shared" si="6"/>
        <v/>
      </c>
      <c r="C902" s="28"/>
      <c r="D902" s="89"/>
      <c r="E902" s="90"/>
      <c r="F902" s="20"/>
      <c r="G902" s="37"/>
      <c r="H902" s="37"/>
      <c r="I902" s="32"/>
      <c r="J902" s="32"/>
      <c r="K902" s="53"/>
      <c r="L902" s="32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</row>
    <row r="903" ht="15.75" customHeight="1">
      <c r="A903" s="27"/>
      <c r="B903" s="16" t="str">
        <f t="shared" si="6"/>
        <v/>
      </c>
      <c r="C903" s="28"/>
      <c r="D903" s="89"/>
      <c r="E903" s="90"/>
      <c r="F903" s="20"/>
      <c r="G903" s="37"/>
      <c r="H903" s="37"/>
      <c r="I903" s="32"/>
      <c r="J903" s="32"/>
      <c r="K903" s="53"/>
      <c r="L903" s="32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</row>
    <row r="904" ht="15.75" customHeight="1">
      <c r="A904" s="27"/>
      <c r="B904" s="16" t="str">
        <f t="shared" si="6"/>
        <v/>
      </c>
      <c r="C904" s="28"/>
      <c r="D904" s="89"/>
      <c r="E904" s="90"/>
      <c r="F904" s="20"/>
      <c r="G904" s="37"/>
      <c r="H904" s="37"/>
      <c r="I904" s="32"/>
      <c r="J904" s="32"/>
      <c r="K904" s="53"/>
      <c r="L904" s="32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</row>
    <row r="905" ht="15.75" customHeight="1">
      <c r="A905" s="27"/>
      <c r="B905" s="16" t="str">
        <f t="shared" si="6"/>
        <v/>
      </c>
      <c r="C905" s="28"/>
      <c r="D905" s="89"/>
      <c r="E905" s="90"/>
      <c r="F905" s="20"/>
      <c r="G905" s="37"/>
      <c r="H905" s="37"/>
      <c r="I905" s="32"/>
      <c r="J905" s="32"/>
      <c r="K905" s="53"/>
      <c r="L905" s="32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</row>
    <row r="906" ht="15.75" customHeight="1">
      <c r="A906" s="27"/>
      <c r="B906" s="16" t="str">
        <f t="shared" si="6"/>
        <v/>
      </c>
      <c r="C906" s="28"/>
      <c r="D906" s="89"/>
      <c r="E906" s="90"/>
      <c r="F906" s="20"/>
      <c r="G906" s="37"/>
      <c r="H906" s="37"/>
      <c r="I906" s="32"/>
      <c r="J906" s="32"/>
      <c r="K906" s="53"/>
      <c r="L906" s="32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</row>
    <row r="907" ht="15.75" customHeight="1">
      <c r="A907" s="27"/>
      <c r="B907" s="16" t="str">
        <f t="shared" si="6"/>
        <v/>
      </c>
      <c r="C907" s="28"/>
      <c r="D907" s="89"/>
      <c r="E907" s="90"/>
      <c r="F907" s="20"/>
      <c r="G907" s="37"/>
      <c r="H907" s="37"/>
      <c r="I907" s="32"/>
      <c r="J907" s="32"/>
      <c r="K907" s="53"/>
      <c r="L907" s="32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</row>
    <row r="908" ht="15.75" customHeight="1">
      <c r="A908" s="27"/>
      <c r="B908" s="16" t="str">
        <f t="shared" si="6"/>
        <v/>
      </c>
      <c r="C908" s="28"/>
      <c r="D908" s="89"/>
      <c r="E908" s="90"/>
      <c r="F908" s="20"/>
      <c r="G908" s="37"/>
      <c r="H908" s="37"/>
      <c r="I908" s="32"/>
      <c r="J908" s="32"/>
      <c r="K908" s="53"/>
      <c r="L908" s="32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</row>
    <row r="909" ht="15.75" customHeight="1">
      <c r="A909" s="27"/>
      <c r="B909" s="16" t="str">
        <f t="shared" si="6"/>
        <v/>
      </c>
      <c r="C909" s="28"/>
      <c r="D909" s="89"/>
      <c r="E909" s="90"/>
      <c r="F909" s="20"/>
      <c r="G909" s="37"/>
      <c r="H909" s="37"/>
      <c r="I909" s="32"/>
      <c r="J909" s="32"/>
      <c r="K909" s="53"/>
      <c r="L909" s="32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</row>
    <row r="910" ht="15.75" customHeight="1">
      <c r="A910" s="27"/>
      <c r="B910" s="16" t="str">
        <f t="shared" si="6"/>
        <v/>
      </c>
      <c r="C910" s="28"/>
      <c r="D910" s="89"/>
      <c r="E910" s="90"/>
      <c r="F910" s="20"/>
      <c r="G910" s="37"/>
      <c r="H910" s="37"/>
      <c r="I910" s="32"/>
      <c r="J910" s="32"/>
      <c r="K910" s="53"/>
      <c r="L910" s="32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</row>
    <row r="911" ht="15.75" customHeight="1">
      <c r="A911" s="27"/>
      <c r="B911" s="16" t="str">
        <f t="shared" si="6"/>
        <v/>
      </c>
      <c r="C911" s="28"/>
      <c r="D911" s="89"/>
      <c r="E911" s="90"/>
      <c r="F911" s="20"/>
      <c r="G911" s="37"/>
      <c r="H911" s="37"/>
      <c r="I911" s="32"/>
      <c r="J911" s="32"/>
      <c r="K911" s="53"/>
      <c r="L911" s="32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</row>
    <row r="912" ht="15.75" customHeight="1">
      <c r="A912" s="27"/>
      <c r="B912" s="16" t="str">
        <f t="shared" si="6"/>
        <v/>
      </c>
      <c r="C912" s="28"/>
      <c r="D912" s="89"/>
      <c r="E912" s="90"/>
      <c r="F912" s="20"/>
      <c r="G912" s="37"/>
      <c r="H912" s="37"/>
      <c r="I912" s="32"/>
      <c r="J912" s="32"/>
      <c r="K912" s="53"/>
      <c r="L912" s="32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</row>
    <row r="913" ht="15.75" customHeight="1">
      <c r="A913" s="27"/>
      <c r="B913" s="16" t="str">
        <f t="shared" si="6"/>
        <v/>
      </c>
      <c r="C913" s="28"/>
      <c r="D913" s="89"/>
      <c r="E913" s="90"/>
      <c r="F913" s="20"/>
      <c r="G913" s="37"/>
      <c r="H913" s="37"/>
      <c r="I913" s="32"/>
      <c r="J913" s="32"/>
      <c r="K913" s="53"/>
      <c r="L913" s="32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</row>
    <row r="914" ht="15.75" customHeight="1">
      <c r="A914" s="27"/>
      <c r="B914" s="16" t="str">
        <f t="shared" si="6"/>
        <v/>
      </c>
      <c r="C914" s="28"/>
      <c r="D914" s="89"/>
      <c r="E914" s="90"/>
      <c r="F914" s="20"/>
      <c r="G914" s="37"/>
      <c r="H914" s="37"/>
      <c r="I914" s="32"/>
      <c r="J914" s="32"/>
      <c r="K914" s="53"/>
      <c r="L914" s="32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</row>
    <row r="915" ht="15.75" customHeight="1">
      <c r="A915" s="27"/>
      <c r="B915" s="16" t="str">
        <f t="shared" si="6"/>
        <v/>
      </c>
      <c r="C915" s="28"/>
      <c r="D915" s="89"/>
      <c r="E915" s="90"/>
      <c r="F915" s="20"/>
      <c r="G915" s="37"/>
      <c r="H915" s="37"/>
      <c r="I915" s="32"/>
      <c r="J915" s="32"/>
      <c r="K915" s="53"/>
      <c r="L915" s="32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</row>
    <row r="916" ht="15.75" customHeight="1">
      <c r="A916" s="27"/>
      <c r="B916" s="16" t="str">
        <f t="shared" si="6"/>
        <v/>
      </c>
      <c r="C916" s="28"/>
      <c r="D916" s="89"/>
      <c r="E916" s="90"/>
      <c r="F916" s="20"/>
      <c r="G916" s="37"/>
      <c r="H916" s="37"/>
      <c r="I916" s="32"/>
      <c r="J916" s="32"/>
      <c r="K916" s="53"/>
      <c r="L916" s="32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</row>
    <row r="917" ht="15.75" customHeight="1">
      <c r="A917" s="27"/>
      <c r="B917" s="16" t="str">
        <f t="shared" si="6"/>
        <v/>
      </c>
      <c r="C917" s="28"/>
      <c r="D917" s="89"/>
      <c r="E917" s="90"/>
      <c r="F917" s="20"/>
      <c r="G917" s="37"/>
      <c r="H917" s="37"/>
      <c r="I917" s="32"/>
      <c r="J917" s="32"/>
      <c r="K917" s="53"/>
      <c r="L917" s="32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</row>
    <row r="918" ht="15.75" customHeight="1">
      <c r="A918" s="27"/>
      <c r="B918" s="16" t="str">
        <f t="shared" si="6"/>
        <v/>
      </c>
      <c r="C918" s="28"/>
      <c r="D918" s="89"/>
      <c r="E918" s="90"/>
      <c r="F918" s="20"/>
      <c r="G918" s="37"/>
      <c r="H918" s="37"/>
      <c r="I918" s="32"/>
      <c r="J918" s="32"/>
      <c r="K918" s="53"/>
      <c r="L918" s="32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</row>
    <row r="919" ht="15.75" customHeight="1">
      <c r="A919" s="27"/>
      <c r="B919" s="16" t="str">
        <f t="shared" si="6"/>
        <v/>
      </c>
      <c r="C919" s="28"/>
      <c r="D919" s="89"/>
      <c r="E919" s="90"/>
      <c r="F919" s="20"/>
      <c r="G919" s="37"/>
      <c r="H919" s="37"/>
      <c r="I919" s="32"/>
      <c r="J919" s="32"/>
      <c r="K919" s="53"/>
      <c r="L919" s="32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</row>
    <row r="920" ht="15.75" customHeight="1">
      <c r="A920" s="27"/>
      <c r="B920" s="16" t="str">
        <f t="shared" si="6"/>
        <v/>
      </c>
      <c r="C920" s="28"/>
      <c r="D920" s="89"/>
      <c r="E920" s="90"/>
      <c r="F920" s="20"/>
      <c r="G920" s="37"/>
      <c r="H920" s="37"/>
      <c r="I920" s="32"/>
      <c r="J920" s="32"/>
      <c r="K920" s="53"/>
      <c r="L920" s="32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</row>
    <row r="921" ht="15.75" customHeight="1">
      <c r="A921" s="27"/>
      <c r="B921" s="16" t="str">
        <f t="shared" si="6"/>
        <v/>
      </c>
      <c r="C921" s="28"/>
      <c r="D921" s="89"/>
      <c r="E921" s="90"/>
      <c r="F921" s="20"/>
      <c r="G921" s="37"/>
      <c r="H921" s="37"/>
      <c r="I921" s="32"/>
      <c r="J921" s="32"/>
      <c r="K921" s="53"/>
      <c r="L921" s="32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</row>
    <row r="922" ht="15.75" customHeight="1">
      <c r="A922" s="27"/>
      <c r="B922" s="16" t="str">
        <f t="shared" si="6"/>
        <v/>
      </c>
      <c r="C922" s="28"/>
      <c r="D922" s="89"/>
      <c r="E922" s="90"/>
      <c r="F922" s="20"/>
      <c r="G922" s="37"/>
      <c r="H922" s="37"/>
      <c r="I922" s="32"/>
      <c r="J922" s="32"/>
      <c r="K922" s="53"/>
      <c r="L922" s="32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</row>
    <row r="923" ht="15.75" customHeight="1">
      <c r="A923" s="27"/>
      <c r="B923" s="16" t="str">
        <f t="shared" si="6"/>
        <v/>
      </c>
      <c r="C923" s="28"/>
      <c r="D923" s="89"/>
      <c r="E923" s="90"/>
      <c r="F923" s="20"/>
      <c r="G923" s="37"/>
      <c r="H923" s="37"/>
      <c r="I923" s="32"/>
      <c r="J923" s="32"/>
      <c r="K923" s="53"/>
      <c r="L923" s="32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</row>
    <row r="924" ht="15.75" customHeight="1">
      <c r="A924" s="27"/>
      <c r="B924" s="16" t="str">
        <f t="shared" si="6"/>
        <v/>
      </c>
      <c r="C924" s="28"/>
      <c r="D924" s="89"/>
      <c r="E924" s="90"/>
      <c r="F924" s="20"/>
      <c r="G924" s="37"/>
      <c r="H924" s="37"/>
      <c r="I924" s="32"/>
      <c r="J924" s="32"/>
      <c r="K924" s="53"/>
      <c r="L924" s="32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</row>
    <row r="925" ht="15.75" customHeight="1">
      <c r="A925" s="27"/>
      <c r="B925" s="16" t="str">
        <f t="shared" si="6"/>
        <v/>
      </c>
      <c r="C925" s="28"/>
      <c r="D925" s="89"/>
      <c r="E925" s="90"/>
      <c r="F925" s="20"/>
      <c r="G925" s="37"/>
      <c r="H925" s="37"/>
      <c r="I925" s="32"/>
      <c r="J925" s="32"/>
      <c r="K925" s="53"/>
      <c r="L925" s="32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</row>
    <row r="926" ht="15.75" customHeight="1">
      <c r="A926" s="27"/>
      <c r="B926" s="16" t="str">
        <f t="shared" si="6"/>
        <v/>
      </c>
      <c r="C926" s="28"/>
      <c r="D926" s="89"/>
      <c r="E926" s="90"/>
      <c r="F926" s="20"/>
      <c r="G926" s="37"/>
      <c r="H926" s="37"/>
      <c r="I926" s="32"/>
      <c r="J926" s="32"/>
      <c r="K926" s="53"/>
      <c r="L926" s="32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</row>
    <row r="927" ht="15.75" customHeight="1">
      <c r="A927" s="27"/>
      <c r="B927" s="16" t="str">
        <f t="shared" si="6"/>
        <v/>
      </c>
      <c r="C927" s="28"/>
      <c r="D927" s="89"/>
      <c r="E927" s="90"/>
      <c r="F927" s="20"/>
      <c r="G927" s="37"/>
      <c r="H927" s="37"/>
      <c r="I927" s="32"/>
      <c r="J927" s="32"/>
      <c r="K927" s="53"/>
      <c r="L927" s="32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</row>
    <row r="928" ht="15.75" customHeight="1">
      <c r="A928" s="27"/>
      <c r="B928" s="16" t="str">
        <f t="shared" si="6"/>
        <v/>
      </c>
      <c r="C928" s="28"/>
      <c r="D928" s="89"/>
      <c r="E928" s="90"/>
      <c r="F928" s="20"/>
      <c r="G928" s="37"/>
      <c r="H928" s="37"/>
      <c r="I928" s="32"/>
      <c r="J928" s="32"/>
      <c r="K928" s="53"/>
      <c r="L928" s="32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</row>
    <row r="929" ht="15.75" customHeight="1">
      <c r="A929" s="27"/>
      <c r="B929" s="16" t="str">
        <f t="shared" si="6"/>
        <v/>
      </c>
      <c r="C929" s="28"/>
      <c r="D929" s="89"/>
      <c r="E929" s="90"/>
      <c r="F929" s="20"/>
      <c r="G929" s="37"/>
      <c r="H929" s="37"/>
      <c r="I929" s="32"/>
      <c r="J929" s="32"/>
      <c r="K929" s="53"/>
      <c r="L929" s="32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</row>
    <row r="930" ht="15.75" customHeight="1">
      <c r="A930" s="27"/>
      <c r="B930" s="16" t="str">
        <f t="shared" si="6"/>
        <v/>
      </c>
      <c r="C930" s="28"/>
      <c r="D930" s="89"/>
      <c r="E930" s="90"/>
      <c r="F930" s="20"/>
      <c r="G930" s="37"/>
      <c r="H930" s="37"/>
      <c r="I930" s="32"/>
      <c r="J930" s="32"/>
      <c r="K930" s="53"/>
      <c r="L930" s="32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</row>
    <row r="931" ht="15.75" customHeight="1">
      <c r="A931" s="27"/>
      <c r="B931" s="16" t="str">
        <f t="shared" si="6"/>
        <v/>
      </c>
      <c r="C931" s="28"/>
      <c r="D931" s="89"/>
      <c r="E931" s="90"/>
      <c r="F931" s="20"/>
      <c r="G931" s="37"/>
      <c r="H931" s="37"/>
      <c r="I931" s="32"/>
      <c r="J931" s="32"/>
      <c r="K931" s="53"/>
      <c r="L931" s="32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</row>
    <row r="932" ht="15.75" customHeight="1">
      <c r="A932" s="27"/>
      <c r="B932" s="16" t="str">
        <f t="shared" si="6"/>
        <v/>
      </c>
      <c r="C932" s="28"/>
      <c r="D932" s="89"/>
      <c r="E932" s="90"/>
      <c r="F932" s="20"/>
      <c r="G932" s="37"/>
      <c r="H932" s="37"/>
      <c r="I932" s="32"/>
      <c r="J932" s="32"/>
      <c r="K932" s="53"/>
      <c r="L932" s="32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</row>
    <row r="933" ht="15.75" customHeight="1">
      <c r="A933" s="27"/>
      <c r="B933" s="16" t="str">
        <f t="shared" si="6"/>
        <v/>
      </c>
      <c r="C933" s="28"/>
      <c r="D933" s="89"/>
      <c r="E933" s="90"/>
      <c r="F933" s="20"/>
      <c r="G933" s="37"/>
      <c r="H933" s="37"/>
      <c r="I933" s="32"/>
      <c r="J933" s="32"/>
      <c r="K933" s="53"/>
      <c r="L933" s="32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</row>
    <row r="934" ht="15.75" customHeight="1">
      <c r="A934" s="27"/>
      <c r="B934" s="16" t="str">
        <f t="shared" si="6"/>
        <v/>
      </c>
      <c r="C934" s="28"/>
      <c r="D934" s="89"/>
      <c r="E934" s="90"/>
      <c r="F934" s="20"/>
      <c r="G934" s="37"/>
      <c r="H934" s="37"/>
      <c r="I934" s="32"/>
      <c r="J934" s="32"/>
      <c r="K934" s="53"/>
      <c r="L934" s="32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</row>
    <row r="935" ht="15.75" customHeight="1">
      <c r="A935" s="27"/>
      <c r="B935" s="16" t="str">
        <f t="shared" si="6"/>
        <v/>
      </c>
      <c r="C935" s="28"/>
      <c r="D935" s="89"/>
      <c r="E935" s="90"/>
      <c r="F935" s="20"/>
      <c r="G935" s="37"/>
      <c r="H935" s="37"/>
      <c r="I935" s="32"/>
      <c r="J935" s="32"/>
      <c r="K935" s="53"/>
      <c r="L935" s="32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</row>
    <row r="936" ht="15.75" customHeight="1">
      <c r="A936" s="27"/>
      <c r="B936" s="16" t="str">
        <f t="shared" si="6"/>
        <v/>
      </c>
      <c r="C936" s="28"/>
      <c r="D936" s="89"/>
      <c r="E936" s="90"/>
      <c r="F936" s="20"/>
      <c r="G936" s="37"/>
      <c r="H936" s="37"/>
      <c r="I936" s="32"/>
      <c r="J936" s="32"/>
      <c r="K936" s="53"/>
      <c r="L936" s="32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</row>
    <row r="937" ht="15.75" customHeight="1">
      <c r="A937" s="27"/>
      <c r="B937" s="16" t="str">
        <f t="shared" si="6"/>
        <v/>
      </c>
      <c r="C937" s="28"/>
      <c r="D937" s="89"/>
      <c r="E937" s="90"/>
      <c r="F937" s="20"/>
      <c r="G937" s="37"/>
      <c r="H937" s="37"/>
      <c r="I937" s="32"/>
      <c r="J937" s="32"/>
      <c r="K937" s="53"/>
      <c r="L937" s="32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</row>
    <row r="938" ht="15.75" customHeight="1">
      <c r="A938" s="27"/>
      <c r="B938" s="16" t="str">
        <f t="shared" si="6"/>
        <v/>
      </c>
      <c r="C938" s="28"/>
      <c r="D938" s="89"/>
      <c r="E938" s="90"/>
      <c r="F938" s="20"/>
      <c r="G938" s="37"/>
      <c r="H938" s="37"/>
      <c r="I938" s="32"/>
      <c r="J938" s="32"/>
      <c r="K938" s="53"/>
      <c r="L938" s="32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</row>
    <row r="939" ht="15.75" customHeight="1">
      <c r="A939" s="27"/>
      <c r="B939" s="16" t="str">
        <f t="shared" si="6"/>
        <v/>
      </c>
      <c r="C939" s="28"/>
      <c r="D939" s="89"/>
      <c r="E939" s="90"/>
      <c r="F939" s="20"/>
      <c r="G939" s="37"/>
      <c r="H939" s="37"/>
      <c r="I939" s="32"/>
      <c r="J939" s="32"/>
      <c r="K939" s="53"/>
      <c r="L939" s="32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</row>
    <row r="940" ht="15.75" customHeight="1">
      <c r="A940" s="27"/>
      <c r="B940" s="16" t="str">
        <f t="shared" si="6"/>
        <v/>
      </c>
      <c r="C940" s="28"/>
      <c r="D940" s="89"/>
      <c r="E940" s="90"/>
      <c r="F940" s="20"/>
      <c r="G940" s="37"/>
      <c r="H940" s="37"/>
      <c r="I940" s="32"/>
      <c r="J940" s="32"/>
      <c r="K940" s="53"/>
      <c r="L940" s="32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</row>
    <row r="941" ht="15.75" customHeight="1">
      <c r="A941" s="27"/>
      <c r="B941" s="16" t="str">
        <f t="shared" si="6"/>
        <v/>
      </c>
      <c r="C941" s="28"/>
      <c r="D941" s="89"/>
      <c r="E941" s="90"/>
      <c r="F941" s="20"/>
      <c r="G941" s="37"/>
      <c r="H941" s="37"/>
      <c r="I941" s="32"/>
      <c r="J941" s="32"/>
      <c r="K941" s="53"/>
      <c r="L941" s="32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</row>
    <row r="942" ht="15.75" customHeight="1">
      <c r="A942" s="27"/>
      <c r="B942" s="16" t="str">
        <f t="shared" si="6"/>
        <v/>
      </c>
      <c r="C942" s="28"/>
      <c r="D942" s="89"/>
      <c r="E942" s="90"/>
      <c r="F942" s="20"/>
      <c r="G942" s="37"/>
      <c r="H942" s="37"/>
      <c r="I942" s="32"/>
      <c r="J942" s="32"/>
      <c r="K942" s="53"/>
      <c r="L942" s="32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</row>
    <row r="943" ht="15.75" customHeight="1">
      <c r="A943" s="27"/>
      <c r="B943" s="16" t="str">
        <f t="shared" si="6"/>
        <v/>
      </c>
      <c r="C943" s="28"/>
      <c r="D943" s="89"/>
      <c r="E943" s="90"/>
      <c r="F943" s="20"/>
      <c r="G943" s="37"/>
      <c r="H943" s="37"/>
      <c r="I943" s="32"/>
      <c r="J943" s="32"/>
      <c r="K943" s="53"/>
      <c r="L943" s="32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</row>
    <row r="944" ht="15.75" customHeight="1">
      <c r="A944" s="27"/>
      <c r="B944" s="16" t="str">
        <f t="shared" si="6"/>
        <v/>
      </c>
      <c r="C944" s="28"/>
      <c r="D944" s="89"/>
      <c r="E944" s="90"/>
      <c r="F944" s="20"/>
      <c r="G944" s="37"/>
      <c r="H944" s="37"/>
      <c r="I944" s="32"/>
      <c r="J944" s="32"/>
      <c r="K944" s="53"/>
      <c r="L944" s="32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</row>
    <row r="945" ht="15.75" customHeight="1">
      <c r="A945" s="27"/>
      <c r="B945" s="16" t="str">
        <f t="shared" si="6"/>
        <v/>
      </c>
      <c r="C945" s="28"/>
      <c r="D945" s="89"/>
      <c r="E945" s="90"/>
      <c r="F945" s="20"/>
      <c r="G945" s="37"/>
      <c r="H945" s="37"/>
      <c r="I945" s="32"/>
      <c r="J945" s="32"/>
      <c r="K945" s="53"/>
      <c r="L945" s="32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</row>
    <row r="946" ht="15.75" customHeight="1">
      <c r="A946" s="27"/>
      <c r="B946" s="16" t="str">
        <f t="shared" si="6"/>
        <v/>
      </c>
      <c r="C946" s="28"/>
      <c r="D946" s="89"/>
      <c r="E946" s="90"/>
      <c r="F946" s="20"/>
      <c r="G946" s="37"/>
      <c r="H946" s="37"/>
      <c r="I946" s="32"/>
      <c r="J946" s="32"/>
      <c r="K946" s="53"/>
      <c r="L946" s="32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</row>
    <row r="947" ht="15.75" customHeight="1">
      <c r="A947" s="27"/>
      <c r="B947" s="16" t="str">
        <f t="shared" si="6"/>
        <v/>
      </c>
      <c r="C947" s="28"/>
      <c r="D947" s="89"/>
      <c r="E947" s="90"/>
      <c r="F947" s="20"/>
      <c r="G947" s="37"/>
      <c r="H947" s="37"/>
      <c r="I947" s="32"/>
      <c r="J947" s="32"/>
      <c r="K947" s="53"/>
      <c r="L947" s="32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</row>
    <row r="948" ht="15.75" customHeight="1">
      <c r="A948" s="27"/>
      <c r="B948" s="16" t="str">
        <f t="shared" si="6"/>
        <v/>
      </c>
      <c r="C948" s="28"/>
      <c r="D948" s="89"/>
      <c r="E948" s="90"/>
      <c r="F948" s="20"/>
      <c r="G948" s="37"/>
      <c r="H948" s="37"/>
      <c r="I948" s="32"/>
      <c r="J948" s="32"/>
      <c r="K948" s="53"/>
      <c r="L948" s="32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</row>
    <row r="949" ht="15.75" customHeight="1">
      <c r="A949" s="27"/>
      <c r="B949" s="16" t="str">
        <f t="shared" si="6"/>
        <v/>
      </c>
      <c r="C949" s="28"/>
      <c r="D949" s="89"/>
      <c r="E949" s="90"/>
      <c r="F949" s="20"/>
      <c r="G949" s="37"/>
      <c r="H949" s="37"/>
      <c r="I949" s="32"/>
      <c r="J949" s="32"/>
      <c r="K949" s="53"/>
      <c r="L949" s="32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</row>
    <row r="950" ht="15.75" customHeight="1">
      <c r="A950" s="27"/>
      <c r="B950" s="16" t="str">
        <f t="shared" si="6"/>
        <v/>
      </c>
      <c r="C950" s="28"/>
      <c r="D950" s="89"/>
      <c r="E950" s="90"/>
      <c r="F950" s="20"/>
      <c r="G950" s="37"/>
      <c r="H950" s="37"/>
      <c r="I950" s="32"/>
      <c r="J950" s="32"/>
      <c r="K950" s="53"/>
      <c r="L950" s="32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</row>
    <row r="951" ht="15.75" customHeight="1">
      <c r="A951" s="27"/>
      <c r="B951" s="16" t="str">
        <f t="shared" si="6"/>
        <v/>
      </c>
      <c r="C951" s="28"/>
      <c r="D951" s="89"/>
      <c r="E951" s="90"/>
      <c r="F951" s="20"/>
      <c r="G951" s="37"/>
      <c r="H951" s="37"/>
      <c r="I951" s="32"/>
      <c r="J951" s="32"/>
      <c r="K951" s="53"/>
      <c r="L951" s="32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</row>
    <row r="952" ht="15.75" customHeight="1">
      <c r="A952" s="27"/>
      <c r="B952" s="16" t="str">
        <f t="shared" si="6"/>
        <v/>
      </c>
      <c r="C952" s="28"/>
      <c r="D952" s="89"/>
      <c r="E952" s="90"/>
      <c r="F952" s="20"/>
      <c r="G952" s="37"/>
      <c r="H952" s="37"/>
      <c r="I952" s="32"/>
      <c r="J952" s="32"/>
      <c r="K952" s="53"/>
      <c r="L952" s="32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</row>
    <row r="953" ht="15.75" customHeight="1">
      <c r="A953" s="27"/>
      <c r="B953" s="16" t="str">
        <f t="shared" si="6"/>
        <v/>
      </c>
      <c r="C953" s="28"/>
      <c r="D953" s="89"/>
      <c r="E953" s="90"/>
      <c r="F953" s="20"/>
      <c r="G953" s="37"/>
      <c r="H953" s="37"/>
      <c r="I953" s="32"/>
      <c r="J953" s="32"/>
      <c r="K953" s="53"/>
      <c r="L953" s="32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</row>
    <row r="954" ht="15.75" customHeight="1">
      <c r="A954" s="27"/>
      <c r="B954" s="16" t="str">
        <f t="shared" si="6"/>
        <v/>
      </c>
      <c r="C954" s="28"/>
      <c r="D954" s="89"/>
      <c r="E954" s="90"/>
      <c r="F954" s="20"/>
      <c r="G954" s="37"/>
      <c r="H954" s="37"/>
      <c r="I954" s="32"/>
      <c r="J954" s="32"/>
      <c r="K954" s="53"/>
      <c r="L954" s="32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</row>
    <row r="955" ht="15.75" customHeight="1">
      <c r="A955" s="27"/>
      <c r="B955" s="16" t="str">
        <f t="shared" si="6"/>
        <v/>
      </c>
      <c r="C955" s="28"/>
      <c r="D955" s="89"/>
      <c r="E955" s="90"/>
      <c r="F955" s="20"/>
      <c r="G955" s="37"/>
      <c r="H955" s="37"/>
      <c r="I955" s="32"/>
      <c r="J955" s="32"/>
      <c r="K955" s="53"/>
      <c r="L955" s="32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</row>
    <row r="956" ht="15.75" customHeight="1">
      <c r="A956" s="27"/>
      <c r="B956" s="16" t="str">
        <f t="shared" si="6"/>
        <v/>
      </c>
      <c r="C956" s="28"/>
      <c r="D956" s="89"/>
      <c r="E956" s="90"/>
      <c r="F956" s="20"/>
      <c r="G956" s="37"/>
      <c r="H956" s="37"/>
      <c r="I956" s="32"/>
      <c r="J956" s="32"/>
      <c r="K956" s="53"/>
      <c r="L956" s="32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</row>
    <row r="957" ht="15.75" customHeight="1">
      <c r="A957" s="27"/>
      <c r="B957" s="16" t="str">
        <f t="shared" si="6"/>
        <v/>
      </c>
      <c r="C957" s="28"/>
      <c r="D957" s="89"/>
      <c r="E957" s="90"/>
      <c r="F957" s="20"/>
      <c r="G957" s="37"/>
      <c r="H957" s="37"/>
      <c r="I957" s="32"/>
      <c r="J957" s="32"/>
      <c r="K957" s="53"/>
      <c r="L957" s="32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</row>
    <row r="958" ht="15.75" customHeight="1">
      <c r="A958" s="27"/>
      <c r="B958" s="16" t="str">
        <f t="shared" si="6"/>
        <v/>
      </c>
      <c r="C958" s="28"/>
      <c r="D958" s="89"/>
      <c r="E958" s="90"/>
      <c r="F958" s="20"/>
      <c r="G958" s="37"/>
      <c r="H958" s="37"/>
      <c r="I958" s="32"/>
      <c r="J958" s="32"/>
      <c r="K958" s="53"/>
      <c r="L958" s="32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</row>
    <row r="959" ht="15.75" customHeight="1">
      <c r="A959" s="27"/>
      <c r="B959" s="16" t="str">
        <f t="shared" si="6"/>
        <v/>
      </c>
      <c r="C959" s="28"/>
      <c r="D959" s="89"/>
      <c r="E959" s="90"/>
      <c r="F959" s="20"/>
      <c r="G959" s="37"/>
      <c r="H959" s="37"/>
      <c r="I959" s="32"/>
      <c r="J959" s="32"/>
      <c r="K959" s="53"/>
      <c r="L959" s="32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</row>
    <row r="960" ht="15.75" customHeight="1">
      <c r="A960" s="27"/>
      <c r="B960" s="16" t="str">
        <f t="shared" si="6"/>
        <v/>
      </c>
      <c r="C960" s="28"/>
      <c r="D960" s="89"/>
      <c r="E960" s="90"/>
      <c r="F960" s="20"/>
      <c r="G960" s="37"/>
      <c r="H960" s="37"/>
      <c r="I960" s="32"/>
      <c r="J960" s="32"/>
      <c r="K960" s="53"/>
      <c r="L960" s="32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</row>
    <row r="961" ht="15.75" customHeight="1">
      <c r="A961" s="27"/>
      <c r="B961" s="16" t="str">
        <f t="shared" si="6"/>
        <v/>
      </c>
      <c r="C961" s="28"/>
      <c r="D961" s="89"/>
      <c r="E961" s="90"/>
      <c r="F961" s="20"/>
      <c r="G961" s="37"/>
      <c r="H961" s="37"/>
      <c r="I961" s="32"/>
      <c r="J961" s="32"/>
      <c r="K961" s="53"/>
      <c r="L961" s="32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</row>
    <row r="962" ht="15.75" customHeight="1">
      <c r="A962" s="27"/>
      <c r="B962" s="16" t="str">
        <f t="shared" si="6"/>
        <v/>
      </c>
      <c r="C962" s="28"/>
      <c r="D962" s="89"/>
      <c r="E962" s="90"/>
      <c r="F962" s="20"/>
      <c r="G962" s="37"/>
      <c r="H962" s="37"/>
      <c r="I962" s="32"/>
      <c r="J962" s="32"/>
      <c r="K962" s="53"/>
      <c r="L962" s="32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</row>
    <row r="963" ht="15.75" customHeight="1">
      <c r="A963" s="27"/>
      <c r="B963" s="16" t="str">
        <f t="shared" si="6"/>
        <v/>
      </c>
      <c r="C963" s="28"/>
      <c r="D963" s="89"/>
      <c r="E963" s="90"/>
      <c r="F963" s="20"/>
      <c r="G963" s="37"/>
      <c r="H963" s="37"/>
      <c r="I963" s="32"/>
      <c r="J963" s="32"/>
      <c r="K963" s="53"/>
      <c r="L963" s="32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</row>
    <row r="964" ht="15.75" customHeight="1">
      <c r="A964" s="27"/>
      <c r="B964" s="16" t="str">
        <f t="shared" si="6"/>
        <v/>
      </c>
      <c r="C964" s="28"/>
      <c r="D964" s="89"/>
      <c r="E964" s="90"/>
      <c r="F964" s="20"/>
      <c r="G964" s="37"/>
      <c r="H964" s="37"/>
      <c r="I964" s="32"/>
      <c r="J964" s="32"/>
      <c r="K964" s="53"/>
      <c r="L964" s="32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</row>
    <row r="965" ht="15.75" customHeight="1">
      <c r="A965" s="27"/>
      <c r="B965" s="16" t="str">
        <f t="shared" si="6"/>
        <v/>
      </c>
      <c r="C965" s="28"/>
      <c r="D965" s="89"/>
      <c r="E965" s="90"/>
      <c r="F965" s="20"/>
      <c r="G965" s="37"/>
      <c r="H965" s="37"/>
      <c r="I965" s="32"/>
      <c r="J965" s="32"/>
      <c r="K965" s="53"/>
      <c r="L965" s="32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</row>
    <row r="966" ht="15.75" customHeight="1">
      <c r="A966" s="27"/>
      <c r="B966" s="16" t="str">
        <f t="shared" si="6"/>
        <v/>
      </c>
      <c r="C966" s="28"/>
      <c r="D966" s="89"/>
      <c r="E966" s="90"/>
      <c r="F966" s="20"/>
      <c r="G966" s="37"/>
      <c r="H966" s="37"/>
      <c r="I966" s="32"/>
      <c r="J966" s="32"/>
      <c r="K966" s="53"/>
      <c r="L966" s="32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</row>
    <row r="967" ht="15.75" customHeight="1">
      <c r="A967" s="27"/>
      <c r="B967" s="16" t="str">
        <f t="shared" si="6"/>
        <v/>
      </c>
      <c r="C967" s="28"/>
      <c r="D967" s="89"/>
      <c r="E967" s="90"/>
      <c r="F967" s="20"/>
      <c r="G967" s="37"/>
      <c r="H967" s="37"/>
      <c r="I967" s="32"/>
      <c r="J967" s="32"/>
      <c r="K967" s="53"/>
      <c r="L967" s="32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</row>
    <row r="968" ht="15.75" customHeight="1">
      <c r="A968" s="27"/>
      <c r="B968" s="16" t="str">
        <f t="shared" si="6"/>
        <v/>
      </c>
      <c r="C968" s="28"/>
      <c r="D968" s="89"/>
      <c r="E968" s="90"/>
      <c r="F968" s="20"/>
      <c r="G968" s="37"/>
      <c r="H968" s="37"/>
      <c r="I968" s="32"/>
      <c r="J968" s="32"/>
      <c r="K968" s="53"/>
      <c r="L968" s="32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</row>
    <row r="969" ht="15.75" customHeight="1">
      <c r="A969" s="27"/>
      <c r="B969" s="16" t="str">
        <f t="shared" si="6"/>
        <v/>
      </c>
      <c r="C969" s="28"/>
      <c r="D969" s="89"/>
      <c r="E969" s="90"/>
      <c r="F969" s="20"/>
      <c r="G969" s="37"/>
      <c r="H969" s="37"/>
      <c r="I969" s="32"/>
      <c r="J969" s="32"/>
      <c r="K969" s="53"/>
      <c r="L969" s="32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</row>
    <row r="970" ht="15.75" customHeight="1">
      <c r="A970" s="27"/>
      <c r="B970" s="16" t="str">
        <f t="shared" si="6"/>
        <v/>
      </c>
      <c r="C970" s="28"/>
      <c r="D970" s="89"/>
      <c r="E970" s="90"/>
      <c r="F970" s="20"/>
      <c r="G970" s="37"/>
      <c r="H970" s="37"/>
      <c r="I970" s="32"/>
      <c r="J970" s="32"/>
      <c r="K970" s="53"/>
      <c r="L970" s="32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</row>
    <row r="971" ht="15.75" customHeight="1">
      <c r="A971" s="27"/>
      <c r="B971" s="16" t="str">
        <f t="shared" si="6"/>
        <v/>
      </c>
      <c r="C971" s="28"/>
      <c r="D971" s="89"/>
      <c r="E971" s="90"/>
      <c r="F971" s="20"/>
      <c r="G971" s="37"/>
      <c r="H971" s="37"/>
      <c r="I971" s="32"/>
      <c r="J971" s="32"/>
      <c r="K971" s="53"/>
      <c r="L971" s="32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</row>
    <row r="972" ht="15.75" customHeight="1">
      <c r="A972" s="27"/>
      <c r="B972" s="16" t="str">
        <f t="shared" si="6"/>
        <v/>
      </c>
      <c r="C972" s="28"/>
      <c r="D972" s="89"/>
      <c r="E972" s="90"/>
      <c r="F972" s="20"/>
      <c r="G972" s="37"/>
      <c r="H972" s="37"/>
      <c r="I972" s="32"/>
      <c r="J972" s="32"/>
      <c r="K972" s="53"/>
      <c r="L972" s="32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</row>
    <row r="973" ht="15.75" customHeight="1">
      <c r="A973" s="27"/>
      <c r="B973" s="16" t="str">
        <f t="shared" si="6"/>
        <v/>
      </c>
      <c r="C973" s="28"/>
      <c r="D973" s="89"/>
      <c r="E973" s="90"/>
      <c r="F973" s="20"/>
      <c r="G973" s="37"/>
      <c r="H973" s="37"/>
      <c r="I973" s="32"/>
      <c r="J973" s="32"/>
      <c r="K973" s="53"/>
      <c r="L973" s="32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</row>
    <row r="974" ht="15.75" customHeight="1">
      <c r="A974" s="27"/>
      <c r="B974" s="16" t="str">
        <f t="shared" si="6"/>
        <v/>
      </c>
      <c r="C974" s="28"/>
      <c r="D974" s="89"/>
      <c r="E974" s="90"/>
      <c r="F974" s="20"/>
      <c r="G974" s="37"/>
      <c r="H974" s="37"/>
      <c r="I974" s="32"/>
      <c r="J974" s="32"/>
      <c r="K974" s="53"/>
      <c r="L974" s="32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</row>
    <row r="975" ht="15.75" customHeight="1">
      <c r="A975" s="27"/>
      <c r="B975" s="16" t="str">
        <f t="shared" si="6"/>
        <v/>
      </c>
      <c r="C975" s="28"/>
      <c r="D975" s="89"/>
      <c r="E975" s="90"/>
      <c r="F975" s="20"/>
      <c r="G975" s="37"/>
      <c r="H975" s="37"/>
      <c r="I975" s="32"/>
      <c r="J975" s="32"/>
      <c r="K975" s="53"/>
      <c r="L975" s="32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</row>
    <row r="976" ht="15.75" customHeight="1">
      <c r="A976" s="27"/>
      <c r="B976" s="16" t="str">
        <f t="shared" si="6"/>
        <v/>
      </c>
      <c r="C976" s="28"/>
      <c r="D976" s="89"/>
      <c r="E976" s="90"/>
      <c r="F976" s="20"/>
      <c r="G976" s="37"/>
      <c r="H976" s="37"/>
      <c r="I976" s="32"/>
      <c r="J976" s="32"/>
      <c r="K976" s="53"/>
      <c r="L976" s="32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</row>
    <row r="977" ht="15.75" customHeight="1">
      <c r="A977" s="27"/>
      <c r="B977" s="16" t="str">
        <f t="shared" si="6"/>
        <v/>
      </c>
      <c r="C977" s="28"/>
      <c r="D977" s="89"/>
      <c r="E977" s="90"/>
      <c r="F977" s="20"/>
      <c r="G977" s="37"/>
      <c r="H977" s="37"/>
      <c r="I977" s="32"/>
      <c r="J977" s="32"/>
      <c r="K977" s="53"/>
      <c r="L977" s="32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</row>
    <row r="978" ht="15.75" customHeight="1">
      <c r="A978" s="27"/>
      <c r="B978" s="16" t="str">
        <f t="shared" si="6"/>
        <v/>
      </c>
      <c r="C978" s="28"/>
      <c r="D978" s="89"/>
      <c r="E978" s="90"/>
      <c r="F978" s="20"/>
      <c r="G978" s="37"/>
      <c r="H978" s="37"/>
      <c r="I978" s="32"/>
      <c r="J978" s="32"/>
      <c r="K978" s="53"/>
      <c r="L978" s="32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</row>
    <row r="979" ht="15.75" customHeight="1">
      <c r="A979" s="27"/>
      <c r="B979" s="16" t="str">
        <f t="shared" si="6"/>
        <v/>
      </c>
      <c r="C979" s="28"/>
      <c r="D979" s="89"/>
      <c r="E979" s="90"/>
      <c r="F979" s="20"/>
      <c r="G979" s="37"/>
      <c r="H979" s="37"/>
      <c r="I979" s="32"/>
      <c r="J979" s="32"/>
      <c r="K979" s="53"/>
      <c r="L979" s="32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</row>
    <row r="980" ht="15.75" customHeight="1">
      <c r="A980" s="27"/>
      <c r="B980" s="16" t="str">
        <f t="shared" si="6"/>
        <v/>
      </c>
      <c r="C980" s="28"/>
      <c r="D980" s="89"/>
      <c r="E980" s="90"/>
      <c r="F980" s="20"/>
      <c r="G980" s="37"/>
      <c r="H980" s="37"/>
      <c r="I980" s="32"/>
      <c r="J980" s="32"/>
      <c r="K980" s="53"/>
      <c r="L980" s="32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</row>
    <row r="981" ht="15.75" customHeight="1">
      <c r="A981" s="27"/>
      <c r="B981" s="16" t="str">
        <f t="shared" si="6"/>
        <v/>
      </c>
      <c r="C981" s="28"/>
      <c r="D981" s="89"/>
      <c r="E981" s="90"/>
      <c r="F981" s="20"/>
      <c r="G981" s="37"/>
      <c r="H981" s="37"/>
      <c r="I981" s="32"/>
      <c r="J981" s="32"/>
      <c r="K981" s="53"/>
      <c r="L981" s="32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</row>
    <row r="982" ht="15.75" customHeight="1">
      <c r="A982" s="27"/>
      <c r="B982" s="16" t="str">
        <f t="shared" si="6"/>
        <v/>
      </c>
      <c r="C982" s="28"/>
      <c r="D982" s="89"/>
      <c r="E982" s="90"/>
      <c r="F982" s="20"/>
      <c r="G982" s="37"/>
      <c r="H982" s="37"/>
      <c r="I982" s="32"/>
      <c r="J982" s="32"/>
      <c r="K982" s="53"/>
      <c r="L982" s="32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</row>
    <row r="983" ht="15.75" customHeight="1">
      <c r="A983" s="27"/>
      <c r="B983" s="16" t="str">
        <f t="shared" si="6"/>
        <v/>
      </c>
      <c r="C983" s="28"/>
      <c r="D983" s="89"/>
      <c r="E983" s="90"/>
      <c r="F983" s="20"/>
      <c r="G983" s="37"/>
      <c r="H983" s="37"/>
      <c r="I983" s="32"/>
      <c r="J983" s="32"/>
      <c r="K983" s="53"/>
      <c r="L983" s="32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</row>
    <row r="984" ht="15.75" customHeight="1">
      <c r="A984" s="27"/>
      <c r="B984" s="16" t="str">
        <f t="shared" si="6"/>
        <v/>
      </c>
      <c r="C984" s="28"/>
      <c r="D984" s="89"/>
      <c r="E984" s="90"/>
      <c r="F984" s="20"/>
      <c r="G984" s="37"/>
      <c r="H984" s="37"/>
      <c r="I984" s="32"/>
      <c r="J984" s="32"/>
      <c r="K984" s="53"/>
      <c r="L984" s="32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</row>
    <row r="985" ht="15.75" customHeight="1">
      <c r="A985" s="27"/>
      <c r="B985" s="16" t="str">
        <f t="shared" si="6"/>
        <v/>
      </c>
      <c r="C985" s="28"/>
      <c r="D985" s="89"/>
      <c r="E985" s="90"/>
      <c r="F985" s="20"/>
      <c r="G985" s="37"/>
      <c r="H985" s="37"/>
      <c r="I985" s="32"/>
      <c r="J985" s="32"/>
      <c r="K985" s="53"/>
      <c r="L985" s="32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</row>
    <row r="986" ht="15.75" customHeight="1">
      <c r="A986" s="27"/>
      <c r="B986" s="16" t="str">
        <f t="shared" si="6"/>
        <v/>
      </c>
      <c r="C986" s="28"/>
      <c r="D986" s="89"/>
      <c r="E986" s="90"/>
      <c r="F986" s="20"/>
      <c r="G986" s="37"/>
      <c r="H986" s="37"/>
      <c r="I986" s="32"/>
      <c r="J986" s="32"/>
      <c r="K986" s="53"/>
      <c r="L986" s="32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</row>
    <row r="987" ht="15.75" customHeight="1">
      <c r="A987" s="27"/>
      <c r="B987" s="16" t="str">
        <f t="shared" si="6"/>
        <v/>
      </c>
      <c r="C987" s="28"/>
      <c r="D987" s="89"/>
      <c r="E987" s="90"/>
      <c r="F987" s="20"/>
      <c r="G987" s="37"/>
      <c r="H987" s="37"/>
      <c r="I987" s="32"/>
      <c r="J987" s="32"/>
      <c r="K987" s="53"/>
      <c r="L987" s="32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</row>
    <row r="988" ht="15.75" customHeight="1">
      <c r="A988" s="27"/>
      <c r="B988" s="16" t="str">
        <f t="shared" si="6"/>
        <v/>
      </c>
      <c r="C988" s="28"/>
      <c r="D988" s="89"/>
      <c r="E988" s="90"/>
      <c r="F988" s="20"/>
      <c r="G988" s="37"/>
      <c r="H988" s="37"/>
      <c r="I988" s="32"/>
      <c r="J988" s="32"/>
      <c r="K988" s="53"/>
      <c r="L988" s="32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</row>
    <row r="989" ht="15.75" customHeight="1">
      <c r="A989" s="27"/>
      <c r="B989" s="16" t="str">
        <f t="shared" si="6"/>
        <v/>
      </c>
      <c r="C989" s="28"/>
      <c r="D989" s="89"/>
      <c r="E989" s="90"/>
      <c r="F989" s="20"/>
      <c r="G989" s="37"/>
      <c r="H989" s="37"/>
      <c r="I989" s="32"/>
      <c r="J989" s="32"/>
      <c r="K989" s="53"/>
      <c r="L989" s="32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</row>
    <row r="990" ht="15.75" customHeight="1">
      <c r="A990" s="27"/>
      <c r="B990" s="16" t="str">
        <f t="shared" si="6"/>
        <v/>
      </c>
      <c r="C990" s="28"/>
      <c r="D990" s="89"/>
      <c r="E990" s="90"/>
      <c r="F990" s="20"/>
      <c r="G990" s="37"/>
      <c r="H990" s="37"/>
      <c r="I990" s="32"/>
      <c r="J990" s="32"/>
      <c r="K990" s="53"/>
      <c r="L990" s="32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</row>
    <row r="991" ht="15.75" customHeight="1">
      <c r="A991" s="27"/>
      <c r="B991" s="16" t="str">
        <f t="shared" si="6"/>
        <v/>
      </c>
      <c r="C991" s="28"/>
      <c r="D991" s="89"/>
      <c r="E991" s="90"/>
      <c r="F991" s="20"/>
      <c r="G991" s="37"/>
      <c r="H991" s="37"/>
      <c r="I991" s="32"/>
      <c r="J991" s="32"/>
      <c r="K991" s="53"/>
      <c r="L991" s="32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</row>
    <row r="992" ht="15.75" customHeight="1">
      <c r="A992" s="27"/>
      <c r="B992" s="16" t="str">
        <f t="shared" si="6"/>
        <v/>
      </c>
      <c r="C992" s="28"/>
      <c r="D992" s="89"/>
      <c r="E992" s="90"/>
      <c r="F992" s="20"/>
      <c r="G992" s="37"/>
      <c r="H992" s="37"/>
      <c r="I992" s="32"/>
      <c r="J992" s="32"/>
      <c r="K992" s="53"/>
      <c r="L992" s="32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</row>
    <row r="993" ht="15.75" customHeight="1">
      <c r="A993" s="27"/>
      <c r="B993" s="16" t="str">
        <f t="shared" si="6"/>
        <v/>
      </c>
      <c r="C993" s="28"/>
      <c r="D993" s="89"/>
      <c r="E993" s="90"/>
      <c r="F993" s="20"/>
      <c r="G993" s="37"/>
      <c r="H993" s="37"/>
      <c r="I993" s="32"/>
      <c r="J993" s="32"/>
      <c r="K993" s="53"/>
      <c r="L993" s="32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</row>
    <row r="994" ht="15.75" customHeight="1">
      <c r="A994" s="27"/>
      <c r="B994" s="16" t="str">
        <f t="shared" si="6"/>
        <v/>
      </c>
      <c r="C994" s="28"/>
      <c r="D994" s="89"/>
      <c r="E994" s="90"/>
      <c r="F994" s="20"/>
      <c r="G994" s="37"/>
      <c r="H994" s="37"/>
      <c r="I994" s="32"/>
      <c r="J994" s="32"/>
      <c r="K994" s="53"/>
      <c r="L994" s="32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</row>
    <row r="995" ht="15.75" customHeight="1">
      <c r="A995" s="27"/>
      <c r="B995" s="16" t="str">
        <f t="shared" si="6"/>
        <v/>
      </c>
      <c r="C995" s="28"/>
      <c r="D995" s="89"/>
      <c r="E995" s="90"/>
      <c r="F995" s="20"/>
      <c r="G995" s="37"/>
      <c r="H995" s="37"/>
      <c r="I995" s="32"/>
      <c r="J995" s="32"/>
      <c r="K995" s="53"/>
      <c r="L995" s="32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</row>
    <row r="996" ht="15.75" customHeight="1">
      <c r="A996" s="27"/>
      <c r="B996" s="16" t="str">
        <f t="shared" si="6"/>
        <v/>
      </c>
      <c r="C996" s="28"/>
      <c r="D996" s="89"/>
      <c r="E996" s="90"/>
      <c r="F996" s="20"/>
      <c r="G996" s="37"/>
      <c r="H996" s="37"/>
      <c r="I996" s="32"/>
      <c r="J996" s="32"/>
      <c r="K996" s="53"/>
      <c r="L996" s="32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</row>
    <row r="997" ht="15.75" customHeight="1">
      <c r="A997" s="27"/>
      <c r="B997" s="16" t="str">
        <f t="shared" si="6"/>
        <v/>
      </c>
      <c r="C997" s="28"/>
      <c r="D997" s="89"/>
      <c r="E997" s="90"/>
      <c r="F997" s="20"/>
      <c r="G997" s="37"/>
      <c r="H997" s="37"/>
      <c r="I997" s="32"/>
      <c r="J997" s="32"/>
      <c r="K997" s="53"/>
      <c r="L997" s="32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</row>
    <row r="998" ht="15.75" customHeight="1">
      <c r="A998" s="27"/>
      <c r="B998" s="16" t="str">
        <f t="shared" si="6"/>
        <v/>
      </c>
      <c r="C998" s="28"/>
      <c r="D998" s="89"/>
      <c r="E998" s="90"/>
      <c r="F998" s="20"/>
      <c r="G998" s="37"/>
      <c r="H998" s="37"/>
      <c r="I998" s="32"/>
      <c r="J998" s="32"/>
      <c r="K998" s="53"/>
      <c r="L998" s="32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</row>
    <row r="999" ht="15.75" customHeight="1">
      <c r="A999" s="27"/>
      <c r="B999" s="16" t="str">
        <f t="shared" si="6"/>
        <v/>
      </c>
      <c r="C999" s="28"/>
      <c r="D999" s="89"/>
      <c r="E999" s="90"/>
      <c r="F999" s="20"/>
      <c r="G999" s="37"/>
      <c r="H999" s="37"/>
      <c r="I999" s="32"/>
      <c r="J999" s="32"/>
      <c r="K999" s="53"/>
      <c r="L999" s="32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</row>
    <row r="1000" ht="15.75" customHeight="1">
      <c r="A1000" s="27"/>
      <c r="B1000" s="16" t="str">
        <f t="shared" si="6"/>
        <v/>
      </c>
      <c r="C1000" s="28"/>
      <c r="D1000" s="89"/>
      <c r="E1000" s="90"/>
      <c r="F1000" s="20"/>
      <c r="G1000" s="37"/>
      <c r="H1000" s="37"/>
      <c r="I1000" s="32"/>
      <c r="J1000" s="32"/>
      <c r="K1000" s="53"/>
      <c r="L1000" s="32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</row>
    <row r="1001" ht="15.75" customHeight="1">
      <c r="A1001" s="27"/>
      <c r="B1001" s="16" t="str">
        <f t="shared" si="6"/>
        <v/>
      </c>
      <c r="C1001" s="28"/>
      <c r="D1001" s="89"/>
      <c r="E1001" s="90"/>
      <c r="F1001" s="20"/>
      <c r="G1001" s="37"/>
      <c r="H1001" s="37"/>
      <c r="I1001" s="32"/>
      <c r="J1001" s="32"/>
      <c r="K1001" s="53"/>
      <c r="L1001" s="32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</row>
    <row r="1002" ht="15.75" customHeight="1">
      <c r="A1002" s="27"/>
      <c r="B1002" s="16" t="str">
        <f t="shared" si="6"/>
        <v/>
      </c>
      <c r="C1002" s="28"/>
      <c r="D1002" s="89"/>
      <c r="E1002" s="90"/>
      <c r="F1002" s="20"/>
      <c r="G1002" s="37"/>
      <c r="H1002" s="37"/>
      <c r="I1002" s="32"/>
      <c r="J1002" s="32"/>
      <c r="K1002" s="53"/>
      <c r="L1002" s="32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</row>
    <row r="1003" ht="15.75" customHeight="1">
      <c r="A1003" s="27"/>
      <c r="B1003" s="16" t="str">
        <f t="shared" si="6"/>
        <v/>
      </c>
      <c r="C1003" s="28"/>
      <c r="D1003" s="89"/>
      <c r="E1003" s="90"/>
      <c r="F1003" s="20"/>
      <c r="G1003" s="37"/>
      <c r="H1003" s="37"/>
      <c r="I1003" s="32"/>
      <c r="J1003" s="32"/>
      <c r="K1003" s="53"/>
      <c r="L1003" s="32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</row>
    <row r="1004" ht="15.75" customHeight="1">
      <c r="A1004" s="27"/>
      <c r="B1004" s="16" t="str">
        <f t="shared" si="6"/>
        <v/>
      </c>
      <c r="C1004" s="28"/>
      <c r="D1004" s="89"/>
      <c r="E1004" s="90"/>
      <c r="F1004" s="20"/>
      <c r="G1004" s="37"/>
      <c r="H1004" s="37"/>
      <c r="I1004" s="32"/>
      <c r="J1004" s="32"/>
      <c r="K1004" s="53"/>
      <c r="L1004" s="32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</row>
    <row r="1005" ht="15.75" customHeight="1">
      <c r="A1005" s="27"/>
      <c r="B1005" s="16" t="str">
        <f t="shared" si="6"/>
        <v/>
      </c>
      <c r="C1005" s="28"/>
      <c r="D1005" s="89"/>
      <c r="E1005" s="90"/>
      <c r="F1005" s="20"/>
      <c r="G1005" s="37"/>
      <c r="H1005" s="37"/>
      <c r="I1005" s="32"/>
      <c r="J1005" s="32"/>
      <c r="K1005" s="53"/>
      <c r="L1005" s="32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</row>
    <row r="1006" ht="15.75" customHeight="1">
      <c r="A1006" s="27"/>
      <c r="B1006" s="16" t="str">
        <f t="shared" si="6"/>
        <v/>
      </c>
      <c r="C1006" s="28"/>
      <c r="D1006" s="89"/>
      <c r="E1006" s="90"/>
      <c r="F1006" s="20"/>
      <c r="G1006" s="37"/>
      <c r="H1006" s="37"/>
      <c r="I1006" s="32"/>
      <c r="J1006" s="32"/>
      <c r="K1006" s="53"/>
      <c r="L1006" s="32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</row>
    <row r="1007" ht="15.75" customHeight="1">
      <c r="A1007" s="27"/>
      <c r="B1007" s="16" t="str">
        <f t="shared" si="6"/>
        <v/>
      </c>
      <c r="C1007" s="28"/>
      <c r="D1007" s="89"/>
      <c r="E1007" s="90"/>
      <c r="F1007" s="20"/>
      <c r="G1007" s="37"/>
      <c r="H1007" s="37"/>
      <c r="I1007" s="32"/>
      <c r="J1007" s="32"/>
      <c r="K1007" s="53"/>
      <c r="L1007" s="32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</row>
    <row r="1008" ht="15.75" customHeight="1">
      <c r="A1008" s="27"/>
      <c r="B1008" s="16" t="str">
        <f t="shared" si="6"/>
        <v/>
      </c>
      <c r="C1008" s="28"/>
      <c r="D1008" s="89"/>
      <c r="E1008" s="90"/>
      <c r="F1008" s="20"/>
      <c r="G1008" s="37"/>
      <c r="H1008" s="37"/>
      <c r="I1008" s="32"/>
      <c r="J1008" s="32"/>
      <c r="K1008" s="53"/>
      <c r="L1008" s="32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</row>
    <row r="1009" ht="15.75" customHeight="1">
      <c r="A1009" s="27"/>
      <c r="B1009" s="16" t="str">
        <f t="shared" si="6"/>
        <v/>
      </c>
      <c r="C1009" s="28"/>
      <c r="D1009" s="89"/>
      <c r="E1009" s="90"/>
      <c r="F1009" s="20"/>
      <c r="G1009" s="37"/>
      <c r="H1009" s="37"/>
      <c r="I1009" s="32"/>
      <c r="J1009" s="32"/>
      <c r="K1009" s="53"/>
      <c r="L1009" s="32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</row>
    <row r="1010" ht="15.75" customHeight="1">
      <c r="A1010" s="27"/>
      <c r="B1010" s="16" t="str">
        <f t="shared" si="6"/>
        <v/>
      </c>
      <c r="C1010" s="28"/>
      <c r="D1010" s="89"/>
      <c r="E1010" s="90"/>
      <c r="F1010" s="20"/>
      <c r="G1010" s="37"/>
      <c r="H1010" s="37"/>
      <c r="I1010" s="32"/>
      <c r="J1010" s="32"/>
      <c r="K1010" s="53"/>
      <c r="L1010" s="32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</row>
    <row r="1011" ht="15.75" customHeight="1">
      <c r="A1011" s="27"/>
      <c r="B1011" s="16" t="str">
        <f t="shared" si="6"/>
        <v/>
      </c>
      <c r="C1011" s="28"/>
      <c r="D1011" s="89"/>
      <c r="E1011" s="90"/>
      <c r="F1011" s="20"/>
      <c r="G1011" s="37"/>
      <c r="H1011" s="37"/>
      <c r="I1011" s="32"/>
      <c r="J1011" s="32"/>
      <c r="K1011" s="53"/>
      <c r="L1011" s="32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</row>
    <row r="1012" ht="15.75" customHeight="1">
      <c r="A1012" s="27"/>
      <c r="B1012" s="16" t="str">
        <f t="shared" si="6"/>
        <v/>
      </c>
      <c r="C1012" s="28"/>
      <c r="D1012" s="89"/>
      <c r="E1012" s="90"/>
      <c r="F1012" s="20"/>
      <c r="G1012" s="37"/>
      <c r="H1012" s="37"/>
      <c r="I1012" s="32"/>
      <c r="J1012" s="32"/>
      <c r="K1012" s="53"/>
      <c r="L1012" s="32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</row>
    <row r="1013" ht="15.75" customHeight="1">
      <c r="A1013" s="27"/>
      <c r="B1013" s="16" t="str">
        <f t="shared" si="6"/>
        <v/>
      </c>
      <c r="C1013" s="28"/>
      <c r="D1013" s="89"/>
      <c r="E1013" s="90"/>
      <c r="F1013" s="20"/>
      <c r="G1013" s="37"/>
      <c r="H1013" s="37"/>
      <c r="I1013" s="32"/>
      <c r="J1013" s="32"/>
      <c r="K1013" s="53"/>
      <c r="L1013" s="32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</row>
    <row r="1014" ht="15.75" customHeight="1">
      <c r="A1014" s="27"/>
      <c r="B1014" s="16" t="str">
        <f t="shared" si="6"/>
        <v/>
      </c>
      <c r="C1014" s="28"/>
      <c r="D1014" s="89"/>
      <c r="E1014" s="90"/>
      <c r="F1014" s="20"/>
      <c r="G1014" s="37"/>
      <c r="H1014" s="37"/>
      <c r="I1014" s="32"/>
      <c r="J1014" s="32"/>
      <c r="K1014" s="53"/>
      <c r="L1014" s="32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</row>
    <row r="1015" ht="15.75" customHeight="1">
      <c r="A1015" s="27"/>
      <c r="B1015" s="16" t="str">
        <f t="shared" si="6"/>
        <v/>
      </c>
      <c r="C1015" s="28"/>
      <c r="D1015" s="89"/>
      <c r="E1015" s="90"/>
      <c r="F1015" s="20"/>
      <c r="G1015" s="37"/>
      <c r="H1015" s="37"/>
      <c r="I1015" s="32"/>
      <c r="J1015" s="32"/>
      <c r="K1015" s="53"/>
      <c r="L1015" s="32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</row>
    <row r="1016" ht="15.75" customHeight="1">
      <c r="A1016" s="27"/>
      <c r="B1016" s="16" t="str">
        <f t="shared" si="6"/>
        <v/>
      </c>
      <c r="C1016" s="28"/>
      <c r="D1016" s="89"/>
      <c r="E1016" s="90"/>
      <c r="F1016" s="20"/>
      <c r="G1016" s="37"/>
      <c r="H1016" s="37"/>
      <c r="I1016" s="32"/>
      <c r="J1016" s="32"/>
      <c r="K1016" s="53"/>
      <c r="L1016" s="32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</row>
    <row r="1017" ht="15.75" customHeight="1">
      <c r="A1017" s="27"/>
      <c r="B1017" s="16" t="str">
        <f t="shared" si="6"/>
        <v/>
      </c>
      <c r="C1017" s="28"/>
      <c r="D1017" s="89"/>
      <c r="E1017" s="90"/>
      <c r="F1017" s="20"/>
      <c r="G1017" s="37"/>
      <c r="H1017" s="37"/>
      <c r="I1017" s="32"/>
      <c r="J1017" s="32"/>
      <c r="K1017" s="53"/>
      <c r="L1017" s="32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</row>
    <row r="1018" ht="15.75" customHeight="1">
      <c r="A1018" s="27"/>
      <c r="B1018" s="16" t="str">
        <f t="shared" si="6"/>
        <v/>
      </c>
      <c r="C1018" s="28"/>
      <c r="D1018" s="89"/>
      <c r="E1018" s="90"/>
      <c r="F1018" s="20"/>
      <c r="G1018" s="37"/>
      <c r="H1018" s="37"/>
      <c r="I1018" s="32"/>
      <c r="J1018" s="32"/>
      <c r="K1018" s="53"/>
      <c r="L1018" s="32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</row>
    <row r="1019" ht="15.75" customHeight="1">
      <c r="A1019" s="27"/>
      <c r="B1019" s="16" t="str">
        <f t="shared" si="6"/>
        <v/>
      </c>
      <c r="C1019" s="28"/>
      <c r="D1019" s="89"/>
      <c r="E1019" s="90"/>
      <c r="F1019" s="20"/>
      <c r="G1019" s="37"/>
      <c r="H1019" s="37"/>
      <c r="I1019" s="32"/>
      <c r="J1019" s="32"/>
      <c r="K1019" s="53"/>
      <c r="L1019" s="32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</row>
    <row r="1020" ht="15.75" customHeight="1">
      <c r="A1020" s="27"/>
      <c r="B1020" s="16" t="str">
        <f t="shared" si="6"/>
        <v/>
      </c>
      <c r="C1020" s="28"/>
      <c r="D1020" s="89"/>
      <c r="E1020" s="90"/>
      <c r="F1020" s="20"/>
      <c r="G1020" s="37"/>
      <c r="H1020" s="37"/>
      <c r="I1020" s="32"/>
      <c r="J1020" s="32"/>
      <c r="K1020" s="53"/>
      <c r="L1020" s="32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</row>
    <row r="1021" ht="15.75" customHeight="1">
      <c r="A1021" s="27"/>
      <c r="B1021" s="16" t="str">
        <f t="shared" si="6"/>
        <v/>
      </c>
      <c r="C1021" s="28"/>
      <c r="D1021" s="89"/>
      <c r="E1021" s="90"/>
      <c r="F1021" s="20"/>
      <c r="G1021" s="37"/>
      <c r="H1021" s="37"/>
      <c r="I1021" s="32"/>
      <c r="J1021" s="32"/>
      <c r="K1021" s="53"/>
      <c r="L1021" s="32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</row>
    <row r="1022" ht="15.75" customHeight="1">
      <c r="A1022" s="27"/>
      <c r="B1022" s="16" t="str">
        <f t="shared" si="6"/>
        <v/>
      </c>
      <c r="C1022" s="28"/>
      <c r="D1022" s="89"/>
      <c r="E1022" s="90"/>
      <c r="F1022" s="20"/>
      <c r="G1022" s="37"/>
      <c r="H1022" s="37"/>
      <c r="I1022" s="32"/>
      <c r="J1022" s="32"/>
      <c r="K1022" s="53"/>
      <c r="L1022" s="32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</row>
    <row r="1023" ht="15.75" customHeight="1">
      <c r="A1023" s="27"/>
      <c r="B1023" s="16" t="str">
        <f t="shared" si="6"/>
        <v/>
      </c>
      <c r="C1023" s="28"/>
      <c r="D1023" s="89"/>
      <c r="E1023" s="90"/>
      <c r="F1023" s="20"/>
      <c r="G1023" s="37"/>
      <c r="H1023" s="37"/>
      <c r="I1023" s="32"/>
      <c r="J1023" s="32"/>
      <c r="K1023" s="53"/>
      <c r="L1023" s="32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</row>
    <row r="1024" ht="15.75" customHeight="1">
      <c r="A1024" s="27"/>
      <c r="B1024" s="16" t="str">
        <f t="shared" si="6"/>
        <v/>
      </c>
      <c r="C1024" s="28"/>
      <c r="D1024" s="89"/>
      <c r="E1024" s="90"/>
      <c r="F1024" s="20"/>
      <c r="G1024" s="37"/>
      <c r="H1024" s="37"/>
      <c r="I1024" s="32"/>
      <c r="J1024" s="32"/>
      <c r="K1024" s="53"/>
      <c r="L1024" s="32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</row>
    <row r="1025" ht="15.75" customHeight="1">
      <c r="A1025" s="27"/>
      <c r="B1025" s="16" t="str">
        <f t="shared" si="6"/>
        <v/>
      </c>
      <c r="C1025" s="28"/>
      <c r="D1025" s="89"/>
      <c r="E1025" s="90"/>
      <c r="F1025" s="20"/>
      <c r="G1025" s="37"/>
      <c r="H1025" s="37"/>
      <c r="I1025" s="32"/>
      <c r="J1025" s="32"/>
      <c r="K1025" s="53"/>
      <c r="L1025" s="32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</row>
    <row r="1026" ht="15.75" customHeight="1">
      <c r="A1026" s="27"/>
      <c r="B1026" s="16" t="str">
        <f t="shared" si="6"/>
        <v/>
      </c>
      <c r="C1026" s="28"/>
      <c r="D1026" s="89"/>
      <c r="E1026" s="90"/>
      <c r="F1026" s="20"/>
      <c r="G1026" s="37"/>
      <c r="H1026" s="37"/>
      <c r="I1026" s="32"/>
      <c r="J1026" s="32"/>
      <c r="K1026" s="53"/>
      <c r="L1026" s="32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</row>
    <row r="1027" ht="15.75" customHeight="1">
      <c r="A1027" s="27"/>
      <c r="B1027" s="16" t="str">
        <f t="shared" si="6"/>
        <v/>
      </c>
      <c r="C1027" s="28"/>
      <c r="D1027" s="89"/>
      <c r="E1027" s="90"/>
      <c r="F1027" s="20"/>
      <c r="G1027" s="37"/>
      <c r="H1027" s="37"/>
      <c r="I1027" s="32"/>
      <c r="J1027" s="32"/>
      <c r="K1027" s="53"/>
      <c r="L1027" s="32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</row>
    <row r="1028" ht="15.75" customHeight="1">
      <c r="A1028" s="27"/>
      <c r="B1028" s="16" t="str">
        <f t="shared" si="6"/>
        <v/>
      </c>
      <c r="C1028" s="28"/>
      <c r="D1028" s="89"/>
      <c r="E1028" s="90"/>
      <c r="F1028" s="20"/>
      <c r="G1028" s="37"/>
      <c r="H1028" s="37"/>
      <c r="I1028" s="32"/>
      <c r="J1028" s="32"/>
      <c r="K1028" s="53"/>
      <c r="L1028" s="32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</row>
    <row r="1029" ht="15.75" customHeight="1">
      <c r="A1029" s="27"/>
      <c r="B1029" s="16" t="str">
        <f t="shared" si="6"/>
        <v/>
      </c>
      <c r="C1029" s="28"/>
      <c r="D1029" s="89"/>
      <c r="E1029" s="90"/>
      <c r="F1029" s="20"/>
      <c r="G1029" s="37"/>
      <c r="H1029" s="37"/>
      <c r="I1029" s="32"/>
      <c r="J1029" s="32"/>
      <c r="K1029" s="53"/>
      <c r="L1029" s="32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</row>
    <row r="1030" ht="15.75" customHeight="1">
      <c r="A1030" s="27"/>
      <c r="B1030" s="16" t="str">
        <f t="shared" si="6"/>
        <v/>
      </c>
      <c r="C1030" s="28"/>
      <c r="D1030" s="89"/>
      <c r="E1030" s="90"/>
      <c r="F1030" s="20"/>
      <c r="G1030" s="37"/>
      <c r="H1030" s="37"/>
      <c r="I1030" s="32"/>
      <c r="J1030" s="32"/>
      <c r="K1030" s="53"/>
      <c r="L1030" s="32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</row>
    <row r="1031" ht="15.75" customHeight="1">
      <c r="A1031" s="27"/>
      <c r="B1031" s="16" t="str">
        <f t="shared" si="6"/>
        <v/>
      </c>
      <c r="C1031" s="28"/>
      <c r="D1031" s="89"/>
      <c r="E1031" s="90"/>
      <c r="F1031" s="20"/>
      <c r="G1031" s="37"/>
      <c r="H1031" s="37"/>
      <c r="I1031" s="32"/>
      <c r="J1031" s="32"/>
      <c r="K1031" s="53"/>
      <c r="L1031" s="32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</row>
    <row r="1032" ht="15.75" customHeight="1">
      <c r="A1032" s="27"/>
      <c r="B1032" s="16" t="str">
        <f t="shared" si="6"/>
        <v/>
      </c>
      <c r="C1032" s="28"/>
      <c r="D1032" s="89"/>
      <c r="E1032" s="90"/>
      <c r="F1032" s="20"/>
      <c r="G1032" s="37"/>
      <c r="H1032" s="37"/>
      <c r="I1032" s="32"/>
      <c r="J1032" s="32"/>
      <c r="K1032" s="53"/>
      <c r="L1032" s="32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</row>
    <row r="1033" ht="15.75" customHeight="1">
      <c r="A1033" s="27"/>
      <c r="B1033" s="16" t="str">
        <f t="shared" si="6"/>
        <v/>
      </c>
      <c r="C1033" s="28"/>
      <c r="D1033" s="89"/>
      <c r="E1033" s="90"/>
      <c r="F1033" s="20"/>
      <c r="G1033" s="37"/>
      <c r="H1033" s="37"/>
      <c r="I1033" s="32"/>
      <c r="J1033" s="32"/>
      <c r="K1033" s="53"/>
      <c r="L1033" s="32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</row>
    <row r="1034" ht="15.75" customHeight="1">
      <c r="A1034" s="27"/>
      <c r="B1034" s="16" t="str">
        <f t="shared" si="6"/>
        <v/>
      </c>
      <c r="C1034" s="28"/>
      <c r="D1034" s="89"/>
      <c r="E1034" s="90"/>
      <c r="F1034" s="20"/>
      <c r="G1034" s="37"/>
      <c r="H1034" s="37"/>
      <c r="I1034" s="32"/>
      <c r="J1034" s="32"/>
      <c r="K1034" s="53"/>
      <c r="L1034" s="32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</row>
    <row r="1035" ht="15.75" customHeight="1">
      <c r="A1035" s="27"/>
      <c r="B1035" s="16" t="str">
        <f t="shared" si="6"/>
        <v/>
      </c>
      <c r="C1035" s="28"/>
      <c r="D1035" s="89"/>
      <c r="E1035" s="90"/>
      <c r="F1035" s="20"/>
      <c r="G1035" s="37"/>
      <c r="H1035" s="37"/>
      <c r="I1035" s="32"/>
      <c r="J1035" s="32"/>
      <c r="K1035" s="53"/>
      <c r="L1035" s="32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</row>
    <row r="1036" ht="15.75" customHeight="1">
      <c r="A1036" s="27"/>
      <c r="B1036" s="16" t="str">
        <f t="shared" si="6"/>
        <v/>
      </c>
      <c r="C1036" s="28"/>
      <c r="D1036" s="89"/>
      <c r="E1036" s="90"/>
      <c r="F1036" s="20"/>
      <c r="G1036" s="37"/>
      <c r="H1036" s="37"/>
      <c r="I1036" s="32"/>
      <c r="J1036" s="32"/>
      <c r="K1036" s="53"/>
      <c r="L1036" s="32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</row>
    <row r="1037" ht="15.75" customHeight="1">
      <c r="A1037" s="27"/>
      <c r="B1037" s="16" t="str">
        <f t="shared" si="6"/>
        <v/>
      </c>
      <c r="C1037" s="28"/>
      <c r="D1037" s="89"/>
      <c r="E1037" s="90"/>
      <c r="F1037" s="20"/>
      <c r="G1037" s="37"/>
      <c r="H1037" s="37"/>
      <c r="I1037" s="32"/>
      <c r="J1037" s="32"/>
      <c r="K1037" s="53"/>
      <c r="L1037" s="32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</row>
    <row r="1038" ht="15.75" customHeight="1">
      <c r="A1038" s="27"/>
      <c r="B1038" s="16" t="str">
        <f t="shared" si="6"/>
        <v/>
      </c>
      <c r="C1038" s="28"/>
      <c r="D1038" s="89"/>
      <c r="E1038" s="90"/>
      <c r="F1038" s="20"/>
      <c r="G1038" s="37"/>
      <c r="H1038" s="37"/>
      <c r="I1038" s="32"/>
      <c r="J1038" s="32"/>
      <c r="K1038" s="53"/>
      <c r="L1038" s="32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</row>
    <row r="1039" ht="15.75" customHeight="1">
      <c r="A1039" s="27"/>
      <c r="B1039" s="16" t="str">
        <f t="shared" si="6"/>
        <v/>
      </c>
      <c r="C1039" s="28"/>
      <c r="D1039" s="89"/>
      <c r="E1039" s="90"/>
      <c r="F1039" s="20"/>
      <c r="G1039" s="37"/>
      <c r="H1039" s="37"/>
      <c r="I1039" s="32"/>
      <c r="J1039" s="32"/>
      <c r="K1039" s="53"/>
      <c r="L1039" s="32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</row>
    <row r="1040" ht="15.75" customHeight="1">
      <c r="A1040" s="27"/>
      <c r="B1040" s="16" t="str">
        <f t="shared" si="6"/>
        <v/>
      </c>
      <c r="C1040" s="28"/>
      <c r="D1040" s="89"/>
      <c r="E1040" s="90"/>
      <c r="F1040" s="20"/>
      <c r="G1040" s="37"/>
      <c r="H1040" s="37"/>
      <c r="I1040" s="32"/>
      <c r="J1040" s="32"/>
      <c r="K1040" s="53"/>
      <c r="L1040" s="32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</row>
    <row r="1041" ht="15.75" customHeight="1">
      <c r="A1041" s="27"/>
      <c r="B1041" s="16" t="str">
        <f t="shared" si="6"/>
        <v/>
      </c>
      <c r="C1041" s="28"/>
      <c r="D1041" s="89"/>
      <c r="E1041" s="90"/>
      <c r="F1041" s="20"/>
      <c r="G1041" s="37"/>
      <c r="H1041" s="37"/>
      <c r="I1041" s="32"/>
      <c r="J1041" s="32"/>
      <c r="K1041" s="53"/>
      <c r="L1041" s="32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</row>
    <row r="1042" ht="15.75" customHeight="1">
      <c r="A1042" s="27"/>
      <c r="B1042" s="16" t="str">
        <f t="shared" si="6"/>
        <v/>
      </c>
      <c r="C1042" s="28"/>
      <c r="D1042" s="89"/>
      <c r="E1042" s="90"/>
      <c r="F1042" s="20"/>
      <c r="G1042" s="37"/>
      <c r="H1042" s="37"/>
      <c r="I1042" s="32"/>
      <c r="J1042" s="32"/>
      <c r="K1042" s="53"/>
      <c r="L1042" s="32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</row>
    <row r="1043" ht="15.75" customHeight="1">
      <c r="A1043" s="27"/>
      <c r="B1043" s="16" t="str">
        <f t="shared" si="6"/>
        <v/>
      </c>
      <c r="C1043" s="28"/>
      <c r="D1043" s="89"/>
      <c r="E1043" s="90"/>
      <c r="F1043" s="20"/>
      <c r="G1043" s="37"/>
      <c r="H1043" s="37"/>
      <c r="I1043" s="32"/>
      <c r="J1043" s="32"/>
      <c r="K1043" s="53"/>
      <c r="L1043" s="32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</row>
    <row r="1044" ht="15.75" customHeight="1">
      <c r="A1044" s="27"/>
      <c r="B1044" s="16" t="str">
        <f t="shared" si="6"/>
        <v/>
      </c>
      <c r="C1044" s="28"/>
      <c r="D1044" s="89"/>
      <c r="E1044" s="90"/>
      <c r="F1044" s="20"/>
      <c r="G1044" s="37"/>
      <c r="H1044" s="37"/>
      <c r="I1044" s="32"/>
      <c r="J1044" s="32"/>
      <c r="K1044" s="53"/>
      <c r="L1044" s="32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</row>
    <row r="1045" ht="15.75" customHeight="1">
      <c r="A1045" s="27"/>
      <c r="B1045" s="16" t="str">
        <f t="shared" si="6"/>
        <v/>
      </c>
      <c r="C1045" s="28"/>
      <c r="D1045" s="89"/>
      <c r="E1045" s="90"/>
      <c r="F1045" s="20"/>
      <c r="G1045" s="37"/>
      <c r="H1045" s="37"/>
      <c r="I1045" s="32"/>
      <c r="J1045" s="32"/>
      <c r="K1045" s="53"/>
      <c r="L1045" s="32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</row>
    <row r="1046" ht="15.75" customHeight="1">
      <c r="A1046" s="27"/>
      <c r="B1046" s="16" t="str">
        <f t="shared" si="6"/>
        <v/>
      </c>
      <c r="C1046" s="28"/>
      <c r="D1046" s="89"/>
      <c r="E1046" s="90"/>
      <c r="F1046" s="20"/>
      <c r="G1046" s="37"/>
      <c r="H1046" s="37"/>
      <c r="I1046" s="32"/>
      <c r="J1046" s="32"/>
      <c r="K1046" s="53"/>
      <c r="L1046" s="32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</row>
    <row r="1047" ht="15.75" customHeight="1">
      <c r="A1047" s="27"/>
      <c r="B1047" s="16" t="str">
        <f t="shared" si="6"/>
        <v/>
      </c>
      <c r="C1047" s="28"/>
      <c r="D1047" s="89"/>
      <c r="E1047" s="90"/>
      <c r="F1047" s="20"/>
      <c r="G1047" s="37"/>
      <c r="H1047" s="37"/>
      <c r="I1047" s="32"/>
      <c r="J1047" s="32"/>
      <c r="K1047" s="53"/>
      <c r="L1047" s="32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</row>
    <row r="1048" ht="15.75" customHeight="1">
      <c r="A1048" s="27"/>
      <c r="B1048" s="16" t="str">
        <f t="shared" si="6"/>
        <v/>
      </c>
      <c r="C1048" s="28"/>
      <c r="D1048" s="89"/>
      <c r="E1048" s="90"/>
      <c r="F1048" s="20"/>
      <c r="G1048" s="37"/>
      <c r="H1048" s="37"/>
      <c r="I1048" s="32"/>
      <c r="J1048" s="32"/>
      <c r="K1048" s="53"/>
      <c r="L1048" s="32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</row>
    <row r="1049" ht="15.75" customHeight="1">
      <c r="A1049" s="27"/>
      <c r="B1049" s="16" t="str">
        <f t="shared" si="6"/>
        <v/>
      </c>
      <c r="C1049" s="28"/>
      <c r="D1049" s="89"/>
      <c r="E1049" s="90"/>
      <c r="F1049" s="20"/>
      <c r="G1049" s="37"/>
      <c r="H1049" s="37"/>
      <c r="I1049" s="32"/>
      <c r="J1049" s="32"/>
      <c r="K1049" s="53"/>
      <c r="L1049" s="32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</row>
    <row r="1050" ht="15.75" customHeight="1">
      <c r="A1050" s="27"/>
      <c r="B1050" s="16" t="str">
        <f t="shared" si="6"/>
        <v/>
      </c>
      <c r="C1050" s="28"/>
      <c r="D1050" s="89"/>
      <c r="E1050" s="90"/>
      <c r="F1050" s="20"/>
      <c r="G1050" s="37"/>
      <c r="H1050" s="37"/>
      <c r="I1050" s="32"/>
      <c r="J1050" s="32"/>
      <c r="K1050" s="53"/>
      <c r="L1050" s="32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</row>
    <row r="1051" ht="15.75" customHeight="1">
      <c r="A1051" s="27"/>
      <c r="B1051" s="16" t="str">
        <f t="shared" si="6"/>
        <v/>
      </c>
      <c r="C1051" s="28"/>
      <c r="D1051" s="89"/>
      <c r="E1051" s="90"/>
      <c r="F1051" s="20"/>
      <c r="G1051" s="37"/>
      <c r="H1051" s="37"/>
      <c r="I1051" s="32"/>
      <c r="J1051" s="32"/>
      <c r="K1051" s="53"/>
      <c r="L1051" s="32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</row>
    <row r="1052" ht="15.75" customHeight="1">
      <c r="A1052" s="27"/>
      <c r="B1052" s="16" t="str">
        <f t="shared" si="6"/>
        <v/>
      </c>
      <c r="C1052" s="28"/>
      <c r="D1052" s="89"/>
      <c r="E1052" s="90"/>
      <c r="F1052" s="20"/>
      <c r="G1052" s="37"/>
      <c r="H1052" s="37"/>
      <c r="I1052" s="32"/>
      <c r="J1052" s="32"/>
      <c r="K1052" s="53"/>
      <c r="L1052" s="32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</row>
    <row r="1053" ht="15.75" customHeight="1">
      <c r="A1053" s="27"/>
      <c r="B1053" s="16" t="str">
        <f t="shared" si="6"/>
        <v/>
      </c>
      <c r="C1053" s="28"/>
      <c r="D1053" s="89"/>
      <c r="E1053" s="90"/>
      <c r="F1053" s="20"/>
      <c r="G1053" s="37"/>
      <c r="H1053" s="37"/>
      <c r="I1053" s="32"/>
      <c r="J1053" s="32"/>
      <c r="K1053" s="53"/>
      <c r="L1053" s="32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</row>
    <row r="1054" ht="15.75" customHeight="1">
      <c r="A1054" s="27"/>
      <c r="B1054" s="16" t="str">
        <f t="shared" si="6"/>
        <v/>
      </c>
      <c r="C1054" s="28"/>
      <c r="D1054" s="89"/>
      <c r="E1054" s="90"/>
      <c r="F1054" s="20"/>
      <c r="G1054" s="37"/>
      <c r="H1054" s="37"/>
      <c r="I1054" s="32"/>
      <c r="J1054" s="32"/>
      <c r="K1054" s="53"/>
      <c r="L1054" s="32"/>
      <c r="M1054" s="33"/>
      <c r="N1054" s="33"/>
      <c r="O1054" s="33"/>
      <c r="P1054" s="33"/>
      <c r="Q1054" s="33"/>
      <c r="R1054" s="33"/>
      <c r="S1054" s="33"/>
      <c r="T1054" s="33"/>
      <c r="U1054" s="33"/>
      <c r="V1054" s="33"/>
      <c r="W1054" s="33"/>
      <c r="X1054" s="33"/>
      <c r="Y1054" s="33"/>
      <c r="Z1054" s="33"/>
      <c r="AA1054" s="33"/>
      <c r="AB1054" s="33"/>
      <c r="AC1054" s="33"/>
    </row>
    <row r="1055" ht="15.75" customHeight="1">
      <c r="A1055" s="27"/>
      <c r="B1055" s="16" t="str">
        <f t="shared" si="6"/>
        <v/>
      </c>
      <c r="C1055" s="28"/>
      <c r="D1055" s="89"/>
      <c r="E1055" s="90"/>
      <c r="F1055" s="20"/>
      <c r="G1055" s="37"/>
      <c r="H1055" s="37"/>
      <c r="I1055" s="32"/>
      <c r="J1055" s="32"/>
      <c r="K1055" s="53"/>
      <c r="L1055" s="32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</row>
    <row r="1056" ht="15.75" customHeight="1">
      <c r="A1056" s="27"/>
      <c r="B1056" s="16" t="str">
        <f t="shared" si="6"/>
        <v/>
      </c>
      <c r="C1056" s="28"/>
      <c r="D1056" s="89"/>
      <c r="E1056" s="90"/>
      <c r="F1056" s="20"/>
      <c r="G1056" s="37"/>
      <c r="H1056" s="37"/>
      <c r="I1056" s="32"/>
      <c r="J1056" s="32"/>
      <c r="K1056" s="53"/>
      <c r="L1056" s="32"/>
      <c r="M1056" s="33"/>
      <c r="N1056" s="33"/>
      <c r="O1056" s="33"/>
      <c r="P1056" s="33"/>
      <c r="Q1056" s="33"/>
      <c r="R1056" s="33"/>
      <c r="S1056" s="33"/>
      <c r="T1056" s="33"/>
      <c r="U1056" s="33"/>
      <c r="V1056" s="33"/>
      <c r="W1056" s="33"/>
      <c r="X1056" s="33"/>
      <c r="Y1056" s="33"/>
      <c r="Z1056" s="33"/>
      <c r="AA1056" s="33"/>
      <c r="AB1056" s="33"/>
      <c r="AC1056" s="33"/>
    </row>
    <row r="1057" ht="15.75" customHeight="1">
      <c r="A1057" s="27"/>
      <c r="B1057" s="16" t="str">
        <f t="shared" si="6"/>
        <v/>
      </c>
      <c r="C1057" s="28"/>
      <c r="D1057" s="89"/>
      <c r="E1057" s="90"/>
      <c r="F1057" s="20"/>
      <c r="G1057" s="37"/>
      <c r="H1057" s="37"/>
      <c r="I1057" s="32"/>
      <c r="J1057" s="32"/>
      <c r="K1057" s="53"/>
      <c r="L1057" s="32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</row>
    <row r="1058" ht="15.75" customHeight="1">
      <c r="A1058" s="27"/>
      <c r="B1058" s="16" t="str">
        <f t="shared" si="6"/>
        <v/>
      </c>
      <c r="C1058" s="28"/>
      <c r="D1058" s="89"/>
      <c r="E1058" s="90"/>
      <c r="F1058" s="20"/>
      <c r="G1058" s="37"/>
      <c r="H1058" s="37"/>
      <c r="I1058" s="32"/>
      <c r="J1058" s="32"/>
      <c r="K1058" s="53"/>
      <c r="L1058" s="32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</row>
    <row r="1059" ht="15.75" customHeight="1">
      <c r="A1059" s="27"/>
      <c r="B1059" s="16" t="str">
        <f t="shared" si="6"/>
        <v/>
      </c>
      <c r="C1059" s="28"/>
      <c r="D1059" s="89"/>
      <c r="E1059" s="90"/>
      <c r="F1059" s="20"/>
      <c r="G1059" s="37"/>
      <c r="H1059" s="37"/>
      <c r="I1059" s="32"/>
      <c r="J1059" s="32"/>
      <c r="K1059" s="53"/>
      <c r="L1059" s="32"/>
      <c r="M1059" s="33"/>
      <c r="N1059" s="33"/>
      <c r="O1059" s="33"/>
      <c r="P1059" s="33"/>
      <c r="Q1059" s="33"/>
      <c r="R1059" s="33"/>
      <c r="S1059" s="33"/>
      <c r="T1059" s="33"/>
      <c r="U1059" s="33"/>
      <c r="V1059" s="33"/>
      <c r="W1059" s="33"/>
      <c r="X1059" s="33"/>
      <c r="Y1059" s="33"/>
      <c r="Z1059" s="33"/>
      <c r="AA1059" s="33"/>
      <c r="AB1059" s="33"/>
      <c r="AC1059" s="33"/>
    </row>
    <row r="1060" ht="15.75" customHeight="1">
      <c r="A1060" s="27"/>
      <c r="B1060" s="16" t="str">
        <f t="shared" si="6"/>
        <v/>
      </c>
      <c r="C1060" s="28"/>
      <c r="D1060" s="89"/>
      <c r="E1060" s="90"/>
      <c r="F1060" s="20"/>
      <c r="G1060" s="37"/>
      <c r="H1060" s="37"/>
      <c r="I1060" s="32"/>
      <c r="J1060" s="32"/>
      <c r="K1060" s="53"/>
      <c r="L1060" s="32"/>
      <c r="M1060" s="33"/>
      <c r="N1060" s="33"/>
      <c r="O1060" s="33"/>
      <c r="P1060" s="33"/>
      <c r="Q1060" s="33"/>
      <c r="R1060" s="33"/>
      <c r="S1060" s="33"/>
      <c r="T1060" s="33"/>
      <c r="U1060" s="33"/>
      <c r="V1060" s="33"/>
      <c r="W1060" s="33"/>
      <c r="X1060" s="33"/>
      <c r="Y1060" s="33"/>
      <c r="Z1060" s="33"/>
      <c r="AA1060" s="33"/>
      <c r="AB1060" s="33"/>
      <c r="AC1060" s="33"/>
    </row>
    <row r="1061" ht="15.75" customHeight="1">
      <c r="A1061" s="27"/>
      <c r="B1061" s="16" t="str">
        <f t="shared" si="6"/>
        <v/>
      </c>
      <c r="C1061" s="28"/>
      <c r="D1061" s="89"/>
      <c r="E1061" s="90"/>
      <c r="F1061" s="20"/>
      <c r="G1061" s="37"/>
      <c r="H1061" s="37"/>
      <c r="I1061" s="32"/>
      <c r="J1061" s="32"/>
      <c r="K1061" s="53"/>
      <c r="L1061" s="32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</row>
    <row r="1062" ht="15.75" customHeight="1">
      <c r="A1062" s="27"/>
      <c r="B1062" s="16" t="str">
        <f t="shared" si="6"/>
        <v/>
      </c>
      <c r="C1062" s="28"/>
      <c r="D1062" s="89"/>
      <c r="E1062" s="90"/>
      <c r="F1062" s="20"/>
      <c r="G1062" s="37"/>
      <c r="H1062" s="37"/>
      <c r="I1062" s="32"/>
      <c r="J1062" s="32"/>
      <c r="K1062" s="53"/>
      <c r="L1062" s="32"/>
      <c r="M1062" s="33"/>
      <c r="N1062" s="33"/>
      <c r="O1062" s="33"/>
      <c r="P1062" s="33"/>
      <c r="Q1062" s="33"/>
      <c r="R1062" s="33"/>
      <c r="S1062" s="33"/>
      <c r="T1062" s="33"/>
      <c r="U1062" s="33"/>
      <c r="V1062" s="33"/>
      <c r="W1062" s="33"/>
      <c r="X1062" s="33"/>
      <c r="Y1062" s="33"/>
      <c r="Z1062" s="33"/>
      <c r="AA1062" s="33"/>
      <c r="AB1062" s="33"/>
      <c r="AC1062" s="33"/>
    </row>
    <row r="1063" ht="15.75" customHeight="1">
      <c r="A1063" s="27"/>
      <c r="B1063" s="16" t="str">
        <f t="shared" si="6"/>
        <v/>
      </c>
      <c r="C1063" s="28"/>
      <c r="D1063" s="89"/>
      <c r="E1063" s="90"/>
      <c r="F1063" s="20"/>
      <c r="G1063" s="37"/>
      <c r="H1063" s="37"/>
      <c r="I1063" s="32"/>
      <c r="J1063" s="32"/>
      <c r="K1063" s="53"/>
      <c r="L1063" s="32"/>
      <c r="M1063" s="33"/>
      <c r="N1063" s="33"/>
      <c r="O1063" s="33"/>
      <c r="P1063" s="33"/>
      <c r="Q1063" s="33"/>
      <c r="R1063" s="33"/>
      <c r="S1063" s="33"/>
      <c r="T1063" s="33"/>
      <c r="U1063" s="33"/>
      <c r="V1063" s="33"/>
      <c r="W1063" s="33"/>
      <c r="X1063" s="33"/>
      <c r="Y1063" s="33"/>
      <c r="Z1063" s="33"/>
      <c r="AA1063" s="33"/>
      <c r="AB1063" s="33"/>
      <c r="AC1063" s="33"/>
    </row>
    <row r="1064" ht="15.75" customHeight="1">
      <c r="A1064" s="27"/>
      <c r="B1064" s="16" t="str">
        <f t="shared" si="6"/>
        <v/>
      </c>
      <c r="C1064" s="28"/>
      <c r="D1064" s="89"/>
      <c r="E1064" s="90"/>
      <c r="F1064" s="20"/>
      <c r="G1064" s="37"/>
      <c r="H1064" s="37"/>
      <c r="I1064" s="32"/>
      <c r="J1064" s="32"/>
      <c r="K1064" s="53"/>
      <c r="L1064" s="32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33"/>
      <c r="Y1064" s="33"/>
      <c r="Z1064" s="33"/>
      <c r="AA1064" s="33"/>
      <c r="AB1064" s="33"/>
      <c r="AC1064" s="33"/>
    </row>
    <row r="1065" ht="15.75" customHeight="1">
      <c r="A1065" s="27"/>
      <c r="B1065" s="16" t="str">
        <f t="shared" si="6"/>
        <v/>
      </c>
      <c r="C1065" s="28"/>
      <c r="D1065" s="89"/>
      <c r="E1065" s="90"/>
      <c r="F1065" s="20"/>
      <c r="G1065" s="37"/>
      <c r="H1065" s="37"/>
      <c r="I1065" s="32"/>
      <c r="J1065" s="32"/>
      <c r="K1065" s="53"/>
      <c r="L1065" s="32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</row>
    <row r="1066" ht="15.75" customHeight="1">
      <c r="A1066" s="27"/>
      <c r="B1066" s="16" t="str">
        <f t="shared" si="6"/>
        <v/>
      </c>
      <c r="C1066" s="28"/>
      <c r="D1066" s="89"/>
      <c r="E1066" s="90"/>
      <c r="F1066" s="20"/>
      <c r="G1066" s="37"/>
      <c r="H1066" s="37"/>
      <c r="I1066" s="32"/>
      <c r="J1066" s="32"/>
      <c r="K1066" s="53"/>
      <c r="L1066" s="32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</row>
    <row r="1067" ht="15.75" customHeight="1">
      <c r="A1067" s="27"/>
      <c r="B1067" s="16" t="str">
        <f t="shared" si="6"/>
        <v/>
      </c>
      <c r="C1067" s="28"/>
      <c r="D1067" s="89"/>
      <c r="E1067" s="90"/>
      <c r="F1067" s="20"/>
      <c r="G1067" s="37"/>
      <c r="H1067" s="37"/>
      <c r="I1067" s="32"/>
      <c r="J1067" s="32"/>
      <c r="K1067" s="53"/>
      <c r="L1067" s="32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33"/>
      <c r="AB1067" s="33"/>
      <c r="AC1067" s="33"/>
    </row>
    <row r="1068" ht="15.75" customHeight="1">
      <c r="A1068" s="27"/>
      <c r="B1068" s="16" t="str">
        <f t="shared" si="6"/>
        <v/>
      </c>
      <c r="C1068" s="28"/>
      <c r="D1068" s="89"/>
      <c r="E1068" s="90"/>
      <c r="F1068" s="20"/>
      <c r="G1068" s="37"/>
      <c r="H1068" s="37"/>
      <c r="I1068" s="32"/>
      <c r="J1068" s="32"/>
      <c r="K1068" s="53"/>
      <c r="L1068" s="32"/>
      <c r="M1068" s="33"/>
      <c r="N1068" s="33"/>
      <c r="O1068" s="33"/>
      <c r="P1068" s="33"/>
      <c r="Q1068" s="33"/>
      <c r="R1068" s="33"/>
      <c r="S1068" s="33"/>
      <c r="T1068" s="33"/>
      <c r="U1068" s="33"/>
      <c r="V1068" s="33"/>
      <c r="W1068" s="33"/>
      <c r="X1068" s="33"/>
      <c r="Y1068" s="33"/>
      <c r="Z1068" s="33"/>
      <c r="AA1068" s="33"/>
      <c r="AB1068" s="33"/>
      <c r="AC1068" s="33"/>
    </row>
    <row r="1069" ht="15.75" customHeight="1">
      <c r="A1069" s="27"/>
      <c r="B1069" s="16" t="str">
        <f t="shared" si="6"/>
        <v/>
      </c>
      <c r="C1069" s="28"/>
      <c r="D1069" s="89"/>
      <c r="E1069" s="90"/>
      <c r="F1069" s="20"/>
      <c r="G1069" s="37"/>
      <c r="H1069" s="37"/>
      <c r="I1069" s="32"/>
      <c r="J1069" s="32"/>
      <c r="K1069" s="53"/>
      <c r="L1069" s="32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</row>
    <row r="1070" ht="15.75" customHeight="1">
      <c r="A1070" s="27"/>
      <c r="B1070" s="16" t="str">
        <f t="shared" si="6"/>
        <v/>
      </c>
      <c r="C1070" s="28"/>
      <c r="D1070" s="89"/>
      <c r="E1070" s="90"/>
      <c r="F1070" s="20"/>
      <c r="G1070" s="37"/>
      <c r="H1070" s="37"/>
      <c r="I1070" s="32"/>
      <c r="J1070" s="32"/>
      <c r="K1070" s="53"/>
      <c r="L1070" s="32"/>
      <c r="M1070" s="33"/>
      <c r="N1070" s="33"/>
      <c r="O1070" s="33"/>
      <c r="P1070" s="33"/>
      <c r="Q1070" s="33"/>
      <c r="R1070" s="33"/>
      <c r="S1070" s="33"/>
      <c r="T1070" s="33"/>
      <c r="U1070" s="33"/>
      <c r="V1070" s="33"/>
      <c r="W1070" s="33"/>
      <c r="X1070" s="33"/>
      <c r="Y1070" s="33"/>
      <c r="Z1070" s="33"/>
      <c r="AA1070" s="33"/>
      <c r="AB1070" s="33"/>
      <c r="AC1070" s="33"/>
    </row>
    <row r="1071" ht="15.75" customHeight="1">
      <c r="A1071" s="27"/>
      <c r="B1071" s="16" t="str">
        <f t="shared" si="6"/>
        <v/>
      </c>
      <c r="C1071" s="28"/>
      <c r="D1071" s="89"/>
      <c r="E1071" s="90"/>
      <c r="F1071" s="20"/>
      <c r="G1071" s="37"/>
      <c r="H1071" s="37"/>
      <c r="I1071" s="32"/>
      <c r="J1071" s="32"/>
      <c r="K1071" s="53"/>
      <c r="L1071" s="32"/>
      <c r="M1071" s="33"/>
      <c r="N1071" s="33"/>
      <c r="O1071" s="33"/>
      <c r="P1071" s="33"/>
      <c r="Q1071" s="33"/>
      <c r="R1071" s="33"/>
      <c r="S1071" s="33"/>
      <c r="T1071" s="33"/>
      <c r="U1071" s="33"/>
      <c r="V1071" s="33"/>
      <c r="W1071" s="33"/>
      <c r="X1071" s="33"/>
      <c r="Y1071" s="33"/>
      <c r="Z1071" s="33"/>
      <c r="AA1071" s="33"/>
      <c r="AB1071" s="33"/>
      <c r="AC1071" s="33"/>
    </row>
    <row r="1072" ht="15.75" customHeight="1">
      <c r="A1072" s="27"/>
      <c r="B1072" s="16" t="str">
        <f t="shared" si="6"/>
        <v/>
      </c>
      <c r="C1072" s="28"/>
      <c r="D1072" s="89"/>
      <c r="E1072" s="90"/>
      <c r="F1072" s="20"/>
      <c r="G1072" s="37"/>
      <c r="H1072" s="37"/>
      <c r="I1072" s="32"/>
      <c r="J1072" s="32"/>
      <c r="K1072" s="53"/>
      <c r="L1072" s="32"/>
      <c r="M1072" s="33"/>
      <c r="N1072" s="33"/>
      <c r="O1072" s="33"/>
      <c r="P1072" s="33"/>
      <c r="Q1072" s="33"/>
      <c r="R1072" s="33"/>
      <c r="S1072" s="33"/>
      <c r="T1072" s="33"/>
      <c r="U1072" s="33"/>
      <c r="V1072" s="33"/>
      <c r="W1072" s="33"/>
      <c r="X1072" s="33"/>
      <c r="Y1072" s="33"/>
      <c r="Z1072" s="33"/>
      <c r="AA1072" s="33"/>
      <c r="AB1072" s="33"/>
      <c r="AC1072" s="33"/>
    </row>
    <row r="1073" ht="15.75" customHeight="1">
      <c r="A1073" s="27"/>
      <c r="B1073" s="16" t="str">
        <f t="shared" si="6"/>
        <v/>
      </c>
      <c r="C1073" s="28"/>
      <c r="D1073" s="89"/>
      <c r="E1073" s="90"/>
      <c r="F1073" s="20"/>
      <c r="G1073" s="37"/>
      <c r="H1073" s="37"/>
      <c r="I1073" s="32"/>
      <c r="J1073" s="32"/>
      <c r="K1073" s="53"/>
      <c r="L1073" s="32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</row>
    <row r="1074" ht="15.75" customHeight="1">
      <c r="A1074" s="27"/>
      <c r="B1074" s="16" t="str">
        <f t="shared" si="6"/>
        <v/>
      </c>
      <c r="C1074" s="28"/>
      <c r="D1074" s="89"/>
      <c r="E1074" s="90"/>
      <c r="F1074" s="20"/>
      <c r="G1074" s="37"/>
      <c r="H1074" s="37"/>
      <c r="I1074" s="32"/>
      <c r="J1074" s="32"/>
      <c r="K1074" s="53"/>
      <c r="L1074" s="32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33"/>
      <c r="Y1074" s="33"/>
      <c r="Z1074" s="33"/>
      <c r="AA1074" s="33"/>
      <c r="AB1074" s="33"/>
      <c r="AC1074" s="33"/>
    </row>
    <row r="1075" ht="15.75" customHeight="1">
      <c r="A1075" s="27"/>
      <c r="B1075" s="16" t="str">
        <f t="shared" si="6"/>
        <v/>
      </c>
      <c r="C1075" s="28"/>
      <c r="D1075" s="89"/>
      <c r="E1075" s="90"/>
      <c r="F1075" s="20"/>
      <c r="G1075" s="37"/>
      <c r="H1075" s="37"/>
      <c r="I1075" s="32"/>
      <c r="J1075" s="32"/>
      <c r="K1075" s="53"/>
      <c r="L1075" s="32"/>
      <c r="M1075" s="33"/>
      <c r="N1075" s="33"/>
      <c r="O1075" s="33"/>
      <c r="P1075" s="33"/>
      <c r="Q1075" s="33"/>
      <c r="R1075" s="33"/>
      <c r="S1075" s="33"/>
      <c r="T1075" s="33"/>
      <c r="U1075" s="33"/>
      <c r="V1075" s="33"/>
      <c r="W1075" s="33"/>
      <c r="X1075" s="33"/>
      <c r="Y1075" s="33"/>
      <c r="Z1075" s="33"/>
      <c r="AA1075" s="33"/>
      <c r="AB1075" s="33"/>
      <c r="AC1075" s="33"/>
    </row>
    <row r="1076" ht="15.75" customHeight="1">
      <c r="A1076" s="27"/>
      <c r="B1076" s="16" t="str">
        <f t="shared" si="6"/>
        <v/>
      </c>
      <c r="C1076" s="28"/>
      <c r="D1076" s="89"/>
      <c r="E1076" s="90"/>
      <c r="F1076" s="20"/>
      <c r="G1076" s="37"/>
      <c r="H1076" s="37"/>
      <c r="I1076" s="32"/>
      <c r="J1076" s="32"/>
      <c r="K1076" s="53"/>
      <c r="L1076" s="32"/>
      <c r="M1076" s="33"/>
      <c r="N1076" s="33"/>
      <c r="O1076" s="33"/>
      <c r="P1076" s="33"/>
      <c r="Q1076" s="33"/>
      <c r="R1076" s="33"/>
      <c r="S1076" s="33"/>
      <c r="T1076" s="33"/>
      <c r="U1076" s="33"/>
      <c r="V1076" s="33"/>
      <c r="W1076" s="33"/>
      <c r="X1076" s="33"/>
      <c r="Y1076" s="33"/>
      <c r="Z1076" s="33"/>
      <c r="AA1076" s="33"/>
      <c r="AB1076" s="33"/>
      <c r="AC1076" s="33"/>
    </row>
    <row r="1077" ht="15.75" customHeight="1">
      <c r="A1077" s="27"/>
      <c r="B1077" s="16" t="str">
        <f t="shared" si="6"/>
        <v/>
      </c>
      <c r="C1077" s="28"/>
      <c r="D1077" s="89"/>
      <c r="E1077" s="90"/>
      <c r="F1077" s="20"/>
      <c r="G1077" s="37"/>
      <c r="H1077" s="37"/>
      <c r="I1077" s="32"/>
      <c r="J1077" s="32"/>
      <c r="K1077" s="53"/>
      <c r="L1077" s="32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</row>
    <row r="1078" ht="15.75" customHeight="1">
      <c r="A1078" s="27"/>
      <c r="B1078" s="16" t="str">
        <f t="shared" si="6"/>
        <v/>
      </c>
      <c r="C1078" s="28"/>
      <c r="D1078" s="89"/>
      <c r="E1078" s="90"/>
      <c r="F1078" s="20"/>
      <c r="G1078" s="37"/>
      <c r="H1078" s="37"/>
      <c r="I1078" s="32"/>
      <c r="J1078" s="32"/>
      <c r="K1078" s="53"/>
      <c r="L1078" s="32"/>
      <c r="M1078" s="33"/>
      <c r="N1078" s="33"/>
      <c r="O1078" s="33"/>
      <c r="P1078" s="33"/>
      <c r="Q1078" s="33"/>
      <c r="R1078" s="33"/>
      <c r="S1078" s="33"/>
      <c r="T1078" s="33"/>
      <c r="U1078" s="33"/>
      <c r="V1078" s="33"/>
      <c r="W1078" s="33"/>
      <c r="X1078" s="33"/>
      <c r="Y1078" s="33"/>
      <c r="Z1078" s="33"/>
      <c r="AA1078" s="33"/>
      <c r="AB1078" s="33"/>
      <c r="AC1078" s="33"/>
    </row>
    <row r="1079" ht="15.75" customHeight="1">
      <c r="A1079" s="27"/>
      <c r="B1079" s="16" t="str">
        <f t="shared" si="6"/>
        <v/>
      </c>
      <c r="C1079" s="28"/>
      <c r="D1079" s="89"/>
      <c r="E1079" s="90"/>
      <c r="F1079" s="20"/>
      <c r="G1079" s="37"/>
      <c r="H1079" s="37"/>
      <c r="I1079" s="32"/>
      <c r="J1079" s="32"/>
      <c r="K1079" s="53"/>
      <c r="L1079" s="32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33"/>
      <c r="Y1079" s="33"/>
      <c r="Z1079" s="33"/>
      <c r="AA1079" s="33"/>
      <c r="AB1079" s="33"/>
      <c r="AC1079" s="33"/>
    </row>
    <row r="1080" ht="15.75" customHeight="1">
      <c r="A1080" s="27"/>
      <c r="B1080" s="16" t="str">
        <f t="shared" si="6"/>
        <v/>
      </c>
      <c r="C1080" s="28"/>
      <c r="D1080" s="89"/>
      <c r="E1080" s="90"/>
      <c r="F1080" s="20"/>
      <c r="G1080" s="37"/>
      <c r="H1080" s="37"/>
      <c r="I1080" s="32"/>
      <c r="J1080" s="32"/>
      <c r="K1080" s="53"/>
      <c r="L1080" s="32"/>
      <c r="M1080" s="33"/>
      <c r="N1080" s="33"/>
      <c r="O1080" s="33"/>
      <c r="P1080" s="33"/>
      <c r="Q1080" s="33"/>
      <c r="R1080" s="33"/>
      <c r="S1080" s="33"/>
      <c r="T1080" s="33"/>
      <c r="U1080" s="33"/>
      <c r="V1080" s="33"/>
      <c r="W1080" s="33"/>
      <c r="X1080" s="33"/>
      <c r="Y1080" s="33"/>
      <c r="Z1080" s="33"/>
      <c r="AA1080" s="33"/>
      <c r="AB1080" s="33"/>
      <c r="AC1080" s="33"/>
    </row>
    <row r="1081" ht="15.75" customHeight="1">
      <c r="A1081" s="27"/>
      <c r="B1081" s="16" t="str">
        <f t="shared" si="6"/>
        <v/>
      </c>
      <c r="C1081" s="28"/>
      <c r="D1081" s="89"/>
      <c r="E1081" s="90"/>
      <c r="F1081" s="20"/>
      <c r="G1081" s="37"/>
      <c r="H1081" s="37"/>
      <c r="I1081" s="32"/>
      <c r="J1081" s="32"/>
      <c r="K1081" s="53"/>
      <c r="L1081" s="32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</row>
    <row r="1082" ht="15.75" customHeight="1">
      <c r="A1082" s="27"/>
      <c r="B1082" s="16" t="str">
        <f t="shared" si="6"/>
        <v/>
      </c>
      <c r="C1082" s="28"/>
      <c r="D1082" s="89"/>
      <c r="E1082" s="90"/>
      <c r="F1082" s="20"/>
      <c r="G1082" s="37"/>
      <c r="H1082" s="37"/>
      <c r="I1082" s="32"/>
      <c r="J1082" s="32"/>
      <c r="K1082" s="53"/>
      <c r="L1082" s="32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33"/>
      <c r="AB1082" s="33"/>
      <c r="AC1082" s="33"/>
    </row>
    <row r="1083" ht="15.75" customHeight="1">
      <c r="A1083" s="27"/>
      <c r="B1083" s="16" t="str">
        <f t="shared" si="6"/>
        <v/>
      </c>
      <c r="C1083" s="28"/>
      <c r="D1083" s="89"/>
      <c r="E1083" s="90"/>
      <c r="F1083" s="20"/>
      <c r="G1083" s="37"/>
      <c r="H1083" s="37"/>
      <c r="I1083" s="32"/>
      <c r="J1083" s="32"/>
      <c r="K1083" s="53"/>
      <c r="L1083" s="32"/>
      <c r="M1083" s="33"/>
      <c r="N1083" s="33"/>
      <c r="O1083" s="33"/>
      <c r="P1083" s="33"/>
      <c r="Q1083" s="33"/>
      <c r="R1083" s="33"/>
      <c r="S1083" s="33"/>
      <c r="T1083" s="33"/>
      <c r="U1083" s="33"/>
      <c r="V1083" s="33"/>
      <c r="W1083" s="33"/>
      <c r="X1083" s="33"/>
      <c r="Y1083" s="33"/>
      <c r="Z1083" s="33"/>
      <c r="AA1083" s="33"/>
      <c r="AB1083" s="33"/>
      <c r="AC1083" s="33"/>
    </row>
    <row r="1084" ht="15.75" customHeight="1">
      <c r="A1084" s="27"/>
      <c r="B1084" s="16" t="str">
        <f t="shared" si="6"/>
        <v/>
      </c>
      <c r="C1084" s="28"/>
      <c r="D1084" s="89"/>
      <c r="E1084" s="90"/>
      <c r="F1084" s="20"/>
      <c r="G1084" s="37"/>
      <c r="H1084" s="37"/>
      <c r="I1084" s="32"/>
      <c r="J1084" s="32"/>
      <c r="K1084" s="53"/>
      <c r="L1084" s="32"/>
      <c r="M1084" s="33"/>
      <c r="N1084" s="33"/>
      <c r="O1084" s="33"/>
      <c r="P1084" s="33"/>
      <c r="Q1084" s="33"/>
      <c r="R1084" s="33"/>
      <c r="S1084" s="33"/>
      <c r="T1084" s="33"/>
      <c r="U1084" s="33"/>
      <c r="V1084" s="33"/>
      <c r="W1084" s="33"/>
      <c r="X1084" s="33"/>
      <c r="Y1084" s="33"/>
      <c r="Z1084" s="33"/>
      <c r="AA1084" s="33"/>
      <c r="AB1084" s="33"/>
      <c r="AC1084" s="33"/>
    </row>
    <row r="1085" ht="15.75" customHeight="1">
      <c r="A1085" s="27"/>
      <c r="B1085" s="16" t="str">
        <f t="shared" si="6"/>
        <v/>
      </c>
      <c r="C1085" s="28"/>
      <c r="D1085" s="89"/>
      <c r="E1085" s="90"/>
      <c r="F1085" s="20"/>
      <c r="G1085" s="37"/>
      <c r="H1085" s="37"/>
      <c r="I1085" s="32"/>
      <c r="J1085" s="32"/>
      <c r="K1085" s="53"/>
      <c r="L1085" s="32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</row>
    <row r="1086" ht="15.75" customHeight="1">
      <c r="A1086" s="27"/>
      <c r="B1086" s="16" t="str">
        <f t="shared" si="6"/>
        <v/>
      </c>
      <c r="C1086" s="28"/>
      <c r="D1086" s="89"/>
      <c r="E1086" s="90"/>
      <c r="F1086" s="20"/>
      <c r="G1086" s="37"/>
      <c r="H1086" s="37"/>
      <c r="I1086" s="32"/>
      <c r="J1086" s="32"/>
      <c r="K1086" s="53"/>
      <c r="L1086" s="32"/>
      <c r="M1086" s="33"/>
      <c r="N1086" s="33"/>
      <c r="O1086" s="33"/>
      <c r="P1086" s="33"/>
      <c r="Q1086" s="33"/>
      <c r="R1086" s="33"/>
      <c r="S1086" s="33"/>
      <c r="T1086" s="33"/>
      <c r="U1086" s="33"/>
      <c r="V1086" s="33"/>
      <c r="W1086" s="33"/>
      <c r="X1086" s="33"/>
      <c r="Y1086" s="33"/>
      <c r="Z1086" s="33"/>
      <c r="AA1086" s="33"/>
      <c r="AB1086" s="33"/>
      <c r="AC1086" s="33"/>
    </row>
    <row r="1087" ht="15.75" customHeight="1">
      <c r="A1087" s="27"/>
      <c r="B1087" s="16" t="str">
        <f t="shared" si="6"/>
        <v/>
      </c>
      <c r="C1087" s="28"/>
      <c r="D1087" s="89"/>
      <c r="E1087" s="90"/>
      <c r="F1087" s="20"/>
      <c r="G1087" s="37"/>
      <c r="H1087" s="37"/>
      <c r="I1087" s="32"/>
      <c r="J1087" s="32"/>
      <c r="K1087" s="53"/>
      <c r="L1087" s="32"/>
      <c r="M1087" s="33"/>
      <c r="N1087" s="33"/>
      <c r="O1087" s="33"/>
      <c r="P1087" s="33"/>
      <c r="Q1087" s="33"/>
      <c r="R1087" s="33"/>
      <c r="S1087" s="33"/>
      <c r="T1087" s="33"/>
      <c r="U1087" s="33"/>
      <c r="V1087" s="33"/>
      <c r="W1087" s="33"/>
      <c r="X1087" s="33"/>
      <c r="Y1087" s="33"/>
      <c r="Z1087" s="33"/>
      <c r="AA1087" s="33"/>
      <c r="AB1087" s="33"/>
      <c r="AC1087" s="33"/>
    </row>
    <row r="1088" ht="15.75" customHeight="1">
      <c r="A1088" s="27"/>
      <c r="B1088" s="16" t="str">
        <f t="shared" si="6"/>
        <v/>
      </c>
      <c r="C1088" s="28"/>
      <c r="D1088" s="89"/>
      <c r="E1088" s="90"/>
      <c r="F1088" s="20"/>
      <c r="G1088" s="37"/>
      <c r="H1088" s="37"/>
      <c r="I1088" s="32"/>
      <c r="J1088" s="32"/>
      <c r="K1088" s="53"/>
      <c r="L1088" s="32"/>
      <c r="M1088" s="33"/>
      <c r="N1088" s="33"/>
      <c r="O1088" s="33"/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/>
      <c r="AB1088" s="33"/>
      <c r="AC1088" s="33"/>
    </row>
    <row r="1089" ht="15.75" customHeight="1">
      <c r="A1089" s="27"/>
      <c r="B1089" s="16" t="str">
        <f t="shared" si="6"/>
        <v/>
      </c>
      <c r="C1089" s="28"/>
      <c r="D1089" s="89"/>
      <c r="E1089" s="90"/>
      <c r="F1089" s="20"/>
      <c r="G1089" s="37"/>
      <c r="H1089" s="37"/>
      <c r="I1089" s="32"/>
      <c r="J1089" s="32"/>
      <c r="K1089" s="53"/>
      <c r="L1089" s="32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</row>
    <row r="1090" ht="15.75" customHeight="1">
      <c r="A1090" s="27"/>
      <c r="B1090" s="16" t="str">
        <f t="shared" si="6"/>
        <v/>
      </c>
      <c r="C1090" s="28"/>
      <c r="D1090" s="89"/>
      <c r="E1090" s="90"/>
      <c r="F1090" s="20"/>
      <c r="G1090" s="37"/>
      <c r="H1090" s="37"/>
      <c r="I1090" s="32"/>
      <c r="J1090" s="32"/>
      <c r="K1090" s="53"/>
      <c r="L1090" s="32"/>
      <c r="M1090" s="33"/>
      <c r="N1090" s="33"/>
      <c r="O1090" s="33"/>
      <c r="P1090" s="33"/>
      <c r="Q1090" s="33"/>
      <c r="R1090" s="33"/>
      <c r="S1090" s="33"/>
      <c r="T1090" s="33"/>
      <c r="U1090" s="33"/>
      <c r="V1090" s="33"/>
      <c r="W1090" s="33"/>
      <c r="X1090" s="33"/>
      <c r="Y1090" s="33"/>
      <c r="Z1090" s="33"/>
      <c r="AA1090" s="33"/>
      <c r="AB1090" s="33"/>
      <c r="AC1090" s="33"/>
    </row>
    <row r="1091" ht="15.75" customHeight="1">
      <c r="A1091" s="27"/>
      <c r="B1091" s="16" t="str">
        <f t="shared" si="6"/>
        <v/>
      </c>
      <c r="C1091" s="28"/>
      <c r="D1091" s="89"/>
      <c r="E1091" s="90"/>
      <c r="F1091" s="20"/>
      <c r="G1091" s="37"/>
      <c r="H1091" s="37"/>
      <c r="I1091" s="32"/>
      <c r="J1091" s="32"/>
      <c r="K1091" s="53"/>
      <c r="L1091" s="32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/>
      <c r="AB1091" s="33"/>
      <c r="AC1091" s="33"/>
    </row>
    <row r="1092" ht="15.75" customHeight="1">
      <c r="A1092" s="27"/>
      <c r="B1092" s="16" t="str">
        <f t="shared" si="6"/>
        <v/>
      </c>
      <c r="C1092" s="28"/>
      <c r="D1092" s="89"/>
      <c r="E1092" s="90"/>
      <c r="F1092" s="20"/>
      <c r="G1092" s="37"/>
      <c r="H1092" s="37"/>
      <c r="I1092" s="32"/>
      <c r="J1092" s="32"/>
      <c r="K1092" s="53"/>
      <c r="L1092" s="32"/>
      <c r="M1092" s="33"/>
      <c r="N1092" s="33"/>
      <c r="O1092" s="33"/>
      <c r="P1092" s="33"/>
      <c r="Q1092" s="33"/>
      <c r="R1092" s="33"/>
      <c r="S1092" s="33"/>
      <c r="T1092" s="33"/>
      <c r="U1092" s="33"/>
      <c r="V1092" s="33"/>
      <c r="W1092" s="33"/>
      <c r="X1092" s="33"/>
      <c r="Y1092" s="33"/>
      <c r="Z1092" s="33"/>
      <c r="AA1092" s="33"/>
      <c r="AB1092" s="33"/>
      <c r="AC1092" s="33"/>
    </row>
    <row r="1093" ht="15.75" customHeight="1">
      <c r="A1093" s="27"/>
      <c r="B1093" s="16" t="str">
        <f t="shared" si="6"/>
        <v/>
      </c>
      <c r="C1093" s="28"/>
      <c r="D1093" s="89"/>
      <c r="E1093" s="90"/>
      <c r="F1093" s="20"/>
      <c r="G1093" s="37"/>
      <c r="H1093" s="37"/>
      <c r="I1093" s="32"/>
      <c r="J1093" s="32"/>
      <c r="K1093" s="53"/>
      <c r="L1093" s="32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</row>
    <row r="1094" ht="15.75" customHeight="1">
      <c r="A1094" s="27"/>
      <c r="B1094" s="16" t="str">
        <f t="shared" si="6"/>
        <v/>
      </c>
      <c r="C1094" s="28"/>
      <c r="D1094" s="89"/>
      <c r="E1094" s="90"/>
      <c r="F1094" s="20"/>
      <c r="G1094" s="37"/>
      <c r="H1094" s="37"/>
      <c r="I1094" s="32"/>
      <c r="J1094" s="32"/>
      <c r="K1094" s="53"/>
      <c r="L1094" s="32"/>
      <c r="M1094" s="33"/>
      <c r="N1094" s="33"/>
      <c r="O1094" s="33"/>
      <c r="P1094" s="33"/>
      <c r="Q1094" s="33"/>
      <c r="R1094" s="33"/>
      <c r="S1094" s="33"/>
      <c r="T1094" s="33"/>
      <c r="U1094" s="33"/>
      <c r="V1094" s="33"/>
      <c r="W1094" s="33"/>
      <c r="X1094" s="33"/>
      <c r="Y1094" s="33"/>
      <c r="Z1094" s="33"/>
      <c r="AA1094" s="33"/>
      <c r="AB1094" s="33"/>
      <c r="AC1094" s="33"/>
    </row>
    <row r="1095" ht="15.75" customHeight="1">
      <c r="A1095" s="27"/>
      <c r="B1095" s="16" t="str">
        <f t="shared" si="6"/>
        <v/>
      </c>
      <c r="C1095" s="28"/>
      <c r="D1095" s="89"/>
      <c r="E1095" s="90"/>
      <c r="F1095" s="20"/>
      <c r="G1095" s="37"/>
      <c r="H1095" s="37"/>
      <c r="I1095" s="32"/>
      <c r="J1095" s="32"/>
      <c r="K1095" s="53"/>
      <c r="L1095" s="32"/>
      <c r="M1095" s="33"/>
      <c r="N1095" s="33"/>
      <c r="O1095" s="33"/>
      <c r="P1095" s="33"/>
      <c r="Q1095" s="33"/>
      <c r="R1095" s="33"/>
      <c r="S1095" s="33"/>
      <c r="T1095" s="33"/>
      <c r="U1095" s="33"/>
      <c r="V1095" s="33"/>
      <c r="W1095" s="33"/>
      <c r="X1095" s="33"/>
      <c r="Y1095" s="33"/>
      <c r="Z1095" s="33"/>
      <c r="AA1095" s="33"/>
      <c r="AB1095" s="33"/>
      <c r="AC1095" s="33"/>
    </row>
    <row r="1096" ht="15.75" customHeight="1">
      <c r="A1096" s="27"/>
      <c r="B1096" s="16" t="str">
        <f t="shared" si="6"/>
        <v/>
      </c>
      <c r="C1096" s="28"/>
      <c r="D1096" s="89"/>
      <c r="E1096" s="90"/>
      <c r="F1096" s="20"/>
      <c r="G1096" s="37"/>
      <c r="H1096" s="37"/>
      <c r="I1096" s="32"/>
      <c r="J1096" s="32"/>
      <c r="K1096" s="53"/>
      <c r="L1096" s="32"/>
      <c r="M1096" s="33"/>
      <c r="N1096" s="33"/>
      <c r="O1096" s="33"/>
      <c r="P1096" s="33"/>
      <c r="Q1096" s="33"/>
      <c r="R1096" s="33"/>
      <c r="S1096" s="33"/>
      <c r="T1096" s="33"/>
      <c r="U1096" s="33"/>
      <c r="V1096" s="33"/>
      <c r="W1096" s="33"/>
      <c r="X1096" s="33"/>
      <c r="Y1096" s="33"/>
      <c r="Z1096" s="33"/>
      <c r="AA1096" s="33"/>
      <c r="AB1096" s="33"/>
      <c r="AC1096" s="33"/>
    </row>
    <row r="1097" ht="15.75" customHeight="1">
      <c r="A1097" s="27"/>
      <c r="B1097" s="16" t="str">
        <f t="shared" si="6"/>
        <v/>
      </c>
      <c r="C1097" s="28"/>
      <c r="D1097" s="89"/>
      <c r="E1097" s="90"/>
      <c r="F1097" s="20"/>
      <c r="G1097" s="37"/>
      <c r="H1097" s="37"/>
      <c r="I1097" s="32"/>
      <c r="J1097" s="32"/>
      <c r="K1097" s="53"/>
      <c r="L1097" s="32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</row>
    <row r="1098" ht="15.75" customHeight="1">
      <c r="A1098" s="27"/>
      <c r="B1098" s="16" t="str">
        <f t="shared" si="6"/>
        <v/>
      </c>
      <c r="C1098" s="28"/>
      <c r="D1098" s="89"/>
      <c r="E1098" s="90"/>
      <c r="F1098" s="20"/>
      <c r="G1098" s="37"/>
      <c r="H1098" s="37"/>
      <c r="I1098" s="32"/>
      <c r="J1098" s="32"/>
      <c r="K1098" s="53"/>
      <c r="L1098" s="32"/>
      <c r="M1098" s="33"/>
      <c r="N1098" s="33"/>
      <c r="O1098" s="33"/>
      <c r="P1098" s="33"/>
      <c r="Q1098" s="33"/>
      <c r="R1098" s="33"/>
      <c r="S1098" s="33"/>
      <c r="T1098" s="33"/>
      <c r="U1098" s="33"/>
      <c r="V1098" s="33"/>
      <c r="W1098" s="33"/>
      <c r="X1098" s="33"/>
      <c r="Y1098" s="33"/>
      <c r="Z1098" s="33"/>
      <c r="AA1098" s="33"/>
      <c r="AB1098" s="33"/>
      <c r="AC1098" s="33"/>
    </row>
    <row r="1099" ht="15.75" customHeight="1">
      <c r="A1099" s="27"/>
      <c r="B1099" s="16" t="str">
        <f t="shared" si="6"/>
        <v/>
      </c>
      <c r="C1099" s="28"/>
      <c r="D1099" s="89"/>
      <c r="E1099" s="90"/>
      <c r="F1099" s="20"/>
      <c r="G1099" s="37"/>
      <c r="H1099" s="37"/>
      <c r="I1099" s="32"/>
      <c r="J1099" s="32"/>
      <c r="K1099" s="53"/>
      <c r="L1099" s="32"/>
      <c r="M1099" s="33"/>
      <c r="N1099" s="33"/>
      <c r="O1099" s="33"/>
      <c r="P1099" s="33"/>
      <c r="Q1099" s="33"/>
      <c r="R1099" s="33"/>
      <c r="S1099" s="33"/>
      <c r="T1099" s="33"/>
      <c r="U1099" s="33"/>
      <c r="V1099" s="33"/>
      <c r="W1099" s="33"/>
      <c r="X1099" s="33"/>
      <c r="Y1099" s="33"/>
      <c r="Z1099" s="33"/>
      <c r="AA1099" s="33"/>
      <c r="AB1099" s="33"/>
      <c r="AC1099" s="33"/>
    </row>
    <row r="1100" ht="15.75" customHeight="1">
      <c r="A1100" s="27"/>
      <c r="B1100" s="16" t="str">
        <f t="shared" si="6"/>
        <v/>
      </c>
      <c r="C1100" s="28"/>
      <c r="D1100" s="89"/>
      <c r="E1100" s="90"/>
      <c r="F1100" s="20"/>
      <c r="G1100" s="37"/>
      <c r="H1100" s="37"/>
      <c r="I1100" s="32"/>
      <c r="J1100" s="32"/>
      <c r="K1100" s="53"/>
      <c r="L1100" s="32"/>
      <c r="M1100" s="33"/>
      <c r="N1100" s="33"/>
      <c r="O1100" s="33"/>
      <c r="P1100" s="33"/>
      <c r="Q1100" s="33"/>
      <c r="R1100" s="33"/>
      <c r="S1100" s="33"/>
      <c r="T1100" s="33"/>
      <c r="U1100" s="33"/>
      <c r="V1100" s="33"/>
      <c r="W1100" s="33"/>
      <c r="X1100" s="33"/>
      <c r="Y1100" s="33"/>
      <c r="Z1100" s="33"/>
      <c r="AA1100" s="33"/>
      <c r="AB1100" s="33"/>
      <c r="AC1100" s="33"/>
    </row>
    <row r="1101" ht="15.75" customHeight="1">
      <c r="A1101" s="27"/>
      <c r="B1101" s="16" t="str">
        <f t="shared" si="6"/>
        <v/>
      </c>
      <c r="C1101" s="28"/>
      <c r="D1101" s="89"/>
      <c r="E1101" s="90"/>
      <c r="F1101" s="20"/>
      <c r="G1101" s="37"/>
      <c r="H1101" s="37"/>
      <c r="I1101" s="32"/>
      <c r="J1101" s="32"/>
      <c r="K1101" s="53"/>
      <c r="L1101" s="32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</row>
    <row r="1102" ht="15.75" customHeight="1">
      <c r="A1102" s="27"/>
      <c r="B1102" s="16" t="str">
        <f t="shared" si="6"/>
        <v/>
      </c>
      <c r="C1102" s="28"/>
      <c r="D1102" s="89"/>
      <c r="E1102" s="90"/>
      <c r="F1102" s="20"/>
      <c r="G1102" s="37"/>
      <c r="H1102" s="37"/>
      <c r="I1102" s="32"/>
      <c r="J1102" s="32"/>
      <c r="K1102" s="53"/>
      <c r="L1102" s="32"/>
      <c r="M1102" s="33"/>
      <c r="N1102" s="33"/>
      <c r="O1102" s="33"/>
      <c r="P1102" s="33"/>
      <c r="Q1102" s="33"/>
      <c r="R1102" s="33"/>
      <c r="S1102" s="33"/>
      <c r="T1102" s="33"/>
      <c r="U1102" s="33"/>
      <c r="V1102" s="33"/>
      <c r="W1102" s="33"/>
      <c r="X1102" s="33"/>
      <c r="Y1102" s="33"/>
      <c r="Z1102" s="33"/>
      <c r="AA1102" s="33"/>
      <c r="AB1102" s="33"/>
      <c r="AC1102" s="33"/>
    </row>
    <row r="1103" ht="15.75" customHeight="1">
      <c r="A1103" s="27"/>
      <c r="B1103" s="16" t="str">
        <f t="shared" si="6"/>
        <v/>
      </c>
      <c r="C1103" s="28"/>
      <c r="D1103" s="89"/>
      <c r="E1103" s="90"/>
      <c r="F1103" s="20"/>
      <c r="G1103" s="37"/>
      <c r="H1103" s="37"/>
      <c r="I1103" s="32"/>
      <c r="J1103" s="32"/>
      <c r="K1103" s="53"/>
      <c r="L1103" s="32"/>
      <c r="M1103" s="33"/>
      <c r="N1103" s="33"/>
      <c r="O1103" s="33"/>
      <c r="P1103" s="33"/>
      <c r="Q1103" s="33"/>
      <c r="R1103" s="33"/>
      <c r="S1103" s="33"/>
      <c r="T1103" s="33"/>
      <c r="U1103" s="33"/>
      <c r="V1103" s="33"/>
      <c r="W1103" s="33"/>
      <c r="X1103" s="33"/>
      <c r="Y1103" s="33"/>
      <c r="Z1103" s="33"/>
      <c r="AA1103" s="33"/>
      <c r="AB1103" s="33"/>
      <c r="AC1103" s="33"/>
    </row>
    <row r="1104" ht="15.75" customHeight="1">
      <c r="A1104" s="27"/>
      <c r="B1104" s="16" t="str">
        <f t="shared" si="6"/>
        <v/>
      </c>
      <c r="C1104" s="28"/>
      <c r="D1104" s="89"/>
      <c r="E1104" s="90"/>
      <c r="F1104" s="20"/>
      <c r="G1104" s="37"/>
      <c r="H1104" s="37"/>
      <c r="I1104" s="32"/>
      <c r="J1104" s="32"/>
      <c r="K1104" s="53"/>
      <c r="L1104" s="32"/>
      <c r="M1104" s="33"/>
      <c r="N1104" s="33"/>
      <c r="O1104" s="33"/>
      <c r="P1104" s="33"/>
      <c r="Q1104" s="33"/>
      <c r="R1104" s="33"/>
      <c r="S1104" s="33"/>
      <c r="T1104" s="33"/>
      <c r="U1104" s="33"/>
      <c r="V1104" s="33"/>
      <c r="W1104" s="33"/>
      <c r="X1104" s="33"/>
      <c r="Y1104" s="33"/>
      <c r="Z1104" s="33"/>
      <c r="AA1104" s="33"/>
      <c r="AB1104" s="33"/>
      <c r="AC1104" s="33"/>
    </row>
    <row r="1105" ht="15.75" customHeight="1">
      <c r="A1105" s="27"/>
      <c r="B1105" s="16" t="str">
        <f t="shared" si="6"/>
        <v/>
      </c>
      <c r="C1105" s="28"/>
      <c r="D1105" s="89"/>
      <c r="E1105" s="90"/>
      <c r="F1105" s="20"/>
      <c r="G1105" s="37"/>
      <c r="H1105" s="37"/>
      <c r="I1105" s="32"/>
      <c r="J1105" s="32"/>
      <c r="K1105" s="53"/>
      <c r="L1105" s="32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</row>
    <row r="1106" ht="15.75" customHeight="1">
      <c r="A1106" s="27"/>
      <c r="B1106" s="16" t="str">
        <f t="shared" si="6"/>
        <v/>
      </c>
      <c r="C1106" s="28"/>
      <c r="D1106" s="89"/>
      <c r="E1106" s="90"/>
      <c r="F1106" s="20"/>
      <c r="G1106" s="37"/>
      <c r="H1106" s="37"/>
      <c r="I1106" s="32"/>
      <c r="J1106" s="32"/>
      <c r="K1106" s="53"/>
      <c r="L1106" s="32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</row>
    <row r="1107" ht="15.75" customHeight="1">
      <c r="A1107" s="27"/>
      <c r="B1107" s="16" t="str">
        <f t="shared" si="6"/>
        <v/>
      </c>
      <c r="C1107" s="28"/>
      <c r="D1107" s="89"/>
      <c r="E1107" s="90"/>
      <c r="F1107" s="20"/>
      <c r="G1107" s="37"/>
      <c r="H1107" s="37"/>
      <c r="I1107" s="32"/>
      <c r="J1107" s="32"/>
      <c r="K1107" s="53"/>
      <c r="L1107" s="32"/>
      <c r="M1107" s="33"/>
      <c r="N1107" s="33"/>
      <c r="O1107" s="33"/>
      <c r="P1107" s="33"/>
      <c r="Q1107" s="33"/>
      <c r="R1107" s="33"/>
      <c r="S1107" s="33"/>
      <c r="T1107" s="33"/>
      <c r="U1107" s="33"/>
      <c r="V1107" s="33"/>
      <c r="W1107" s="33"/>
      <c r="X1107" s="33"/>
      <c r="Y1107" s="33"/>
      <c r="Z1107" s="33"/>
      <c r="AA1107" s="33"/>
      <c r="AB1107" s="33"/>
      <c r="AC1107" s="33"/>
    </row>
    <row r="1108" ht="15.75" customHeight="1">
      <c r="A1108" s="27"/>
      <c r="B1108" s="16" t="str">
        <f t="shared" si="6"/>
        <v/>
      </c>
      <c r="C1108" s="28"/>
      <c r="D1108" s="89"/>
      <c r="E1108" s="90"/>
      <c r="F1108" s="20"/>
      <c r="G1108" s="37"/>
      <c r="H1108" s="37"/>
      <c r="I1108" s="32"/>
      <c r="J1108" s="32"/>
      <c r="K1108" s="53"/>
      <c r="L1108" s="32"/>
      <c r="M1108" s="33"/>
      <c r="N1108" s="33"/>
      <c r="O1108" s="33"/>
      <c r="P1108" s="33"/>
      <c r="Q1108" s="33"/>
      <c r="R1108" s="33"/>
      <c r="S1108" s="33"/>
      <c r="T1108" s="33"/>
      <c r="U1108" s="33"/>
      <c r="V1108" s="33"/>
      <c r="W1108" s="33"/>
      <c r="X1108" s="33"/>
      <c r="Y1108" s="33"/>
      <c r="Z1108" s="33"/>
      <c r="AA1108" s="33"/>
      <c r="AB1108" s="33"/>
      <c r="AC1108" s="33"/>
    </row>
    <row r="1109" ht="15.75" customHeight="1">
      <c r="A1109" s="27"/>
      <c r="B1109" s="16" t="str">
        <f t="shared" si="6"/>
        <v/>
      </c>
      <c r="C1109" s="28"/>
      <c r="D1109" s="89"/>
      <c r="E1109" s="90"/>
      <c r="F1109" s="20"/>
      <c r="G1109" s="37"/>
      <c r="H1109" s="37"/>
      <c r="I1109" s="32"/>
      <c r="J1109" s="32"/>
      <c r="K1109" s="53"/>
      <c r="L1109" s="32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</row>
    <row r="1110" ht="15.75" customHeight="1">
      <c r="A1110" s="27"/>
      <c r="B1110" s="16" t="str">
        <f t="shared" si="6"/>
        <v/>
      </c>
      <c r="C1110" s="28"/>
      <c r="D1110" s="89"/>
      <c r="E1110" s="90"/>
      <c r="F1110" s="20"/>
      <c r="G1110" s="37"/>
      <c r="H1110" s="37"/>
      <c r="I1110" s="32"/>
      <c r="J1110" s="32"/>
      <c r="K1110" s="53"/>
      <c r="L1110" s="32"/>
      <c r="M1110" s="33"/>
      <c r="N1110" s="33"/>
      <c r="O1110" s="33"/>
      <c r="P1110" s="33"/>
      <c r="Q1110" s="33"/>
      <c r="R1110" s="33"/>
      <c r="S1110" s="33"/>
      <c r="T1110" s="33"/>
      <c r="U1110" s="33"/>
      <c r="V1110" s="33"/>
      <c r="W1110" s="33"/>
      <c r="X1110" s="33"/>
      <c r="Y1110" s="33"/>
      <c r="Z1110" s="33"/>
      <c r="AA1110" s="33"/>
      <c r="AB1110" s="33"/>
      <c r="AC1110" s="33"/>
    </row>
    <row r="1111" ht="15.75" customHeight="1">
      <c r="A1111" s="27"/>
      <c r="B1111" s="16" t="str">
        <f t="shared" si="6"/>
        <v/>
      </c>
      <c r="C1111" s="28"/>
      <c r="D1111" s="89"/>
      <c r="E1111" s="90"/>
      <c r="F1111" s="20"/>
      <c r="G1111" s="37"/>
      <c r="H1111" s="37"/>
      <c r="I1111" s="32"/>
      <c r="J1111" s="32"/>
      <c r="K1111" s="53"/>
      <c r="L1111" s="32"/>
      <c r="M1111" s="33"/>
      <c r="N1111" s="33"/>
      <c r="O1111" s="33"/>
      <c r="P1111" s="33"/>
      <c r="Q1111" s="33"/>
      <c r="R1111" s="33"/>
      <c r="S1111" s="33"/>
      <c r="T1111" s="33"/>
      <c r="U1111" s="33"/>
      <c r="V1111" s="33"/>
      <c r="W1111" s="33"/>
      <c r="X1111" s="33"/>
      <c r="Y1111" s="33"/>
      <c r="Z1111" s="33"/>
      <c r="AA1111" s="33"/>
      <c r="AB1111" s="33"/>
      <c r="AC1111" s="33"/>
    </row>
    <row r="1112" ht="15.75" customHeight="1">
      <c r="A1112" s="27"/>
      <c r="B1112" s="16" t="str">
        <f t="shared" si="6"/>
        <v/>
      </c>
      <c r="C1112" s="28"/>
      <c r="D1112" s="89"/>
      <c r="E1112" s="90"/>
      <c r="F1112" s="20"/>
      <c r="G1112" s="37"/>
      <c r="H1112" s="37"/>
      <c r="I1112" s="32"/>
      <c r="J1112" s="32"/>
      <c r="K1112" s="53"/>
      <c r="L1112" s="32"/>
      <c r="M1112" s="33"/>
      <c r="N1112" s="33"/>
      <c r="O1112" s="33"/>
      <c r="P1112" s="33"/>
      <c r="Q1112" s="33"/>
      <c r="R1112" s="33"/>
      <c r="S1112" s="33"/>
      <c r="T1112" s="33"/>
      <c r="U1112" s="33"/>
      <c r="V1112" s="33"/>
      <c r="W1112" s="33"/>
      <c r="X1112" s="33"/>
      <c r="Y1112" s="33"/>
      <c r="Z1112" s="33"/>
      <c r="AA1112" s="33"/>
      <c r="AB1112" s="33"/>
      <c r="AC1112" s="33"/>
    </row>
    <row r="1113" ht="15.75" customHeight="1">
      <c r="A1113" s="27"/>
      <c r="B1113" s="16" t="str">
        <f t="shared" si="6"/>
        <v/>
      </c>
      <c r="C1113" s="28"/>
      <c r="D1113" s="89"/>
      <c r="E1113" s="90"/>
      <c r="F1113" s="20"/>
      <c r="G1113" s="37"/>
      <c r="H1113" s="37"/>
      <c r="I1113" s="32"/>
      <c r="J1113" s="32"/>
      <c r="K1113" s="53"/>
      <c r="L1113" s="32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</row>
    <row r="1114" ht="15.75" customHeight="1">
      <c r="A1114" s="27"/>
      <c r="B1114" s="16" t="str">
        <f t="shared" si="6"/>
        <v/>
      </c>
      <c r="C1114" s="28"/>
      <c r="D1114" s="89"/>
      <c r="E1114" s="90"/>
      <c r="F1114" s="20"/>
      <c r="G1114" s="37"/>
      <c r="H1114" s="37"/>
      <c r="I1114" s="32"/>
      <c r="J1114" s="32"/>
      <c r="K1114" s="53"/>
      <c r="L1114" s="32"/>
      <c r="M1114" s="33"/>
      <c r="N1114" s="33"/>
      <c r="O1114" s="33"/>
      <c r="P1114" s="33"/>
      <c r="Q1114" s="33"/>
      <c r="R1114" s="33"/>
      <c r="S1114" s="33"/>
      <c r="T1114" s="33"/>
      <c r="U1114" s="33"/>
      <c r="V1114" s="33"/>
      <c r="W1114" s="33"/>
      <c r="X1114" s="33"/>
      <c r="Y1114" s="33"/>
      <c r="Z1114" s="33"/>
      <c r="AA1114" s="33"/>
      <c r="AB1114" s="33"/>
      <c r="AC1114" s="33"/>
    </row>
    <row r="1115" ht="15.75" customHeight="1">
      <c r="A1115" s="27"/>
      <c r="B1115" s="16" t="str">
        <f t="shared" si="6"/>
        <v/>
      </c>
      <c r="C1115" s="28"/>
      <c r="D1115" s="89"/>
      <c r="E1115" s="90"/>
      <c r="F1115" s="20"/>
      <c r="G1115" s="37"/>
      <c r="H1115" s="37"/>
      <c r="I1115" s="32"/>
      <c r="J1115" s="32"/>
      <c r="K1115" s="53"/>
      <c r="L1115" s="32"/>
      <c r="M1115" s="33"/>
      <c r="N1115" s="33"/>
      <c r="O1115" s="33"/>
      <c r="P1115" s="33"/>
      <c r="Q1115" s="33"/>
      <c r="R1115" s="33"/>
      <c r="S1115" s="33"/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</row>
    <row r="1116" ht="15.75" customHeight="1">
      <c r="A1116" s="27"/>
      <c r="B1116" s="16" t="str">
        <f t="shared" si="6"/>
        <v/>
      </c>
      <c r="C1116" s="28"/>
      <c r="D1116" s="89"/>
      <c r="E1116" s="90"/>
      <c r="F1116" s="20"/>
      <c r="G1116" s="37"/>
      <c r="H1116" s="37"/>
      <c r="I1116" s="32"/>
      <c r="J1116" s="32"/>
      <c r="K1116" s="53"/>
      <c r="L1116" s="32"/>
      <c r="M1116" s="33"/>
      <c r="N1116" s="33"/>
      <c r="O1116" s="33"/>
      <c r="P1116" s="33"/>
      <c r="Q1116" s="33"/>
      <c r="R1116" s="33"/>
      <c r="S1116" s="33"/>
      <c r="T1116" s="33"/>
      <c r="U1116" s="33"/>
      <c r="V1116" s="33"/>
      <c r="W1116" s="33"/>
      <c r="X1116" s="33"/>
      <c r="Y1116" s="33"/>
      <c r="Z1116" s="33"/>
      <c r="AA1116" s="33"/>
      <c r="AB1116" s="33"/>
      <c r="AC1116" s="33"/>
    </row>
    <row r="1117" ht="15.75" customHeight="1">
      <c r="A1117" s="27"/>
      <c r="B1117" s="16" t="str">
        <f t="shared" si="6"/>
        <v/>
      </c>
      <c r="C1117" s="28"/>
      <c r="D1117" s="89"/>
      <c r="E1117" s="90"/>
      <c r="F1117" s="20"/>
      <c r="G1117" s="37"/>
      <c r="H1117" s="37"/>
      <c r="I1117" s="32"/>
      <c r="J1117" s="32"/>
      <c r="K1117" s="53"/>
      <c r="L1117" s="32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</row>
    <row r="1118" ht="15.75" customHeight="1">
      <c r="A1118" s="27"/>
      <c r="B1118" s="16" t="str">
        <f t="shared" si="6"/>
        <v/>
      </c>
      <c r="C1118" s="28"/>
      <c r="D1118" s="89"/>
      <c r="E1118" s="90"/>
      <c r="F1118" s="20"/>
      <c r="G1118" s="37"/>
      <c r="H1118" s="37"/>
      <c r="I1118" s="32"/>
      <c r="J1118" s="32"/>
      <c r="K1118" s="53"/>
      <c r="L1118" s="32"/>
      <c r="M1118" s="33"/>
      <c r="N1118" s="33"/>
      <c r="O1118" s="33"/>
      <c r="P1118" s="33"/>
      <c r="Q1118" s="33"/>
      <c r="R1118" s="33"/>
      <c r="S1118" s="33"/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</row>
    <row r="1119" ht="15.75" customHeight="1">
      <c r="A1119" s="27"/>
      <c r="B1119" s="16" t="str">
        <f t="shared" si="6"/>
        <v/>
      </c>
      <c r="C1119" s="28"/>
      <c r="D1119" s="89"/>
      <c r="E1119" s="90"/>
      <c r="F1119" s="20"/>
      <c r="G1119" s="37"/>
      <c r="H1119" s="37"/>
      <c r="I1119" s="32"/>
      <c r="J1119" s="32"/>
      <c r="K1119" s="53"/>
      <c r="L1119" s="32"/>
      <c r="M1119" s="33"/>
      <c r="N1119" s="33"/>
      <c r="O1119" s="33"/>
      <c r="P1119" s="33"/>
      <c r="Q1119" s="33"/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</row>
    <row r="1120" ht="15.75" customHeight="1">
      <c r="A1120" s="27"/>
      <c r="B1120" s="16" t="str">
        <f t="shared" si="6"/>
        <v/>
      </c>
      <c r="C1120" s="28"/>
      <c r="D1120" s="89"/>
      <c r="E1120" s="90"/>
      <c r="F1120" s="20"/>
      <c r="G1120" s="37"/>
      <c r="H1120" s="37"/>
      <c r="I1120" s="32"/>
      <c r="J1120" s="32"/>
      <c r="K1120" s="53"/>
      <c r="L1120" s="32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</row>
    <row r="1121" ht="15.75" customHeight="1">
      <c r="A1121" s="27"/>
      <c r="B1121" s="16" t="str">
        <f t="shared" si="6"/>
        <v/>
      </c>
      <c r="C1121" s="28"/>
      <c r="D1121" s="89"/>
      <c r="E1121" s="90"/>
      <c r="F1121" s="20"/>
      <c r="G1121" s="37"/>
      <c r="H1121" s="37"/>
      <c r="I1121" s="32"/>
      <c r="J1121" s="32"/>
      <c r="K1121" s="53"/>
      <c r="L1121" s="32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</row>
    <row r="1122" ht="15.75" customHeight="1">
      <c r="A1122" s="27"/>
      <c r="B1122" s="16" t="str">
        <f t="shared" si="6"/>
        <v/>
      </c>
      <c r="C1122" s="28"/>
      <c r="D1122" s="89"/>
      <c r="E1122" s="90"/>
      <c r="F1122" s="20"/>
      <c r="G1122" s="37"/>
      <c r="H1122" s="37"/>
      <c r="I1122" s="32"/>
      <c r="J1122" s="32"/>
      <c r="K1122" s="53"/>
      <c r="L1122" s="32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</row>
    <row r="1123" ht="15.75" customHeight="1">
      <c r="A1123" s="27"/>
      <c r="B1123" s="16" t="str">
        <f t="shared" si="6"/>
        <v/>
      </c>
      <c r="C1123" s="28"/>
      <c r="D1123" s="89"/>
      <c r="E1123" s="90"/>
      <c r="F1123" s="20"/>
      <c r="G1123" s="37"/>
      <c r="H1123" s="37"/>
      <c r="I1123" s="32"/>
      <c r="J1123" s="32"/>
      <c r="K1123" s="53"/>
      <c r="L1123" s="32"/>
      <c r="M1123" s="33"/>
      <c r="N1123" s="33"/>
      <c r="O1123" s="33"/>
      <c r="P1123" s="33"/>
      <c r="Q1123" s="33"/>
      <c r="R1123" s="33"/>
      <c r="S1123" s="33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</row>
    <row r="1124" ht="15.75" customHeight="1">
      <c r="A1124" s="27"/>
      <c r="B1124" s="16" t="str">
        <f t="shared" si="6"/>
        <v/>
      </c>
      <c r="C1124" s="28"/>
      <c r="D1124" s="89"/>
      <c r="E1124" s="90"/>
      <c r="F1124" s="20"/>
      <c r="G1124" s="37"/>
      <c r="H1124" s="37"/>
      <c r="I1124" s="32"/>
      <c r="J1124" s="32"/>
      <c r="K1124" s="53"/>
      <c r="L1124" s="32"/>
      <c r="M1124" s="33"/>
      <c r="N1124" s="33"/>
      <c r="O1124" s="33"/>
      <c r="P1124" s="33"/>
      <c r="Q1124" s="33"/>
      <c r="R1124" s="33"/>
      <c r="S1124" s="33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</row>
    <row r="1125" ht="15.75" customHeight="1">
      <c r="A1125" s="27"/>
      <c r="B1125" s="16" t="str">
        <f t="shared" si="6"/>
        <v/>
      </c>
      <c r="C1125" s="28"/>
      <c r="D1125" s="89"/>
      <c r="E1125" s="90"/>
      <c r="F1125" s="20"/>
      <c r="G1125" s="37"/>
      <c r="H1125" s="37"/>
      <c r="I1125" s="32"/>
      <c r="J1125" s="32"/>
      <c r="K1125" s="53"/>
      <c r="L1125" s="32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</row>
    <row r="1126" ht="15.75" customHeight="1">
      <c r="A1126" s="27"/>
      <c r="B1126" s="16" t="str">
        <f t="shared" si="6"/>
        <v/>
      </c>
      <c r="C1126" s="28"/>
      <c r="D1126" s="89"/>
      <c r="E1126" s="90"/>
      <c r="F1126" s="20"/>
      <c r="G1126" s="37"/>
      <c r="H1126" s="37"/>
      <c r="I1126" s="32"/>
      <c r="J1126" s="32"/>
      <c r="K1126" s="53"/>
      <c r="L1126" s="32"/>
      <c r="M1126" s="33"/>
      <c r="N1126" s="33"/>
      <c r="O1126" s="33"/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</row>
    <row r="1127" ht="15.75" customHeight="1">
      <c r="A1127" s="27"/>
      <c r="B1127" s="16" t="str">
        <f t="shared" si="6"/>
        <v/>
      </c>
      <c r="C1127" s="28"/>
      <c r="D1127" s="89"/>
      <c r="E1127" s="90"/>
      <c r="F1127" s="20"/>
      <c r="G1127" s="37"/>
      <c r="H1127" s="37"/>
      <c r="I1127" s="32"/>
      <c r="J1127" s="32"/>
      <c r="K1127" s="53"/>
      <c r="L1127" s="32"/>
      <c r="M1127" s="33"/>
      <c r="N1127" s="33"/>
      <c r="O1127" s="33"/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</row>
    <row r="1128" ht="15.75" customHeight="1">
      <c r="A1128" s="27"/>
      <c r="B1128" s="16" t="str">
        <f t="shared" si="6"/>
        <v/>
      </c>
      <c r="C1128" s="28"/>
      <c r="D1128" s="89"/>
      <c r="E1128" s="90"/>
      <c r="F1128" s="20"/>
      <c r="G1128" s="37"/>
      <c r="H1128" s="37"/>
      <c r="I1128" s="32"/>
      <c r="J1128" s="32"/>
      <c r="K1128" s="53"/>
      <c r="L1128" s="32"/>
      <c r="M1128" s="33"/>
      <c r="N1128" s="33"/>
      <c r="O1128" s="33"/>
      <c r="P1128" s="33"/>
      <c r="Q1128" s="33"/>
      <c r="R1128" s="33"/>
      <c r="S1128" s="33"/>
      <c r="T1128" s="33"/>
      <c r="U1128" s="33"/>
      <c r="V1128" s="33"/>
      <c r="W1128" s="33"/>
      <c r="X1128" s="33"/>
      <c r="Y1128" s="33"/>
      <c r="Z1128" s="33"/>
      <c r="AA1128" s="33"/>
      <c r="AB1128" s="33"/>
      <c r="AC1128" s="33"/>
    </row>
    <row r="1129" ht="15.75" customHeight="1">
      <c r="A1129" s="27"/>
      <c r="B1129" s="16" t="str">
        <f t="shared" si="6"/>
        <v/>
      </c>
      <c r="C1129" s="28"/>
      <c r="D1129" s="89"/>
      <c r="E1129" s="90"/>
      <c r="F1129" s="20"/>
      <c r="G1129" s="37"/>
      <c r="H1129" s="37"/>
      <c r="I1129" s="32"/>
      <c r="J1129" s="32"/>
      <c r="K1129" s="53"/>
      <c r="L1129" s="32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</row>
    <row r="1130" ht="15.75" customHeight="1">
      <c r="A1130" s="27"/>
      <c r="B1130" s="16" t="str">
        <f t="shared" si="6"/>
        <v/>
      </c>
      <c r="C1130" s="28"/>
      <c r="D1130" s="89"/>
      <c r="E1130" s="90"/>
      <c r="F1130" s="20"/>
      <c r="G1130" s="37"/>
      <c r="H1130" s="37"/>
      <c r="I1130" s="32"/>
      <c r="J1130" s="32"/>
      <c r="K1130" s="53"/>
      <c r="L1130" s="32"/>
      <c r="M1130" s="33"/>
      <c r="N1130" s="33"/>
      <c r="O1130" s="33"/>
      <c r="P1130" s="33"/>
      <c r="Q1130" s="33"/>
      <c r="R1130" s="33"/>
      <c r="S1130" s="33"/>
      <c r="T1130" s="33"/>
      <c r="U1130" s="33"/>
      <c r="V1130" s="33"/>
      <c r="W1130" s="33"/>
      <c r="X1130" s="33"/>
      <c r="Y1130" s="33"/>
      <c r="Z1130" s="33"/>
      <c r="AA1130" s="33"/>
      <c r="AB1130" s="33"/>
      <c r="AC1130" s="33"/>
    </row>
    <row r="1131" ht="15.75" customHeight="1">
      <c r="A1131" s="27"/>
      <c r="B1131" s="16" t="str">
        <f t="shared" si="6"/>
        <v/>
      </c>
      <c r="C1131" s="28"/>
      <c r="D1131" s="89"/>
      <c r="E1131" s="90"/>
      <c r="F1131" s="20"/>
      <c r="G1131" s="37"/>
      <c r="H1131" s="37"/>
      <c r="I1131" s="32"/>
      <c r="J1131" s="32"/>
      <c r="K1131" s="53"/>
      <c r="L1131" s="32"/>
      <c r="M1131" s="33"/>
      <c r="N1131" s="33"/>
      <c r="O1131" s="33"/>
      <c r="P1131" s="33"/>
      <c r="Q1131" s="33"/>
      <c r="R1131" s="33"/>
      <c r="S1131" s="33"/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</row>
    <row r="1132" ht="15.75" customHeight="1">
      <c r="A1132" s="27"/>
      <c r="B1132" s="16" t="str">
        <f t="shared" si="6"/>
        <v/>
      </c>
      <c r="C1132" s="28"/>
      <c r="D1132" s="89"/>
      <c r="E1132" s="90"/>
      <c r="F1132" s="20"/>
      <c r="G1132" s="37"/>
      <c r="H1132" s="37"/>
      <c r="I1132" s="32"/>
      <c r="J1132" s="32"/>
      <c r="K1132" s="53"/>
      <c r="L1132" s="32"/>
      <c r="M1132" s="33"/>
      <c r="N1132" s="33"/>
      <c r="O1132" s="33"/>
      <c r="P1132" s="33"/>
      <c r="Q1132" s="33"/>
      <c r="R1132" s="33"/>
      <c r="S1132" s="33"/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</row>
    <row r="1133" ht="15.75" customHeight="1">
      <c r="A1133" s="27"/>
      <c r="B1133" s="16" t="str">
        <f t="shared" si="6"/>
        <v/>
      </c>
      <c r="C1133" s="28"/>
      <c r="D1133" s="89"/>
      <c r="E1133" s="90"/>
      <c r="F1133" s="20"/>
      <c r="G1133" s="37"/>
      <c r="H1133" s="37"/>
      <c r="I1133" s="32"/>
      <c r="J1133" s="32"/>
      <c r="K1133" s="53"/>
      <c r="L1133" s="32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</row>
    <row r="1134" ht="15.75" customHeight="1">
      <c r="A1134" s="27"/>
      <c r="B1134" s="16" t="str">
        <f t="shared" si="6"/>
        <v/>
      </c>
      <c r="C1134" s="28"/>
      <c r="D1134" s="89"/>
      <c r="E1134" s="90"/>
      <c r="F1134" s="20"/>
      <c r="G1134" s="37"/>
      <c r="H1134" s="37"/>
      <c r="I1134" s="32"/>
      <c r="J1134" s="32"/>
      <c r="K1134" s="53"/>
      <c r="L1134" s="32"/>
      <c r="M1134" s="33"/>
      <c r="N1134" s="33"/>
      <c r="O1134" s="33"/>
      <c r="P1134" s="33"/>
      <c r="Q1134" s="33"/>
      <c r="R1134" s="33"/>
      <c r="S1134" s="33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</row>
    <row r="1135" ht="15.75" customHeight="1">
      <c r="A1135" s="27"/>
      <c r="B1135" s="16" t="str">
        <f t="shared" si="6"/>
        <v/>
      </c>
      <c r="C1135" s="28"/>
      <c r="D1135" s="89"/>
      <c r="E1135" s="90"/>
      <c r="F1135" s="20"/>
      <c r="G1135" s="37"/>
      <c r="H1135" s="37"/>
      <c r="I1135" s="32"/>
      <c r="J1135" s="32"/>
      <c r="K1135" s="53"/>
      <c r="L1135" s="32"/>
      <c r="M1135" s="33"/>
      <c r="N1135" s="33"/>
      <c r="O1135" s="33"/>
      <c r="P1135" s="33"/>
      <c r="Q1135" s="33"/>
      <c r="R1135" s="33"/>
      <c r="S1135" s="33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</row>
    <row r="1136" ht="15.75" customHeight="1">
      <c r="A1136" s="27"/>
      <c r="B1136" s="16" t="str">
        <f t="shared" si="6"/>
        <v/>
      </c>
      <c r="C1136" s="28"/>
      <c r="D1136" s="89"/>
      <c r="E1136" s="90"/>
      <c r="F1136" s="20"/>
      <c r="G1136" s="37"/>
      <c r="H1136" s="37"/>
      <c r="I1136" s="32"/>
      <c r="J1136" s="32"/>
      <c r="K1136" s="53"/>
      <c r="L1136" s="32"/>
      <c r="M1136" s="33"/>
      <c r="N1136" s="33"/>
      <c r="O1136" s="33"/>
      <c r="P1136" s="33"/>
      <c r="Q1136" s="33"/>
      <c r="R1136" s="33"/>
      <c r="S1136" s="33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</row>
    <row r="1137" ht="15.75" customHeight="1">
      <c r="A1137" s="27"/>
      <c r="B1137" s="16" t="str">
        <f t="shared" si="6"/>
        <v/>
      </c>
      <c r="C1137" s="28"/>
      <c r="D1137" s="89"/>
      <c r="E1137" s="90"/>
      <c r="F1137" s="20"/>
      <c r="G1137" s="37"/>
      <c r="H1137" s="37"/>
      <c r="I1137" s="32"/>
      <c r="J1137" s="32"/>
      <c r="K1137" s="53"/>
      <c r="L1137" s="32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</row>
    <row r="1138" ht="15.75" customHeight="1">
      <c r="A1138" s="27"/>
      <c r="B1138" s="16" t="str">
        <f t="shared" si="6"/>
        <v/>
      </c>
      <c r="C1138" s="28"/>
      <c r="D1138" s="89"/>
      <c r="E1138" s="90"/>
      <c r="F1138" s="20"/>
      <c r="G1138" s="37"/>
      <c r="H1138" s="37"/>
      <c r="I1138" s="32"/>
      <c r="J1138" s="32"/>
      <c r="K1138" s="53"/>
      <c r="L1138" s="32"/>
      <c r="M1138" s="33"/>
      <c r="N1138" s="33"/>
      <c r="O1138" s="33"/>
      <c r="P1138" s="33"/>
      <c r="Q1138" s="33"/>
      <c r="R1138" s="33"/>
      <c r="S1138" s="33"/>
      <c r="T1138" s="33"/>
      <c r="U1138" s="33"/>
      <c r="V1138" s="33"/>
      <c r="W1138" s="33"/>
      <c r="X1138" s="33"/>
      <c r="Y1138" s="33"/>
      <c r="Z1138" s="33"/>
      <c r="AA1138" s="33"/>
      <c r="AB1138" s="33"/>
      <c r="AC1138" s="33"/>
    </row>
    <row r="1139" ht="15.75" customHeight="1">
      <c r="A1139" s="27"/>
      <c r="B1139" s="16" t="str">
        <f t="shared" si="6"/>
        <v/>
      </c>
      <c r="C1139" s="28"/>
      <c r="D1139" s="89"/>
      <c r="E1139" s="90"/>
      <c r="F1139" s="20"/>
      <c r="G1139" s="37"/>
      <c r="H1139" s="37"/>
      <c r="I1139" s="32"/>
      <c r="J1139" s="32"/>
      <c r="K1139" s="53"/>
      <c r="L1139" s="32"/>
      <c r="M1139" s="33"/>
      <c r="N1139" s="33"/>
      <c r="O1139" s="33"/>
      <c r="P1139" s="33"/>
      <c r="Q1139" s="33"/>
      <c r="R1139" s="33"/>
      <c r="S1139" s="33"/>
      <c r="T1139" s="33"/>
      <c r="U1139" s="33"/>
      <c r="V1139" s="33"/>
      <c r="W1139" s="33"/>
      <c r="X1139" s="33"/>
      <c r="Y1139" s="33"/>
      <c r="Z1139" s="33"/>
      <c r="AA1139" s="33"/>
      <c r="AB1139" s="33"/>
      <c r="AC1139" s="33"/>
    </row>
    <row r="1140" ht="15.75" customHeight="1">
      <c r="A1140" s="27"/>
      <c r="B1140" s="16" t="str">
        <f t="shared" si="6"/>
        <v/>
      </c>
      <c r="C1140" s="28"/>
      <c r="D1140" s="89"/>
      <c r="E1140" s="90"/>
      <c r="F1140" s="20"/>
      <c r="G1140" s="37"/>
      <c r="H1140" s="37"/>
      <c r="I1140" s="32"/>
      <c r="J1140" s="32"/>
      <c r="K1140" s="53"/>
      <c r="L1140" s="32"/>
      <c r="M1140" s="33"/>
      <c r="N1140" s="33"/>
      <c r="O1140" s="33"/>
      <c r="P1140" s="33"/>
      <c r="Q1140" s="33"/>
      <c r="R1140" s="33"/>
      <c r="S1140" s="33"/>
      <c r="T1140" s="33"/>
      <c r="U1140" s="33"/>
      <c r="V1140" s="33"/>
      <c r="W1140" s="33"/>
      <c r="X1140" s="33"/>
      <c r="Y1140" s="33"/>
      <c r="Z1140" s="33"/>
      <c r="AA1140" s="33"/>
      <c r="AB1140" s="33"/>
      <c r="AC1140" s="33"/>
    </row>
    <row r="1141" ht="15.75" customHeight="1">
      <c r="A1141" s="27"/>
      <c r="B1141" s="16" t="str">
        <f t="shared" si="6"/>
        <v/>
      </c>
      <c r="C1141" s="28"/>
      <c r="D1141" s="89"/>
      <c r="E1141" s="90"/>
      <c r="F1141" s="20"/>
      <c r="G1141" s="37"/>
      <c r="H1141" s="37"/>
      <c r="I1141" s="32"/>
      <c r="J1141" s="32"/>
      <c r="K1141" s="53"/>
      <c r="L1141" s="32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</row>
    <row r="1142" ht="15.75" customHeight="1">
      <c r="A1142" s="27"/>
      <c r="B1142" s="16" t="str">
        <f t="shared" si="6"/>
        <v/>
      </c>
      <c r="C1142" s="28"/>
      <c r="D1142" s="89"/>
      <c r="E1142" s="90"/>
      <c r="F1142" s="20"/>
      <c r="G1142" s="37"/>
      <c r="H1142" s="37"/>
      <c r="I1142" s="32"/>
      <c r="J1142" s="32"/>
      <c r="K1142" s="53"/>
      <c r="L1142" s="32"/>
      <c r="M1142" s="33"/>
      <c r="N1142" s="33"/>
      <c r="O1142" s="33"/>
      <c r="P1142" s="33"/>
      <c r="Q1142" s="33"/>
      <c r="R1142" s="33"/>
      <c r="S1142" s="33"/>
      <c r="T1142" s="33"/>
      <c r="U1142" s="33"/>
      <c r="V1142" s="33"/>
      <c r="W1142" s="33"/>
      <c r="X1142" s="33"/>
      <c r="Y1142" s="33"/>
      <c r="Z1142" s="33"/>
      <c r="AA1142" s="33"/>
      <c r="AB1142" s="33"/>
      <c r="AC1142" s="33"/>
    </row>
    <row r="1143" ht="15.75" customHeight="1">
      <c r="A1143" s="27"/>
      <c r="B1143" s="16" t="str">
        <f t="shared" si="6"/>
        <v/>
      </c>
      <c r="C1143" s="28"/>
      <c r="D1143" s="89"/>
      <c r="E1143" s="90"/>
      <c r="F1143" s="20"/>
      <c r="G1143" s="37"/>
      <c r="H1143" s="37"/>
      <c r="I1143" s="32"/>
      <c r="J1143" s="32"/>
      <c r="K1143" s="53"/>
      <c r="L1143" s="32"/>
      <c r="M1143" s="33"/>
      <c r="N1143" s="33"/>
      <c r="O1143" s="33"/>
      <c r="P1143" s="33"/>
      <c r="Q1143" s="33"/>
      <c r="R1143" s="33"/>
      <c r="S1143" s="33"/>
      <c r="T1143" s="33"/>
      <c r="U1143" s="33"/>
      <c r="V1143" s="33"/>
      <c r="W1143" s="33"/>
      <c r="X1143" s="33"/>
      <c r="Y1143" s="33"/>
      <c r="Z1143" s="33"/>
      <c r="AA1143" s="33"/>
      <c r="AB1143" s="33"/>
      <c r="AC1143" s="33"/>
    </row>
    <row r="1144" ht="15.75" customHeight="1">
      <c r="A1144" s="27"/>
      <c r="B1144" s="16" t="str">
        <f t="shared" si="6"/>
        <v/>
      </c>
      <c r="C1144" s="28"/>
      <c r="D1144" s="89"/>
      <c r="E1144" s="90"/>
      <c r="F1144" s="20"/>
      <c r="G1144" s="37"/>
      <c r="H1144" s="37"/>
      <c r="I1144" s="32"/>
      <c r="J1144" s="32"/>
      <c r="K1144" s="53"/>
      <c r="L1144" s="32"/>
      <c r="M1144" s="33"/>
      <c r="N1144" s="33"/>
      <c r="O1144" s="33"/>
      <c r="P1144" s="33"/>
      <c r="Q1144" s="33"/>
      <c r="R1144" s="33"/>
      <c r="S1144" s="33"/>
      <c r="T1144" s="33"/>
      <c r="U1144" s="33"/>
      <c r="V1144" s="33"/>
      <c r="W1144" s="33"/>
      <c r="X1144" s="33"/>
      <c r="Y1144" s="33"/>
      <c r="Z1144" s="33"/>
      <c r="AA1144" s="33"/>
      <c r="AB1144" s="33"/>
      <c r="AC1144" s="33"/>
    </row>
    <row r="1145" ht="15.75" customHeight="1">
      <c r="A1145" s="27"/>
      <c r="B1145" s="16" t="str">
        <f t="shared" si="6"/>
        <v/>
      </c>
      <c r="C1145" s="28"/>
      <c r="D1145" s="89"/>
      <c r="E1145" s="90"/>
      <c r="F1145" s="20"/>
      <c r="G1145" s="37"/>
      <c r="H1145" s="37"/>
      <c r="I1145" s="32"/>
      <c r="J1145" s="32"/>
      <c r="K1145" s="53"/>
      <c r="L1145" s="32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</row>
    <row r="1146" ht="15.75" customHeight="1">
      <c r="A1146" s="27"/>
      <c r="B1146" s="16" t="str">
        <f t="shared" si="6"/>
        <v/>
      </c>
      <c r="C1146" s="28"/>
      <c r="D1146" s="89"/>
      <c r="E1146" s="90"/>
      <c r="F1146" s="20"/>
      <c r="G1146" s="37"/>
      <c r="H1146" s="37"/>
      <c r="I1146" s="32"/>
      <c r="J1146" s="32"/>
      <c r="K1146" s="53"/>
      <c r="L1146" s="32"/>
      <c r="M1146" s="33"/>
      <c r="N1146" s="33"/>
      <c r="O1146" s="33"/>
      <c r="P1146" s="33"/>
      <c r="Q1146" s="33"/>
      <c r="R1146" s="33"/>
      <c r="S1146" s="33"/>
      <c r="T1146" s="33"/>
      <c r="U1146" s="33"/>
      <c r="V1146" s="33"/>
      <c r="W1146" s="33"/>
      <c r="X1146" s="33"/>
      <c r="Y1146" s="33"/>
      <c r="Z1146" s="33"/>
      <c r="AA1146" s="33"/>
      <c r="AB1146" s="33"/>
      <c r="AC1146" s="33"/>
    </row>
    <row r="1147" ht="15.75" customHeight="1">
      <c r="A1147" s="27"/>
      <c r="B1147" s="16" t="str">
        <f t="shared" si="6"/>
        <v/>
      </c>
      <c r="C1147" s="28"/>
      <c r="D1147" s="89"/>
      <c r="E1147" s="90"/>
      <c r="F1147" s="20"/>
      <c r="G1147" s="37"/>
      <c r="H1147" s="37"/>
      <c r="I1147" s="32"/>
      <c r="J1147" s="32"/>
      <c r="K1147" s="53"/>
      <c r="L1147" s="32"/>
      <c r="M1147" s="33"/>
      <c r="N1147" s="33"/>
      <c r="O1147" s="33"/>
      <c r="P1147" s="33"/>
      <c r="Q1147" s="33"/>
      <c r="R1147" s="33"/>
      <c r="S1147" s="33"/>
      <c r="T1147" s="33"/>
      <c r="U1147" s="33"/>
      <c r="V1147" s="33"/>
      <c r="W1147" s="33"/>
      <c r="X1147" s="33"/>
      <c r="Y1147" s="33"/>
      <c r="Z1147" s="33"/>
      <c r="AA1147" s="33"/>
      <c r="AB1147" s="33"/>
      <c r="AC1147" s="33"/>
    </row>
    <row r="1148" ht="15.75" customHeight="1">
      <c r="A1148" s="27"/>
      <c r="B1148" s="16" t="str">
        <f t="shared" si="6"/>
        <v/>
      </c>
      <c r="C1148" s="28"/>
      <c r="D1148" s="89"/>
      <c r="E1148" s="90"/>
      <c r="F1148" s="20"/>
      <c r="G1148" s="37"/>
      <c r="H1148" s="37"/>
      <c r="I1148" s="32"/>
      <c r="J1148" s="32"/>
      <c r="K1148" s="53"/>
      <c r="L1148" s="32"/>
      <c r="M1148" s="33"/>
      <c r="N1148" s="33"/>
      <c r="O1148" s="33"/>
      <c r="P1148" s="33"/>
      <c r="Q1148" s="33"/>
      <c r="R1148" s="33"/>
      <c r="S1148" s="33"/>
      <c r="T1148" s="33"/>
      <c r="U1148" s="33"/>
      <c r="V1148" s="33"/>
      <c r="W1148" s="33"/>
      <c r="X1148" s="33"/>
      <c r="Y1148" s="33"/>
      <c r="Z1148" s="33"/>
      <c r="AA1148" s="33"/>
      <c r="AB1148" s="33"/>
      <c r="AC1148" s="33"/>
    </row>
    <row r="1149" ht="15.75" customHeight="1">
      <c r="A1149" s="27"/>
      <c r="B1149" s="16" t="str">
        <f t="shared" si="6"/>
        <v/>
      </c>
      <c r="C1149" s="28"/>
      <c r="D1149" s="89"/>
      <c r="E1149" s="90"/>
      <c r="F1149" s="20"/>
      <c r="G1149" s="37"/>
      <c r="H1149" s="37"/>
      <c r="I1149" s="32"/>
      <c r="J1149" s="32"/>
      <c r="K1149" s="53"/>
      <c r="L1149" s="32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</row>
    <row r="1150" ht="15.75" customHeight="1">
      <c r="A1150" s="27"/>
      <c r="B1150" s="16" t="str">
        <f t="shared" si="6"/>
        <v/>
      </c>
      <c r="C1150" s="28"/>
      <c r="D1150" s="89"/>
      <c r="E1150" s="90"/>
      <c r="F1150" s="20"/>
      <c r="G1150" s="37"/>
      <c r="H1150" s="37"/>
      <c r="I1150" s="32"/>
      <c r="J1150" s="32"/>
      <c r="K1150" s="53"/>
      <c r="L1150" s="32"/>
      <c r="M1150" s="33"/>
      <c r="N1150" s="33"/>
      <c r="O1150" s="33"/>
      <c r="P1150" s="33"/>
      <c r="Q1150" s="33"/>
      <c r="R1150" s="33"/>
      <c r="S1150" s="33"/>
      <c r="T1150" s="33"/>
      <c r="U1150" s="33"/>
      <c r="V1150" s="33"/>
      <c r="W1150" s="33"/>
      <c r="X1150" s="33"/>
      <c r="Y1150" s="33"/>
      <c r="Z1150" s="33"/>
      <c r="AA1150" s="33"/>
      <c r="AB1150" s="33"/>
      <c r="AC1150" s="33"/>
    </row>
    <row r="1151" ht="15.75" customHeight="1">
      <c r="A1151" s="27"/>
      <c r="B1151" s="16" t="str">
        <f t="shared" si="6"/>
        <v/>
      </c>
      <c r="C1151" s="28"/>
      <c r="D1151" s="89"/>
      <c r="E1151" s="90"/>
      <c r="F1151" s="20"/>
      <c r="G1151" s="37"/>
      <c r="H1151" s="37"/>
      <c r="I1151" s="32"/>
      <c r="J1151" s="32"/>
      <c r="K1151" s="53"/>
      <c r="L1151" s="32"/>
      <c r="M1151" s="33"/>
      <c r="N1151" s="33"/>
      <c r="O1151" s="33"/>
      <c r="P1151" s="33"/>
      <c r="Q1151" s="33"/>
      <c r="R1151" s="33"/>
      <c r="S1151" s="33"/>
      <c r="T1151" s="33"/>
      <c r="U1151" s="33"/>
      <c r="V1151" s="33"/>
      <c r="W1151" s="33"/>
      <c r="X1151" s="33"/>
      <c r="Y1151" s="33"/>
      <c r="Z1151" s="33"/>
      <c r="AA1151" s="33"/>
      <c r="AB1151" s="33"/>
      <c r="AC1151" s="33"/>
    </row>
    <row r="1152" ht="15.75" customHeight="1">
      <c r="A1152" s="27"/>
      <c r="B1152" s="16" t="str">
        <f t="shared" si="6"/>
        <v/>
      </c>
      <c r="C1152" s="28"/>
      <c r="D1152" s="89"/>
      <c r="E1152" s="90"/>
      <c r="F1152" s="20"/>
      <c r="G1152" s="37"/>
      <c r="H1152" s="37"/>
      <c r="I1152" s="32"/>
      <c r="J1152" s="32"/>
      <c r="K1152" s="53"/>
      <c r="L1152" s="32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33"/>
      <c r="AA1152" s="33"/>
      <c r="AB1152" s="33"/>
      <c r="AC1152" s="33"/>
    </row>
    <row r="1153" ht="15.75" customHeight="1">
      <c r="A1153" s="27"/>
      <c r="B1153" s="16" t="str">
        <f t="shared" si="6"/>
        <v/>
      </c>
      <c r="C1153" s="28"/>
      <c r="D1153" s="89"/>
      <c r="E1153" s="90"/>
      <c r="F1153" s="20"/>
      <c r="G1153" s="37"/>
      <c r="H1153" s="37"/>
      <c r="I1153" s="32"/>
      <c r="J1153" s="32"/>
      <c r="K1153" s="53"/>
      <c r="L1153" s="32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</row>
    <row r="1154" ht="15.75" customHeight="1">
      <c r="A1154" s="27"/>
      <c r="B1154" s="16" t="str">
        <f t="shared" si="6"/>
        <v/>
      </c>
      <c r="C1154" s="28"/>
      <c r="D1154" s="89"/>
      <c r="E1154" s="90"/>
      <c r="F1154" s="20"/>
      <c r="G1154" s="37"/>
      <c r="H1154" s="37"/>
      <c r="I1154" s="32"/>
      <c r="J1154" s="32"/>
      <c r="K1154" s="53"/>
      <c r="L1154" s="32"/>
      <c r="M1154" s="33"/>
      <c r="N1154" s="33"/>
      <c r="O1154" s="33"/>
      <c r="P1154" s="33"/>
      <c r="Q1154" s="33"/>
      <c r="R1154" s="33"/>
      <c r="S1154" s="33"/>
      <c r="T1154" s="33"/>
      <c r="U1154" s="33"/>
      <c r="V1154" s="33"/>
      <c r="W1154" s="33"/>
      <c r="X1154" s="33"/>
      <c r="Y1154" s="33"/>
      <c r="Z1154" s="33"/>
      <c r="AA1154" s="33"/>
      <c r="AB1154" s="33"/>
      <c r="AC1154" s="33"/>
    </row>
    <row r="1155" ht="15.75" customHeight="1">
      <c r="A1155" s="27"/>
      <c r="B1155" s="16" t="str">
        <f t="shared" si="6"/>
        <v/>
      </c>
      <c r="C1155" s="28"/>
      <c r="D1155" s="89"/>
      <c r="E1155" s="90"/>
      <c r="F1155" s="20"/>
      <c r="G1155" s="37"/>
      <c r="H1155" s="37"/>
      <c r="I1155" s="32"/>
      <c r="J1155" s="32"/>
      <c r="K1155" s="53"/>
      <c r="L1155" s="32"/>
      <c r="M1155" s="33"/>
      <c r="N1155" s="33"/>
      <c r="O1155" s="33"/>
      <c r="P1155" s="33"/>
      <c r="Q1155" s="33"/>
      <c r="R1155" s="33"/>
      <c r="S1155" s="33"/>
      <c r="T1155" s="33"/>
      <c r="U1155" s="33"/>
      <c r="V1155" s="33"/>
      <c r="W1155" s="33"/>
      <c r="X1155" s="33"/>
      <c r="Y1155" s="33"/>
      <c r="Z1155" s="33"/>
      <c r="AA1155" s="33"/>
      <c r="AB1155" s="33"/>
      <c r="AC1155" s="33"/>
    </row>
    <row r="1156" ht="15.75" customHeight="1">
      <c r="A1156" s="27"/>
      <c r="B1156" s="16" t="str">
        <f t="shared" si="6"/>
        <v/>
      </c>
      <c r="C1156" s="28"/>
      <c r="D1156" s="89"/>
      <c r="E1156" s="90"/>
      <c r="F1156" s="20"/>
      <c r="G1156" s="37"/>
      <c r="H1156" s="37"/>
      <c r="I1156" s="32"/>
      <c r="J1156" s="32"/>
      <c r="K1156" s="53"/>
      <c r="L1156" s="32"/>
      <c r="M1156" s="33"/>
      <c r="N1156" s="33"/>
      <c r="O1156" s="33"/>
      <c r="P1156" s="33"/>
      <c r="Q1156" s="33"/>
      <c r="R1156" s="33"/>
      <c r="S1156" s="33"/>
      <c r="T1156" s="33"/>
      <c r="U1156" s="33"/>
      <c r="V1156" s="33"/>
      <c r="W1156" s="33"/>
      <c r="X1156" s="33"/>
      <c r="Y1156" s="33"/>
      <c r="Z1156" s="33"/>
      <c r="AA1156" s="33"/>
      <c r="AB1156" s="33"/>
      <c r="AC1156" s="33"/>
    </row>
    <row r="1157" ht="15.75" customHeight="1">
      <c r="A1157" s="27"/>
      <c r="B1157" s="16" t="str">
        <f t="shared" si="6"/>
        <v/>
      </c>
      <c r="C1157" s="28"/>
      <c r="D1157" s="89"/>
      <c r="E1157" s="90"/>
      <c r="F1157" s="20"/>
      <c r="G1157" s="37"/>
      <c r="H1157" s="37"/>
      <c r="I1157" s="32"/>
      <c r="J1157" s="32"/>
      <c r="K1157" s="53"/>
      <c r="L1157" s="32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</row>
    <row r="1158" ht="15.75" customHeight="1">
      <c r="A1158" s="27"/>
      <c r="B1158" s="16" t="str">
        <f t="shared" si="6"/>
        <v/>
      </c>
      <c r="C1158" s="28"/>
      <c r="D1158" s="89"/>
      <c r="E1158" s="90"/>
      <c r="F1158" s="20"/>
      <c r="G1158" s="37"/>
      <c r="H1158" s="37"/>
      <c r="I1158" s="32"/>
      <c r="J1158" s="32"/>
      <c r="K1158" s="53"/>
      <c r="L1158" s="32"/>
      <c r="M1158" s="33"/>
      <c r="N1158" s="33"/>
      <c r="O1158" s="33"/>
      <c r="P1158" s="33"/>
      <c r="Q1158" s="33"/>
      <c r="R1158" s="33"/>
      <c r="S1158" s="33"/>
      <c r="T1158" s="33"/>
      <c r="U1158" s="33"/>
      <c r="V1158" s="33"/>
      <c r="W1158" s="33"/>
      <c r="X1158" s="33"/>
      <c r="Y1158" s="33"/>
      <c r="Z1158" s="33"/>
      <c r="AA1158" s="33"/>
      <c r="AB1158" s="33"/>
      <c r="AC1158" s="33"/>
    </row>
    <row r="1159" ht="15.75" customHeight="1">
      <c r="A1159" s="27"/>
      <c r="B1159" s="16" t="str">
        <f t="shared" si="6"/>
        <v/>
      </c>
      <c r="C1159" s="28"/>
      <c r="D1159" s="89"/>
      <c r="E1159" s="90"/>
      <c r="F1159" s="20"/>
      <c r="G1159" s="37"/>
      <c r="H1159" s="37"/>
      <c r="I1159" s="32"/>
      <c r="J1159" s="32"/>
      <c r="K1159" s="53"/>
      <c r="L1159" s="32"/>
      <c r="M1159" s="33"/>
      <c r="N1159" s="33"/>
      <c r="O1159" s="33"/>
      <c r="P1159" s="33"/>
      <c r="Q1159" s="33"/>
      <c r="R1159" s="33"/>
      <c r="S1159" s="33"/>
      <c r="T1159" s="33"/>
      <c r="U1159" s="33"/>
      <c r="V1159" s="33"/>
      <c r="W1159" s="33"/>
      <c r="X1159" s="33"/>
      <c r="Y1159" s="33"/>
      <c r="Z1159" s="33"/>
      <c r="AA1159" s="33"/>
      <c r="AB1159" s="33"/>
      <c r="AC1159" s="33"/>
    </row>
    <row r="1160" ht="15.75" customHeight="1">
      <c r="A1160" s="27"/>
      <c r="B1160" s="16" t="str">
        <f t="shared" si="6"/>
        <v/>
      </c>
      <c r="C1160" s="28"/>
      <c r="D1160" s="89"/>
      <c r="E1160" s="90"/>
      <c r="F1160" s="20"/>
      <c r="G1160" s="37"/>
      <c r="H1160" s="37"/>
      <c r="I1160" s="32"/>
      <c r="J1160" s="32"/>
      <c r="K1160" s="53"/>
      <c r="L1160" s="32"/>
      <c r="M1160" s="33"/>
      <c r="N1160" s="33"/>
      <c r="O1160" s="33"/>
      <c r="P1160" s="33"/>
      <c r="Q1160" s="33"/>
      <c r="R1160" s="33"/>
      <c r="S1160" s="33"/>
      <c r="T1160" s="33"/>
      <c r="U1160" s="33"/>
      <c r="V1160" s="33"/>
      <c r="W1160" s="33"/>
      <c r="X1160" s="33"/>
      <c r="Y1160" s="33"/>
      <c r="Z1160" s="33"/>
      <c r="AA1160" s="33"/>
      <c r="AB1160" s="33"/>
      <c r="AC1160" s="33"/>
    </row>
    <row r="1161" ht="15.75" customHeight="1">
      <c r="A1161" s="27"/>
      <c r="B1161" s="16" t="str">
        <f t="shared" si="6"/>
        <v/>
      </c>
      <c r="C1161" s="28"/>
      <c r="D1161" s="89"/>
      <c r="E1161" s="90"/>
      <c r="F1161" s="20"/>
      <c r="G1161" s="37"/>
      <c r="H1161" s="37"/>
      <c r="I1161" s="32"/>
      <c r="J1161" s="32"/>
      <c r="K1161" s="53"/>
      <c r="L1161" s="32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</row>
    <row r="1162" ht="15.75" customHeight="1">
      <c r="A1162" s="27"/>
      <c r="B1162" s="16" t="str">
        <f t="shared" si="6"/>
        <v/>
      </c>
      <c r="C1162" s="28"/>
      <c r="D1162" s="89"/>
      <c r="E1162" s="90"/>
      <c r="F1162" s="20"/>
      <c r="G1162" s="37"/>
      <c r="H1162" s="37"/>
      <c r="I1162" s="32"/>
      <c r="J1162" s="32"/>
      <c r="K1162" s="53"/>
      <c r="L1162" s="32"/>
      <c r="M1162" s="33"/>
      <c r="N1162" s="33"/>
      <c r="O1162" s="33"/>
      <c r="P1162" s="33"/>
      <c r="Q1162" s="33"/>
      <c r="R1162" s="33"/>
      <c r="S1162" s="33"/>
      <c r="T1162" s="33"/>
      <c r="U1162" s="33"/>
      <c r="V1162" s="33"/>
      <c r="W1162" s="33"/>
      <c r="X1162" s="33"/>
      <c r="Y1162" s="33"/>
      <c r="Z1162" s="33"/>
      <c r="AA1162" s="33"/>
      <c r="AB1162" s="33"/>
      <c r="AC1162" s="33"/>
    </row>
    <row r="1163" ht="15.75" customHeight="1">
      <c r="A1163" s="27"/>
      <c r="B1163" s="16" t="str">
        <f t="shared" si="6"/>
        <v/>
      </c>
      <c r="C1163" s="28"/>
      <c r="D1163" s="89"/>
      <c r="E1163" s="90"/>
      <c r="F1163" s="20"/>
      <c r="G1163" s="37"/>
      <c r="H1163" s="37"/>
      <c r="I1163" s="32"/>
      <c r="J1163" s="32"/>
      <c r="K1163" s="53"/>
      <c r="L1163" s="32"/>
      <c r="M1163" s="33"/>
      <c r="N1163" s="33"/>
      <c r="O1163" s="33"/>
      <c r="P1163" s="33"/>
      <c r="Q1163" s="33"/>
      <c r="R1163" s="33"/>
      <c r="S1163" s="33"/>
      <c r="T1163" s="33"/>
      <c r="U1163" s="33"/>
      <c r="V1163" s="33"/>
      <c r="W1163" s="33"/>
      <c r="X1163" s="33"/>
      <c r="Y1163" s="33"/>
      <c r="Z1163" s="33"/>
      <c r="AA1163" s="33"/>
      <c r="AB1163" s="33"/>
      <c r="AC1163" s="33"/>
    </row>
    <row r="1164" ht="15.75" customHeight="1">
      <c r="A1164" s="27"/>
      <c r="B1164" s="16" t="str">
        <f t="shared" si="6"/>
        <v/>
      </c>
      <c r="C1164" s="28"/>
      <c r="D1164" s="89"/>
      <c r="E1164" s="90"/>
      <c r="F1164" s="20"/>
      <c r="G1164" s="37"/>
      <c r="H1164" s="37"/>
      <c r="I1164" s="32"/>
      <c r="J1164" s="32"/>
      <c r="K1164" s="53"/>
      <c r="L1164" s="32"/>
      <c r="M1164" s="33"/>
      <c r="N1164" s="33"/>
      <c r="O1164" s="33"/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/>
      <c r="AB1164" s="33"/>
      <c r="AC1164" s="33"/>
    </row>
    <row r="1165" ht="15.75" customHeight="1">
      <c r="A1165" s="27"/>
      <c r="B1165" s="16" t="str">
        <f t="shared" si="6"/>
        <v/>
      </c>
      <c r="C1165" s="28"/>
      <c r="D1165" s="89"/>
      <c r="E1165" s="90"/>
      <c r="F1165" s="20"/>
      <c r="G1165" s="37"/>
      <c r="H1165" s="37"/>
      <c r="I1165" s="32"/>
      <c r="J1165" s="32"/>
      <c r="K1165" s="53"/>
      <c r="L1165" s="32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</row>
    <row r="1166" ht="15.75" customHeight="1">
      <c r="A1166" s="27"/>
      <c r="B1166" s="16" t="str">
        <f t="shared" si="6"/>
        <v/>
      </c>
      <c r="C1166" s="28"/>
      <c r="D1166" s="89"/>
      <c r="E1166" s="90"/>
      <c r="F1166" s="20"/>
      <c r="G1166" s="37"/>
      <c r="H1166" s="37"/>
      <c r="I1166" s="32"/>
      <c r="J1166" s="32"/>
      <c r="K1166" s="53"/>
      <c r="L1166" s="32"/>
      <c r="M1166" s="33"/>
      <c r="N1166" s="33"/>
      <c r="O1166" s="33"/>
      <c r="P1166" s="33"/>
      <c r="Q1166" s="33"/>
      <c r="R1166" s="33"/>
      <c r="S1166" s="33"/>
      <c r="T1166" s="33"/>
      <c r="U1166" s="33"/>
      <c r="V1166" s="33"/>
      <c r="W1166" s="33"/>
      <c r="X1166" s="33"/>
      <c r="Y1166" s="33"/>
      <c r="Z1166" s="33"/>
      <c r="AA1166" s="33"/>
      <c r="AB1166" s="33"/>
      <c r="AC1166" s="33"/>
    </row>
    <row r="1167" ht="15.75" customHeight="1">
      <c r="A1167" s="27"/>
      <c r="B1167" s="16" t="str">
        <f t="shared" si="6"/>
        <v/>
      </c>
      <c r="C1167" s="28"/>
      <c r="D1167" s="89"/>
      <c r="E1167" s="90"/>
      <c r="F1167" s="20"/>
      <c r="G1167" s="37"/>
      <c r="H1167" s="37"/>
      <c r="I1167" s="32"/>
      <c r="J1167" s="32"/>
      <c r="K1167" s="53"/>
      <c r="L1167" s="32"/>
      <c r="M1167" s="33"/>
      <c r="N1167" s="33"/>
      <c r="O1167" s="33"/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/>
      <c r="AB1167" s="33"/>
      <c r="AC1167" s="33"/>
    </row>
    <row r="1168" ht="15.75" customHeight="1">
      <c r="A1168" s="27"/>
      <c r="B1168" s="16" t="str">
        <f t="shared" si="6"/>
        <v/>
      </c>
      <c r="C1168" s="28"/>
      <c r="D1168" s="89"/>
      <c r="E1168" s="90"/>
      <c r="F1168" s="20"/>
      <c r="G1168" s="37"/>
      <c r="H1168" s="37"/>
      <c r="I1168" s="32"/>
      <c r="J1168" s="32"/>
      <c r="K1168" s="53"/>
      <c r="L1168" s="32"/>
      <c r="M1168" s="33"/>
      <c r="N1168" s="33"/>
      <c r="O1168" s="33"/>
      <c r="P1168" s="33"/>
      <c r="Q1168" s="33"/>
      <c r="R1168" s="33"/>
      <c r="S1168" s="33"/>
      <c r="T1168" s="33"/>
      <c r="U1168" s="33"/>
      <c r="V1168" s="33"/>
      <c r="W1168" s="33"/>
      <c r="X1168" s="33"/>
      <c r="Y1168" s="33"/>
      <c r="Z1168" s="33"/>
      <c r="AA1168" s="33"/>
      <c r="AB1168" s="33"/>
      <c r="AC1168" s="33"/>
    </row>
    <row r="1169" ht="15.75" customHeight="1">
      <c r="A1169" s="27"/>
      <c r="B1169" s="16" t="str">
        <f t="shared" si="6"/>
        <v/>
      </c>
      <c r="C1169" s="28"/>
      <c r="D1169" s="89"/>
      <c r="E1169" s="90"/>
      <c r="F1169" s="20"/>
      <c r="G1169" s="37"/>
      <c r="H1169" s="37"/>
      <c r="I1169" s="32"/>
      <c r="J1169" s="32"/>
      <c r="K1169" s="53"/>
      <c r="L1169" s="32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</row>
    <row r="1170" ht="15.75" customHeight="1">
      <c r="A1170" s="27"/>
      <c r="B1170" s="16" t="str">
        <f t="shared" si="6"/>
        <v/>
      </c>
      <c r="C1170" s="28"/>
      <c r="D1170" s="89"/>
      <c r="E1170" s="90"/>
      <c r="F1170" s="20"/>
      <c r="G1170" s="37"/>
      <c r="H1170" s="37"/>
      <c r="I1170" s="32"/>
      <c r="J1170" s="32"/>
      <c r="K1170" s="53"/>
      <c r="L1170" s="32"/>
      <c r="M1170" s="33"/>
      <c r="N1170" s="33"/>
      <c r="O1170" s="33"/>
      <c r="P1170" s="33"/>
      <c r="Q1170" s="33"/>
      <c r="R1170" s="33"/>
      <c r="S1170" s="33"/>
      <c r="T1170" s="33"/>
      <c r="U1170" s="33"/>
      <c r="V1170" s="33"/>
      <c r="W1170" s="33"/>
      <c r="X1170" s="33"/>
      <c r="Y1170" s="33"/>
      <c r="Z1170" s="33"/>
      <c r="AA1170" s="33"/>
      <c r="AB1170" s="33"/>
      <c r="AC1170" s="33"/>
    </row>
    <row r="1171" ht="15.75" customHeight="1">
      <c r="A1171" s="27"/>
      <c r="B1171" s="16" t="str">
        <f t="shared" si="6"/>
        <v/>
      </c>
      <c r="C1171" s="28"/>
      <c r="D1171" s="89"/>
      <c r="E1171" s="90"/>
      <c r="F1171" s="20"/>
      <c r="G1171" s="37"/>
      <c r="H1171" s="37"/>
      <c r="I1171" s="32"/>
      <c r="J1171" s="32"/>
      <c r="K1171" s="53"/>
      <c r="L1171" s="32"/>
      <c r="M1171" s="33"/>
      <c r="N1171" s="33"/>
      <c r="O1171" s="33"/>
      <c r="P1171" s="33"/>
      <c r="Q1171" s="33"/>
      <c r="R1171" s="33"/>
      <c r="S1171" s="33"/>
      <c r="T1171" s="33"/>
      <c r="U1171" s="33"/>
      <c r="V1171" s="33"/>
      <c r="W1171" s="33"/>
      <c r="X1171" s="33"/>
      <c r="Y1171" s="33"/>
      <c r="Z1171" s="33"/>
      <c r="AA1171" s="33"/>
      <c r="AB1171" s="33"/>
      <c r="AC1171" s="33"/>
    </row>
    <row r="1172" ht="15.75" customHeight="1">
      <c r="A1172" s="27"/>
      <c r="B1172" s="16" t="str">
        <f t="shared" si="6"/>
        <v/>
      </c>
      <c r="C1172" s="28"/>
      <c r="D1172" s="89"/>
      <c r="E1172" s="90"/>
      <c r="F1172" s="20"/>
      <c r="G1172" s="37"/>
      <c r="H1172" s="37"/>
      <c r="I1172" s="32"/>
      <c r="J1172" s="32"/>
      <c r="K1172" s="53"/>
      <c r="L1172" s="32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</row>
    <row r="1173" ht="15.75" customHeight="1">
      <c r="A1173" s="27"/>
      <c r="B1173" s="16" t="str">
        <f t="shared" si="6"/>
        <v/>
      </c>
      <c r="C1173" s="28"/>
      <c r="D1173" s="89"/>
      <c r="E1173" s="90"/>
      <c r="F1173" s="20"/>
      <c r="G1173" s="37"/>
      <c r="H1173" s="37"/>
      <c r="I1173" s="32"/>
      <c r="J1173" s="32"/>
      <c r="K1173" s="53"/>
      <c r="L1173" s="32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</row>
    <row r="1174" ht="15.75" customHeight="1">
      <c r="A1174" s="27"/>
      <c r="B1174" s="16" t="str">
        <f t="shared" si="6"/>
        <v/>
      </c>
      <c r="C1174" s="28"/>
      <c r="D1174" s="89"/>
      <c r="E1174" s="90"/>
      <c r="F1174" s="20"/>
      <c r="G1174" s="37"/>
      <c r="H1174" s="37"/>
      <c r="I1174" s="32"/>
      <c r="J1174" s="32"/>
      <c r="K1174" s="53"/>
      <c r="L1174" s="32"/>
      <c r="M1174" s="33"/>
      <c r="N1174" s="33"/>
      <c r="O1174" s="33"/>
      <c r="P1174" s="33"/>
      <c r="Q1174" s="33"/>
      <c r="R1174" s="33"/>
      <c r="S1174" s="33"/>
      <c r="T1174" s="33"/>
      <c r="U1174" s="33"/>
      <c r="V1174" s="33"/>
      <c r="W1174" s="33"/>
      <c r="X1174" s="33"/>
      <c r="Y1174" s="33"/>
      <c r="Z1174" s="33"/>
      <c r="AA1174" s="33"/>
      <c r="AB1174" s="33"/>
      <c r="AC1174" s="33"/>
    </row>
    <row r="1175" ht="15.75" customHeight="1">
      <c r="A1175" s="27"/>
      <c r="B1175" s="16" t="str">
        <f t="shared" si="6"/>
        <v/>
      </c>
      <c r="C1175" s="28"/>
      <c r="D1175" s="89"/>
      <c r="E1175" s="90"/>
      <c r="F1175" s="20"/>
      <c r="G1175" s="37"/>
      <c r="H1175" s="37"/>
      <c r="I1175" s="32"/>
      <c r="J1175" s="32"/>
      <c r="K1175" s="53"/>
      <c r="L1175" s="32"/>
      <c r="M1175" s="33"/>
      <c r="N1175" s="33"/>
      <c r="O1175" s="33"/>
      <c r="P1175" s="33"/>
      <c r="Q1175" s="33"/>
      <c r="R1175" s="33"/>
      <c r="S1175" s="33"/>
      <c r="T1175" s="33"/>
      <c r="U1175" s="33"/>
      <c r="V1175" s="33"/>
      <c r="W1175" s="33"/>
      <c r="X1175" s="33"/>
      <c r="Y1175" s="33"/>
      <c r="Z1175" s="33"/>
      <c r="AA1175" s="33"/>
      <c r="AB1175" s="33"/>
      <c r="AC1175" s="33"/>
    </row>
    <row r="1176" ht="15.75" customHeight="1">
      <c r="A1176" s="27"/>
      <c r="B1176" s="16" t="str">
        <f t="shared" si="6"/>
        <v/>
      </c>
      <c r="C1176" s="28"/>
      <c r="D1176" s="89"/>
      <c r="E1176" s="90"/>
      <c r="F1176" s="20"/>
      <c r="G1176" s="37"/>
      <c r="H1176" s="37"/>
      <c r="I1176" s="32"/>
      <c r="J1176" s="32"/>
      <c r="K1176" s="53"/>
      <c r="L1176" s="32"/>
      <c r="M1176" s="33"/>
      <c r="N1176" s="33"/>
      <c r="O1176" s="33"/>
      <c r="P1176" s="33"/>
      <c r="Q1176" s="33"/>
      <c r="R1176" s="33"/>
      <c r="S1176" s="33"/>
      <c r="T1176" s="33"/>
      <c r="U1176" s="33"/>
      <c r="V1176" s="33"/>
      <c r="W1176" s="33"/>
      <c r="X1176" s="33"/>
      <c r="Y1176" s="33"/>
      <c r="Z1176" s="33"/>
      <c r="AA1176" s="33"/>
      <c r="AB1176" s="33"/>
      <c r="AC1176" s="33"/>
    </row>
    <row r="1177" ht="15.75" customHeight="1">
      <c r="A1177" s="27"/>
      <c r="B1177" s="16" t="str">
        <f t="shared" si="6"/>
        <v/>
      </c>
      <c r="C1177" s="28"/>
      <c r="D1177" s="89"/>
      <c r="E1177" s="90"/>
      <c r="F1177" s="20"/>
      <c r="G1177" s="37"/>
      <c r="H1177" s="37"/>
      <c r="I1177" s="32"/>
      <c r="J1177" s="32"/>
      <c r="K1177" s="53"/>
      <c r="L1177" s="32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</row>
    <row r="1178" ht="15.75" customHeight="1">
      <c r="A1178" s="27"/>
      <c r="B1178" s="16" t="str">
        <f t="shared" si="6"/>
        <v/>
      </c>
      <c r="C1178" s="28"/>
      <c r="D1178" s="89"/>
      <c r="E1178" s="90"/>
      <c r="F1178" s="20"/>
      <c r="G1178" s="37"/>
      <c r="H1178" s="37"/>
      <c r="I1178" s="32"/>
      <c r="J1178" s="32"/>
      <c r="K1178" s="53"/>
      <c r="L1178" s="32"/>
      <c r="M1178" s="33"/>
      <c r="N1178" s="33"/>
      <c r="O1178" s="33"/>
      <c r="P1178" s="33"/>
      <c r="Q1178" s="33"/>
      <c r="R1178" s="33"/>
      <c r="S1178" s="33"/>
      <c r="T1178" s="33"/>
      <c r="U1178" s="33"/>
      <c r="V1178" s="33"/>
      <c r="W1178" s="33"/>
      <c r="X1178" s="33"/>
      <c r="Y1178" s="33"/>
      <c r="Z1178" s="33"/>
      <c r="AA1178" s="33"/>
      <c r="AB1178" s="33"/>
      <c r="AC1178" s="33"/>
    </row>
    <row r="1179" ht="15.75" customHeight="1">
      <c r="A1179" s="27"/>
      <c r="B1179" s="16" t="str">
        <f t="shared" si="6"/>
        <v/>
      </c>
      <c r="C1179" s="28"/>
      <c r="D1179" s="89"/>
      <c r="E1179" s="90"/>
      <c r="F1179" s="20"/>
      <c r="G1179" s="37"/>
      <c r="H1179" s="37"/>
      <c r="I1179" s="32"/>
      <c r="J1179" s="32"/>
      <c r="K1179" s="53"/>
      <c r="L1179" s="32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</row>
    <row r="1180" ht="15.75" customHeight="1">
      <c r="A1180" s="27"/>
      <c r="B1180" s="16" t="str">
        <f t="shared" si="6"/>
        <v/>
      </c>
      <c r="C1180" s="28"/>
      <c r="D1180" s="89"/>
      <c r="E1180" s="90"/>
      <c r="F1180" s="20"/>
      <c r="G1180" s="37"/>
      <c r="H1180" s="37"/>
      <c r="I1180" s="32"/>
      <c r="J1180" s="32"/>
      <c r="K1180" s="53"/>
      <c r="L1180" s="32"/>
      <c r="M1180" s="33"/>
      <c r="N1180" s="33"/>
      <c r="O1180" s="33"/>
      <c r="P1180" s="33"/>
      <c r="Q1180" s="33"/>
      <c r="R1180" s="33"/>
      <c r="S1180" s="33"/>
      <c r="T1180" s="33"/>
      <c r="U1180" s="33"/>
      <c r="V1180" s="33"/>
      <c r="W1180" s="33"/>
      <c r="X1180" s="33"/>
      <c r="Y1180" s="33"/>
      <c r="Z1180" s="33"/>
      <c r="AA1180" s="33"/>
      <c r="AB1180" s="33"/>
      <c r="AC1180" s="33"/>
    </row>
    <row r="1181" ht="15.75" customHeight="1">
      <c r="A1181" s="27"/>
      <c r="B1181" s="16" t="str">
        <f t="shared" si="6"/>
        <v/>
      </c>
      <c r="C1181" s="28"/>
      <c r="D1181" s="89"/>
      <c r="E1181" s="90"/>
      <c r="F1181" s="20"/>
      <c r="G1181" s="37"/>
      <c r="H1181" s="37"/>
      <c r="I1181" s="32"/>
      <c r="J1181" s="32"/>
      <c r="K1181" s="53"/>
      <c r="L1181" s="32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</row>
    <row r="1182" ht="15.75" customHeight="1">
      <c r="A1182" s="27"/>
      <c r="B1182" s="16" t="str">
        <f t="shared" si="6"/>
        <v/>
      </c>
      <c r="C1182" s="28"/>
      <c r="D1182" s="89"/>
      <c r="E1182" s="90"/>
      <c r="F1182" s="20"/>
      <c r="G1182" s="37"/>
      <c r="H1182" s="37"/>
      <c r="I1182" s="32"/>
      <c r="J1182" s="32"/>
      <c r="K1182" s="53"/>
      <c r="L1182" s="32"/>
      <c r="M1182" s="33"/>
      <c r="N1182" s="33"/>
      <c r="O1182" s="33"/>
      <c r="P1182" s="33"/>
      <c r="Q1182" s="33"/>
      <c r="R1182" s="33"/>
      <c r="S1182" s="33"/>
      <c r="T1182" s="33"/>
      <c r="U1182" s="33"/>
      <c r="V1182" s="33"/>
      <c r="W1182" s="33"/>
      <c r="X1182" s="33"/>
      <c r="Y1182" s="33"/>
      <c r="Z1182" s="33"/>
      <c r="AA1182" s="33"/>
      <c r="AB1182" s="33"/>
      <c r="AC1182" s="33"/>
    </row>
    <row r="1183" ht="15.75" customHeight="1">
      <c r="A1183" s="27"/>
      <c r="B1183" s="16" t="str">
        <f t="shared" si="6"/>
        <v/>
      </c>
      <c r="C1183" s="28"/>
      <c r="D1183" s="89"/>
      <c r="E1183" s="90"/>
      <c r="F1183" s="20"/>
      <c r="G1183" s="37"/>
      <c r="H1183" s="37"/>
      <c r="I1183" s="32"/>
      <c r="J1183" s="32"/>
      <c r="K1183" s="53"/>
      <c r="L1183" s="32"/>
      <c r="M1183" s="33"/>
      <c r="N1183" s="33"/>
      <c r="O1183" s="33"/>
      <c r="P1183" s="33"/>
      <c r="Q1183" s="33"/>
      <c r="R1183" s="33"/>
      <c r="S1183" s="33"/>
      <c r="T1183" s="33"/>
      <c r="U1183" s="33"/>
      <c r="V1183" s="33"/>
      <c r="W1183" s="33"/>
      <c r="X1183" s="33"/>
      <c r="Y1183" s="33"/>
      <c r="Z1183" s="33"/>
      <c r="AA1183" s="33"/>
      <c r="AB1183" s="33"/>
      <c r="AC1183" s="33"/>
    </row>
    <row r="1184" ht="15.75" customHeight="1">
      <c r="A1184" s="27"/>
      <c r="B1184" s="16" t="str">
        <f t="shared" si="6"/>
        <v/>
      </c>
      <c r="C1184" s="28"/>
      <c r="D1184" s="89"/>
      <c r="E1184" s="90"/>
      <c r="F1184" s="20"/>
      <c r="G1184" s="37"/>
      <c r="H1184" s="37"/>
      <c r="I1184" s="32"/>
      <c r="J1184" s="32"/>
      <c r="K1184" s="53"/>
      <c r="L1184" s="32"/>
      <c r="M1184" s="33"/>
      <c r="N1184" s="33"/>
      <c r="O1184" s="33"/>
      <c r="P1184" s="33"/>
      <c r="Q1184" s="33"/>
      <c r="R1184" s="33"/>
      <c r="S1184" s="33"/>
      <c r="T1184" s="33"/>
      <c r="U1184" s="33"/>
      <c r="V1184" s="33"/>
      <c r="W1184" s="33"/>
      <c r="X1184" s="33"/>
      <c r="Y1184" s="33"/>
      <c r="Z1184" s="33"/>
      <c r="AA1184" s="33"/>
      <c r="AB1184" s="33"/>
      <c r="AC1184" s="33"/>
    </row>
    <row r="1185" ht="15.75" customHeight="1">
      <c r="A1185" s="27"/>
      <c r="B1185" s="16" t="str">
        <f t="shared" si="6"/>
        <v/>
      </c>
      <c r="C1185" s="28"/>
      <c r="D1185" s="89"/>
      <c r="E1185" s="90"/>
      <c r="F1185" s="20"/>
      <c r="G1185" s="37"/>
      <c r="H1185" s="37"/>
      <c r="I1185" s="32"/>
      <c r="J1185" s="32"/>
      <c r="K1185" s="53"/>
      <c r="L1185" s="32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</row>
    <row r="1186" ht="15.75" customHeight="1">
      <c r="A1186" s="27"/>
      <c r="B1186" s="16" t="str">
        <f t="shared" si="6"/>
        <v/>
      </c>
      <c r="C1186" s="28"/>
      <c r="D1186" s="89"/>
      <c r="E1186" s="90"/>
      <c r="F1186" s="20"/>
      <c r="G1186" s="37"/>
      <c r="H1186" s="37"/>
      <c r="I1186" s="32"/>
      <c r="J1186" s="32"/>
      <c r="K1186" s="53"/>
      <c r="L1186" s="32"/>
      <c r="M1186" s="33"/>
      <c r="N1186" s="33"/>
      <c r="O1186" s="33"/>
      <c r="P1186" s="33"/>
      <c r="Q1186" s="33"/>
      <c r="R1186" s="33"/>
      <c r="S1186" s="33"/>
      <c r="T1186" s="33"/>
      <c r="U1186" s="33"/>
      <c r="V1186" s="33"/>
      <c r="W1186" s="33"/>
      <c r="X1186" s="33"/>
      <c r="Y1186" s="33"/>
      <c r="Z1186" s="33"/>
      <c r="AA1186" s="33"/>
      <c r="AB1186" s="33"/>
      <c r="AC1186" s="33"/>
    </row>
    <row r="1187" ht="15.75" customHeight="1">
      <c r="A1187" s="27"/>
      <c r="B1187" s="16" t="str">
        <f t="shared" si="6"/>
        <v/>
      </c>
      <c r="C1187" s="28"/>
      <c r="D1187" s="89"/>
      <c r="E1187" s="90"/>
      <c r="F1187" s="20"/>
      <c r="G1187" s="37"/>
      <c r="H1187" s="37"/>
      <c r="I1187" s="32"/>
      <c r="J1187" s="32"/>
      <c r="K1187" s="53"/>
      <c r="L1187" s="32"/>
      <c r="M1187" s="33"/>
      <c r="N1187" s="33"/>
      <c r="O1187" s="33"/>
      <c r="P1187" s="33"/>
      <c r="Q1187" s="33"/>
      <c r="R1187" s="33"/>
      <c r="S1187" s="33"/>
      <c r="T1187" s="33"/>
      <c r="U1187" s="33"/>
      <c r="V1187" s="33"/>
      <c r="W1187" s="33"/>
      <c r="X1187" s="33"/>
      <c r="Y1187" s="33"/>
      <c r="Z1187" s="33"/>
      <c r="AA1187" s="33"/>
      <c r="AB1187" s="33"/>
      <c r="AC1187" s="33"/>
    </row>
    <row r="1188" ht="15.75" customHeight="1">
      <c r="A1188" s="27"/>
      <c r="B1188" s="16" t="str">
        <f t="shared" si="6"/>
        <v/>
      </c>
      <c r="C1188" s="28"/>
      <c r="D1188" s="89"/>
      <c r="E1188" s="90"/>
      <c r="F1188" s="20"/>
      <c r="G1188" s="37"/>
      <c r="H1188" s="37"/>
      <c r="I1188" s="32"/>
      <c r="J1188" s="32"/>
      <c r="K1188" s="53"/>
      <c r="L1188" s="32"/>
      <c r="M1188" s="33"/>
      <c r="N1188" s="33"/>
      <c r="O1188" s="33"/>
      <c r="P1188" s="33"/>
      <c r="Q1188" s="33"/>
      <c r="R1188" s="33"/>
      <c r="S1188" s="33"/>
      <c r="T1188" s="33"/>
      <c r="U1188" s="33"/>
      <c r="V1188" s="33"/>
      <c r="W1188" s="33"/>
      <c r="X1188" s="33"/>
      <c r="Y1188" s="33"/>
      <c r="Z1188" s="33"/>
      <c r="AA1188" s="33"/>
      <c r="AB1188" s="33"/>
      <c r="AC1188" s="33"/>
    </row>
    <row r="1189" ht="15.75" customHeight="1">
      <c r="A1189" s="27"/>
      <c r="B1189" s="16" t="str">
        <f t="shared" si="6"/>
        <v/>
      </c>
      <c r="C1189" s="28"/>
      <c r="D1189" s="89"/>
      <c r="E1189" s="90"/>
      <c r="F1189" s="20"/>
      <c r="G1189" s="37"/>
      <c r="H1189" s="37"/>
      <c r="I1189" s="32"/>
      <c r="J1189" s="32"/>
      <c r="K1189" s="53"/>
      <c r="L1189" s="32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</row>
    <row r="1190" ht="15.75" customHeight="1">
      <c r="A1190" s="27"/>
      <c r="B1190" s="16" t="str">
        <f t="shared" si="6"/>
        <v/>
      </c>
      <c r="C1190" s="28"/>
      <c r="D1190" s="89"/>
      <c r="E1190" s="90"/>
      <c r="F1190" s="20"/>
      <c r="G1190" s="37"/>
      <c r="H1190" s="37"/>
      <c r="I1190" s="32"/>
      <c r="J1190" s="32"/>
      <c r="K1190" s="53"/>
      <c r="L1190" s="32"/>
      <c r="M1190" s="33"/>
      <c r="N1190" s="33"/>
      <c r="O1190" s="33"/>
      <c r="P1190" s="33"/>
      <c r="Q1190" s="33"/>
      <c r="R1190" s="33"/>
      <c r="S1190" s="33"/>
      <c r="T1190" s="33"/>
      <c r="U1190" s="33"/>
      <c r="V1190" s="33"/>
      <c r="W1190" s="33"/>
      <c r="X1190" s="33"/>
      <c r="Y1190" s="33"/>
      <c r="Z1190" s="33"/>
      <c r="AA1190" s="33"/>
      <c r="AB1190" s="33"/>
      <c r="AC1190" s="33"/>
    </row>
    <row r="1191" ht="15.75" customHeight="1">
      <c r="A1191" s="27"/>
      <c r="B1191" s="16" t="str">
        <f t="shared" si="6"/>
        <v/>
      </c>
      <c r="C1191" s="28"/>
      <c r="D1191" s="89"/>
      <c r="E1191" s="90"/>
      <c r="F1191" s="20"/>
      <c r="G1191" s="37"/>
      <c r="H1191" s="37"/>
      <c r="I1191" s="32"/>
      <c r="J1191" s="32"/>
      <c r="K1191" s="53"/>
      <c r="L1191" s="32"/>
      <c r="M1191" s="33"/>
      <c r="N1191" s="33"/>
      <c r="O1191" s="33"/>
      <c r="P1191" s="33"/>
      <c r="Q1191" s="33"/>
      <c r="R1191" s="33"/>
      <c r="S1191" s="33"/>
      <c r="T1191" s="33"/>
      <c r="U1191" s="33"/>
      <c r="V1191" s="33"/>
      <c r="W1191" s="33"/>
      <c r="X1191" s="33"/>
      <c r="Y1191" s="33"/>
      <c r="Z1191" s="33"/>
      <c r="AA1191" s="33"/>
      <c r="AB1191" s="33"/>
      <c r="AC1191" s="33"/>
    </row>
    <row r="1192" ht="15.75" customHeight="1">
      <c r="A1192" s="27"/>
      <c r="B1192" s="16" t="str">
        <f t="shared" si="6"/>
        <v/>
      </c>
      <c r="C1192" s="28"/>
      <c r="D1192" s="89"/>
      <c r="E1192" s="90"/>
      <c r="F1192" s="20"/>
      <c r="G1192" s="37"/>
      <c r="H1192" s="37"/>
      <c r="I1192" s="32"/>
      <c r="J1192" s="32"/>
      <c r="K1192" s="53"/>
      <c r="L1192" s="32"/>
      <c r="M1192" s="33"/>
      <c r="N1192" s="33"/>
      <c r="O1192" s="33"/>
      <c r="P1192" s="33"/>
      <c r="Q1192" s="33"/>
      <c r="R1192" s="33"/>
      <c r="S1192" s="33"/>
      <c r="T1192" s="33"/>
      <c r="U1192" s="33"/>
      <c r="V1192" s="33"/>
      <c r="W1192" s="33"/>
      <c r="X1192" s="33"/>
      <c r="Y1192" s="33"/>
      <c r="Z1192" s="33"/>
      <c r="AA1192" s="33"/>
      <c r="AB1192" s="33"/>
      <c r="AC1192" s="33"/>
    </row>
    <row r="1193" ht="15.75" customHeight="1">
      <c r="A1193" s="27"/>
      <c r="B1193" s="16" t="str">
        <f t="shared" si="6"/>
        <v/>
      </c>
      <c r="C1193" s="28"/>
      <c r="D1193" s="89"/>
      <c r="E1193" s="90"/>
      <c r="F1193" s="20"/>
      <c r="G1193" s="37"/>
      <c r="H1193" s="37"/>
      <c r="I1193" s="32"/>
      <c r="J1193" s="32"/>
      <c r="K1193" s="53"/>
      <c r="L1193" s="32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</row>
    <row r="1194" ht="15.75" customHeight="1">
      <c r="A1194" s="27"/>
      <c r="B1194" s="16" t="str">
        <f t="shared" si="6"/>
        <v/>
      </c>
      <c r="C1194" s="28"/>
      <c r="D1194" s="89"/>
      <c r="E1194" s="90"/>
      <c r="F1194" s="20"/>
      <c r="G1194" s="37"/>
      <c r="H1194" s="37"/>
      <c r="I1194" s="32"/>
      <c r="J1194" s="32"/>
      <c r="K1194" s="53"/>
      <c r="L1194" s="32"/>
      <c r="M1194" s="33"/>
      <c r="N1194" s="33"/>
      <c r="O1194" s="33"/>
      <c r="P1194" s="33"/>
      <c r="Q1194" s="33"/>
      <c r="R1194" s="33"/>
      <c r="S1194" s="33"/>
      <c r="T1194" s="33"/>
      <c r="U1194" s="33"/>
      <c r="V1194" s="33"/>
      <c r="W1194" s="33"/>
      <c r="X1194" s="33"/>
      <c r="Y1194" s="33"/>
      <c r="Z1194" s="33"/>
      <c r="AA1194" s="33"/>
      <c r="AB1194" s="33"/>
      <c r="AC1194" s="33"/>
    </row>
    <row r="1195" ht="15.75" customHeight="1">
      <c r="A1195" s="27"/>
      <c r="B1195" s="16" t="str">
        <f t="shared" si="6"/>
        <v/>
      </c>
      <c r="C1195" s="28"/>
      <c r="D1195" s="89"/>
      <c r="E1195" s="90"/>
      <c r="F1195" s="20"/>
      <c r="G1195" s="37"/>
      <c r="H1195" s="37"/>
      <c r="I1195" s="32"/>
      <c r="J1195" s="32"/>
      <c r="K1195" s="53"/>
      <c r="L1195" s="32"/>
      <c r="M1195" s="33"/>
      <c r="N1195" s="33"/>
      <c r="O1195" s="33"/>
      <c r="P1195" s="33"/>
      <c r="Q1195" s="33"/>
      <c r="R1195" s="33"/>
      <c r="S1195" s="33"/>
      <c r="T1195" s="33"/>
      <c r="U1195" s="33"/>
      <c r="V1195" s="33"/>
      <c r="W1195" s="33"/>
      <c r="X1195" s="33"/>
      <c r="Y1195" s="33"/>
      <c r="Z1195" s="33"/>
      <c r="AA1195" s="33"/>
      <c r="AB1195" s="33"/>
      <c r="AC1195" s="33"/>
    </row>
    <row r="1196" ht="15.75" customHeight="1">
      <c r="A1196" s="27"/>
      <c r="B1196" s="16" t="str">
        <f t="shared" si="6"/>
        <v/>
      </c>
      <c r="C1196" s="28"/>
      <c r="D1196" s="89"/>
      <c r="E1196" s="90"/>
      <c r="F1196" s="20"/>
      <c r="G1196" s="37"/>
      <c r="H1196" s="37"/>
      <c r="I1196" s="32"/>
      <c r="J1196" s="32"/>
      <c r="K1196" s="53"/>
      <c r="L1196" s="32"/>
      <c r="M1196" s="33"/>
      <c r="N1196" s="33"/>
      <c r="O1196" s="33"/>
      <c r="P1196" s="33"/>
      <c r="Q1196" s="33"/>
      <c r="R1196" s="33"/>
      <c r="S1196" s="33"/>
      <c r="T1196" s="33"/>
      <c r="U1196" s="33"/>
      <c r="V1196" s="33"/>
      <c r="W1196" s="33"/>
      <c r="X1196" s="33"/>
      <c r="Y1196" s="33"/>
      <c r="Z1196" s="33"/>
      <c r="AA1196" s="33"/>
      <c r="AB1196" s="33"/>
      <c r="AC1196" s="33"/>
    </row>
    <row r="1197" ht="15.75" customHeight="1">
      <c r="A1197" s="27"/>
      <c r="B1197" s="16" t="str">
        <f t="shared" si="6"/>
        <v/>
      </c>
      <c r="C1197" s="28"/>
      <c r="D1197" s="89"/>
      <c r="E1197" s="90"/>
      <c r="F1197" s="20"/>
      <c r="G1197" s="37"/>
      <c r="H1197" s="37"/>
      <c r="I1197" s="32"/>
      <c r="J1197" s="32"/>
      <c r="K1197" s="53"/>
      <c r="L1197" s="32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</row>
    <row r="1198" ht="15.75" customHeight="1">
      <c r="A1198" s="27"/>
      <c r="B1198" s="16" t="str">
        <f t="shared" si="6"/>
        <v/>
      </c>
      <c r="C1198" s="28"/>
      <c r="D1198" s="89"/>
      <c r="E1198" s="90"/>
      <c r="F1198" s="20"/>
      <c r="G1198" s="37"/>
      <c r="H1198" s="37"/>
      <c r="I1198" s="32"/>
      <c r="J1198" s="32"/>
      <c r="K1198" s="53"/>
      <c r="L1198" s="32"/>
      <c r="M1198" s="33"/>
      <c r="N1198" s="33"/>
      <c r="O1198" s="33"/>
      <c r="P1198" s="33"/>
      <c r="Q1198" s="33"/>
      <c r="R1198" s="33"/>
      <c r="S1198" s="33"/>
      <c r="T1198" s="33"/>
      <c r="U1198" s="33"/>
      <c r="V1198" s="33"/>
      <c r="W1198" s="33"/>
      <c r="X1198" s="33"/>
      <c r="Y1198" s="33"/>
      <c r="Z1198" s="33"/>
      <c r="AA1198" s="33"/>
      <c r="AB1198" s="33"/>
      <c r="AC1198" s="33"/>
    </row>
    <row r="1199" ht="15.75" customHeight="1">
      <c r="A1199" s="27"/>
      <c r="B1199" s="16" t="str">
        <f t="shared" si="6"/>
        <v/>
      </c>
      <c r="C1199" s="28"/>
      <c r="D1199" s="89"/>
      <c r="E1199" s="90"/>
      <c r="F1199" s="20"/>
      <c r="G1199" s="37"/>
      <c r="H1199" s="37"/>
      <c r="I1199" s="32"/>
      <c r="J1199" s="32"/>
      <c r="K1199" s="53"/>
      <c r="L1199" s="32"/>
      <c r="M1199" s="33"/>
      <c r="N1199" s="33"/>
      <c r="O1199" s="33"/>
      <c r="P1199" s="33"/>
      <c r="Q1199" s="33"/>
      <c r="R1199" s="33"/>
      <c r="S1199" s="33"/>
      <c r="T1199" s="33"/>
      <c r="U1199" s="33"/>
      <c r="V1199" s="33"/>
      <c r="W1199" s="33"/>
      <c r="X1199" s="33"/>
      <c r="Y1199" s="33"/>
      <c r="Z1199" s="33"/>
      <c r="AA1199" s="33"/>
      <c r="AB1199" s="33"/>
      <c r="AC1199" s="33"/>
    </row>
    <row r="1200" ht="15.75" customHeight="1">
      <c r="A1200" s="27"/>
      <c r="B1200" s="16" t="str">
        <f t="shared" si="6"/>
        <v/>
      </c>
      <c r="C1200" s="28"/>
      <c r="D1200" s="89"/>
      <c r="E1200" s="90"/>
      <c r="F1200" s="20"/>
      <c r="G1200" s="37"/>
      <c r="H1200" s="37"/>
      <c r="I1200" s="32"/>
      <c r="J1200" s="32"/>
      <c r="K1200" s="53"/>
      <c r="L1200" s="32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</row>
    <row r="1201" ht="15.75" customHeight="1">
      <c r="A1201" s="27"/>
      <c r="B1201" s="16" t="str">
        <f t="shared" si="6"/>
        <v/>
      </c>
      <c r="C1201" s="28"/>
      <c r="D1201" s="89"/>
      <c r="E1201" s="90"/>
      <c r="F1201" s="20"/>
      <c r="G1201" s="37"/>
      <c r="H1201" s="37"/>
      <c r="I1201" s="32"/>
      <c r="J1201" s="32"/>
      <c r="K1201" s="53"/>
      <c r="L1201" s="32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</row>
    <row r="1202" ht="15.75" customHeight="1">
      <c r="A1202" s="27"/>
      <c r="B1202" s="16" t="str">
        <f t="shared" si="6"/>
        <v/>
      </c>
      <c r="C1202" s="28"/>
      <c r="D1202" s="89"/>
      <c r="E1202" s="90"/>
      <c r="F1202" s="20"/>
      <c r="G1202" s="37"/>
      <c r="H1202" s="37"/>
      <c r="I1202" s="32"/>
      <c r="J1202" s="32"/>
      <c r="K1202" s="53"/>
      <c r="L1202" s="32"/>
      <c r="M1202" s="33"/>
      <c r="N1202" s="33"/>
      <c r="O1202" s="33"/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</row>
    <row r="1203" ht="15.75" customHeight="1">
      <c r="A1203" s="27"/>
      <c r="B1203" s="16" t="str">
        <f t="shared" si="6"/>
        <v/>
      </c>
      <c r="C1203" s="28"/>
      <c r="D1203" s="89"/>
      <c r="E1203" s="90"/>
      <c r="F1203" s="20"/>
      <c r="G1203" s="37"/>
      <c r="H1203" s="37"/>
      <c r="I1203" s="32"/>
      <c r="J1203" s="32"/>
      <c r="K1203" s="53"/>
      <c r="L1203" s="32"/>
      <c r="M1203" s="33"/>
      <c r="N1203" s="33"/>
      <c r="O1203" s="33"/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</row>
    <row r="1204" ht="15.75" customHeight="1">
      <c r="A1204" s="27"/>
      <c r="B1204" s="16" t="str">
        <f t="shared" si="6"/>
        <v/>
      </c>
      <c r="C1204" s="28"/>
      <c r="D1204" s="89"/>
      <c r="E1204" s="90"/>
      <c r="F1204" s="20"/>
      <c r="G1204" s="37"/>
      <c r="H1204" s="37"/>
      <c r="I1204" s="32"/>
      <c r="J1204" s="32"/>
      <c r="K1204" s="53"/>
      <c r="L1204" s="32"/>
      <c r="M1204" s="33"/>
      <c r="N1204" s="33"/>
      <c r="O1204" s="33"/>
      <c r="P1204" s="33"/>
      <c r="Q1204" s="33"/>
      <c r="R1204" s="33"/>
      <c r="S1204" s="33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</row>
    <row r="1205" ht="15.75" customHeight="1">
      <c r="A1205" s="27"/>
      <c r="B1205" s="16" t="str">
        <f t="shared" si="6"/>
        <v/>
      </c>
      <c r="C1205" s="28"/>
      <c r="D1205" s="89"/>
      <c r="E1205" s="90"/>
      <c r="F1205" s="20"/>
      <c r="G1205" s="37"/>
      <c r="H1205" s="37"/>
      <c r="I1205" s="32"/>
      <c r="J1205" s="32"/>
      <c r="K1205" s="53"/>
      <c r="L1205" s="32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</row>
    <row r="1206" ht="15.75" customHeight="1">
      <c r="A1206" s="27"/>
      <c r="B1206" s="16" t="str">
        <f t="shared" si="6"/>
        <v/>
      </c>
      <c r="C1206" s="28"/>
      <c r="D1206" s="89"/>
      <c r="E1206" s="90"/>
      <c r="F1206" s="20"/>
      <c r="G1206" s="37"/>
      <c r="H1206" s="37"/>
      <c r="I1206" s="32"/>
      <c r="J1206" s="32"/>
      <c r="K1206" s="53"/>
      <c r="L1206" s="32"/>
      <c r="M1206" s="33"/>
      <c r="N1206" s="33"/>
      <c r="O1206" s="33"/>
      <c r="P1206" s="33"/>
      <c r="Q1206" s="33"/>
      <c r="R1206" s="33"/>
      <c r="S1206" s="33"/>
      <c r="T1206" s="33"/>
      <c r="U1206" s="33"/>
      <c r="V1206" s="33"/>
      <c r="W1206" s="33"/>
      <c r="X1206" s="33"/>
      <c r="Y1206" s="33"/>
      <c r="Z1206" s="33"/>
      <c r="AA1206" s="33"/>
      <c r="AB1206" s="33"/>
      <c r="AC1206" s="33"/>
    </row>
    <row r="1207" ht="15.75" customHeight="1">
      <c r="A1207" s="27"/>
      <c r="B1207" s="16" t="str">
        <f t="shared" si="6"/>
        <v/>
      </c>
      <c r="C1207" s="28"/>
      <c r="D1207" s="89"/>
      <c r="E1207" s="90"/>
      <c r="F1207" s="20"/>
      <c r="G1207" s="37"/>
      <c r="H1207" s="37"/>
      <c r="I1207" s="32"/>
      <c r="J1207" s="32"/>
      <c r="K1207" s="53"/>
      <c r="L1207" s="32"/>
      <c r="M1207" s="33"/>
      <c r="N1207" s="33"/>
      <c r="O1207" s="33"/>
      <c r="P1207" s="33"/>
      <c r="Q1207" s="33"/>
      <c r="R1207" s="33"/>
      <c r="S1207" s="33"/>
      <c r="T1207" s="33"/>
      <c r="U1207" s="33"/>
      <c r="V1207" s="33"/>
      <c r="W1207" s="33"/>
      <c r="X1207" s="33"/>
      <c r="Y1207" s="33"/>
      <c r="Z1207" s="33"/>
      <c r="AA1207" s="33"/>
      <c r="AB1207" s="33"/>
      <c r="AC1207" s="33"/>
    </row>
    <row r="1208" ht="15.75" customHeight="1">
      <c r="A1208" s="27"/>
      <c r="B1208" s="16" t="str">
        <f t="shared" si="6"/>
        <v/>
      </c>
      <c r="C1208" s="28"/>
      <c r="D1208" s="89"/>
      <c r="E1208" s="90"/>
      <c r="F1208" s="20"/>
      <c r="G1208" s="37"/>
      <c r="H1208" s="37"/>
      <c r="I1208" s="32"/>
      <c r="J1208" s="32"/>
      <c r="K1208" s="53"/>
      <c r="L1208" s="32"/>
      <c r="M1208" s="33"/>
      <c r="N1208" s="33"/>
      <c r="O1208" s="33"/>
      <c r="P1208" s="33"/>
      <c r="Q1208" s="33"/>
      <c r="R1208" s="33"/>
      <c r="S1208" s="33"/>
      <c r="T1208" s="33"/>
      <c r="U1208" s="33"/>
      <c r="V1208" s="33"/>
      <c r="W1208" s="33"/>
      <c r="X1208" s="33"/>
      <c r="Y1208" s="33"/>
      <c r="Z1208" s="33"/>
      <c r="AA1208" s="33"/>
      <c r="AB1208" s="33"/>
      <c r="AC1208" s="33"/>
    </row>
    <row r="1209" ht="15.75" customHeight="1">
      <c r="A1209" s="27"/>
      <c r="B1209" s="16" t="str">
        <f t="shared" si="6"/>
        <v/>
      </c>
      <c r="C1209" s="28"/>
      <c r="D1209" s="89"/>
      <c r="E1209" s="90"/>
      <c r="F1209" s="20"/>
      <c r="G1209" s="37"/>
      <c r="H1209" s="37"/>
      <c r="I1209" s="32"/>
      <c r="J1209" s="32"/>
      <c r="K1209" s="53"/>
      <c r="L1209" s="32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</row>
    <row r="1210" ht="15.75" customHeight="1">
      <c r="A1210" s="27"/>
      <c r="B1210" s="16" t="str">
        <f t="shared" si="6"/>
        <v/>
      </c>
      <c r="C1210" s="28"/>
      <c r="D1210" s="89"/>
      <c r="E1210" s="90"/>
      <c r="F1210" s="20"/>
      <c r="G1210" s="37"/>
      <c r="H1210" s="37"/>
      <c r="I1210" s="32"/>
      <c r="J1210" s="32"/>
      <c r="K1210" s="53"/>
      <c r="L1210" s="32"/>
      <c r="M1210" s="33"/>
      <c r="N1210" s="33"/>
      <c r="O1210" s="33"/>
      <c r="P1210" s="33"/>
      <c r="Q1210" s="33"/>
      <c r="R1210" s="33"/>
      <c r="S1210" s="33"/>
      <c r="T1210" s="33"/>
      <c r="U1210" s="33"/>
      <c r="V1210" s="33"/>
      <c r="W1210" s="33"/>
      <c r="X1210" s="33"/>
      <c r="Y1210" s="33"/>
      <c r="Z1210" s="33"/>
      <c r="AA1210" s="33"/>
      <c r="AB1210" s="33"/>
      <c r="AC1210" s="33"/>
    </row>
    <row r="1211" ht="15.75" customHeight="1">
      <c r="A1211" s="27"/>
      <c r="B1211" s="16" t="str">
        <f t="shared" si="6"/>
        <v/>
      </c>
      <c r="C1211" s="28"/>
      <c r="D1211" s="89"/>
      <c r="E1211" s="90"/>
      <c r="F1211" s="20"/>
      <c r="G1211" s="37"/>
      <c r="H1211" s="37"/>
      <c r="I1211" s="32"/>
      <c r="J1211" s="32"/>
      <c r="K1211" s="53"/>
      <c r="L1211" s="32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</row>
    <row r="1212" ht="15.75" customHeight="1">
      <c r="A1212" s="27"/>
      <c r="B1212" s="16" t="str">
        <f t="shared" si="6"/>
        <v/>
      </c>
      <c r="C1212" s="28"/>
      <c r="D1212" s="89"/>
      <c r="E1212" s="90"/>
      <c r="F1212" s="20"/>
      <c r="G1212" s="37"/>
      <c r="H1212" s="37"/>
      <c r="I1212" s="32"/>
      <c r="J1212" s="32"/>
      <c r="K1212" s="53"/>
      <c r="L1212" s="32"/>
      <c r="M1212" s="33"/>
      <c r="N1212" s="33"/>
      <c r="O1212" s="33"/>
      <c r="P1212" s="33"/>
      <c r="Q1212" s="33"/>
      <c r="R1212" s="33"/>
      <c r="S1212" s="33"/>
      <c r="T1212" s="33"/>
      <c r="U1212" s="33"/>
      <c r="V1212" s="33"/>
      <c r="W1212" s="33"/>
      <c r="X1212" s="33"/>
      <c r="Y1212" s="33"/>
      <c r="Z1212" s="33"/>
      <c r="AA1212" s="33"/>
      <c r="AB1212" s="33"/>
      <c r="AC1212" s="33"/>
    </row>
    <row r="1213" ht="15.75" customHeight="1">
      <c r="A1213" s="27"/>
      <c r="B1213" s="16" t="str">
        <f t="shared" si="6"/>
        <v/>
      </c>
      <c r="C1213" s="28"/>
      <c r="D1213" s="89"/>
      <c r="E1213" s="90"/>
      <c r="F1213" s="20"/>
      <c r="G1213" s="37"/>
      <c r="H1213" s="37"/>
      <c r="I1213" s="32"/>
      <c r="J1213" s="32"/>
      <c r="K1213" s="53"/>
      <c r="L1213" s="32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</row>
    <row r="1214" ht="15.75" customHeight="1">
      <c r="A1214" s="27"/>
      <c r="B1214" s="16" t="str">
        <f t="shared" si="6"/>
        <v/>
      </c>
      <c r="C1214" s="28"/>
      <c r="D1214" s="89"/>
      <c r="E1214" s="90"/>
      <c r="F1214" s="20"/>
      <c r="G1214" s="37"/>
      <c r="H1214" s="37"/>
      <c r="I1214" s="32"/>
      <c r="J1214" s="32"/>
      <c r="K1214" s="53"/>
      <c r="L1214" s="32"/>
      <c r="M1214" s="33"/>
      <c r="N1214" s="33"/>
      <c r="O1214" s="33"/>
      <c r="P1214" s="33"/>
      <c r="Q1214" s="33"/>
      <c r="R1214" s="33"/>
      <c r="S1214" s="33"/>
      <c r="T1214" s="33"/>
      <c r="U1214" s="33"/>
      <c r="V1214" s="33"/>
      <c r="W1214" s="33"/>
      <c r="X1214" s="33"/>
      <c r="Y1214" s="33"/>
      <c r="Z1214" s="33"/>
      <c r="AA1214" s="33"/>
      <c r="AB1214" s="33"/>
      <c r="AC1214" s="33"/>
    </row>
    <row r="1215" ht="15.75" customHeight="1">
      <c r="A1215" s="27"/>
      <c r="B1215" s="16" t="str">
        <f t="shared" si="6"/>
        <v/>
      </c>
      <c r="C1215" s="28"/>
      <c r="D1215" s="89"/>
      <c r="E1215" s="90"/>
      <c r="F1215" s="20"/>
      <c r="G1215" s="37"/>
      <c r="H1215" s="37"/>
      <c r="I1215" s="32"/>
      <c r="J1215" s="32"/>
      <c r="K1215" s="53"/>
      <c r="L1215" s="32"/>
      <c r="M1215" s="33"/>
      <c r="N1215" s="33"/>
      <c r="O1215" s="33"/>
      <c r="P1215" s="33"/>
      <c r="Q1215" s="33"/>
      <c r="R1215" s="33"/>
      <c r="S1215" s="33"/>
      <c r="T1215" s="33"/>
      <c r="U1215" s="33"/>
      <c r="V1215" s="33"/>
      <c r="W1215" s="33"/>
      <c r="X1215" s="33"/>
      <c r="Y1215" s="33"/>
      <c r="Z1215" s="33"/>
      <c r="AA1215" s="33"/>
      <c r="AB1215" s="33"/>
      <c r="AC1215" s="33"/>
    </row>
    <row r="1216" ht="15.75" customHeight="1">
      <c r="A1216" s="27"/>
      <c r="B1216" s="16" t="str">
        <f t="shared" si="6"/>
        <v/>
      </c>
      <c r="C1216" s="28"/>
      <c r="D1216" s="89"/>
      <c r="E1216" s="90"/>
      <c r="F1216" s="20"/>
      <c r="G1216" s="37"/>
      <c r="H1216" s="37"/>
      <c r="I1216" s="32"/>
      <c r="J1216" s="32"/>
      <c r="K1216" s="53"/>
      <c r="L1216" s="32"/>
      <c r="M1216" s="33"/>
      <c r="N1216" s="33"/>
      <c r="O1216" s="33"/>
      <c r="P1216" s="33"/>
      <c r="Q1216" s="33"/>
      <c r="R1216" s="33"/>
      <c r="S1216" s="33"/>
      <c r="T1216" s="33"/>
      <c r="U1216" s="33"/>
      <c r="V1216" s="33"/>
      <c r="W1216" s="33"/>
      <c r="X1216" s="33"/>
      <c r="Y1216" s="33"/>
      <c r="Z1216" s="33"/>
      <c r="AA1216" s="33"/>
      <c r="AB1216" s="33"/>
      <c r="AC1216" s="33"/>
    </row>
    <row r="1217" ht="15.75" customHeight="1">
      <c r="A1217" s="27"/>
      <c r="B1217" s="16" t="str">
        <f t="shared" si="6"/>
        <v/>
      </c>
      <c r="C1217" s="28"/>
      <c r="D1217" s="89"/>
      <c r="E1217" s="90"/>
      <c r="F1217" s="20"/>
      <c r="G1217" s="37"/>
      <c r="H1217" s="37"/>
      <c r="I1217" s="32"/>
      <c r="J1217" s="32"/>
      <c r="K1217" s="53"/>
      <c r="L1217" s="32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</row>
    <row r="1218" ht="15.75" customHeight="1">
      <c r="A1218" s="27"/>
      <c r="B1218" s="16" t="str">
        <f t="shared" si="6"/>
        <v/>
      </c>
      <c r="C1218" s="28"/>
      <c r="D1218" s="89"/>
      <c r="E1218" s="90"/>
      <c r="F1218" s="20"/>
      <c r="G1218" s="37"/>
      <c r="H1218" s="37"/>
      <c r="I1218" s="32"/>
      <c r="J1218" s="32"/>
      <c r="K1218" s="53"/>
      <c r="L1218" s="32"/>
      <c r="M1218" s="33"/>
      <c r="N1218" s="33"/>
      <c r="O1218" s="33"/>
      <c r="P1218" s="33"/>
      <c r="Q1218" s="33"/>
      <c r="R1218" s="33"/>
      <c r="S1218" s="33"/>
      <c r="T1218" s="33"/>
      <c r="U1218" s="33"/>
      <c r="V1218" s="33"/>
      <c r="W1218" s="33"/>
      <c r="X1218" s="33"/>
      <c r="Y1218" s="33"/>
      <c r="Z1218" s="33"/>
      <c r="AA1218" s="33"/>
      <c r="AB1218" s="33"/>
      <c r="AC1218" s="33"/>
    </row>
    <row r="1219" ht="15.75" customHeight="1">
      <c r="A1219" s="27"/>
      <c r="B1219" s="16" t="str">
        <f t="shared" si="6"/>
        <v/>
      </c>
      <c r="C1219" s="28"/>
      <c r="D1219" s="89"/>
      <c r="E1219" s="90"/>
      <c r="F1219" s="20"/>
      <c r="G1219" s="37"/>
      <c r="H1219" s="37"/>
      <c r="I1219" s="32"/>
      <c r="J1219" s="32"/>
      <c r="K1219" s="53"/>
      <c r="L1219" s="32"/>
      <c r="M1219" s="33"/>
      <c r="N1219" s="33"/>
      <c r="O1219" s="33"/>
      <c r="P1219" s="33"/>
      <c r="Q1219" s="33"/>
      <c r="R1219" s="33"/>
      <c r="S1219" s="33"/>
      <c r="T1219" s="33"/>
      <c r="U1219" s="33"/>
      <c r="V1219" s="33"/>
      <c r="W1219" s="33"/>
      <c r="X1219" s="33"/>
      <c r="Y1219" s="33"/>
      <c r="Z1219" s="33"/>
      <c r="AA1219" s="33"/>
      <c r="AB1219" s="33"/>
      <c r="AC1219" s="33"/>
    </row>
    <row r="1220" ht="15.75" customHeight="1">
      <c r="A1220" s="27"/>
      <c r="B1220" s="16" t="str">
        <f t="shared" si="6"/>
        <v/>
      </c>
      <c r="C1220" s="28"/>
      <c r="D1220" s="89"/>
      <c r="E1220" s="90"/>
      <c r="F1220" s="20"/>
      <c r="G1220" s="37"/>
      <c r="H1220" s="37"/>
      <c r="I1220" s="32"/>
      <c r="J1220" s="32"/>
      <c r="K1220" s="53"/>
      <c r="L1220" s="32"/>
      <c r="M1220" s="33"/>
      <c r="N1220" s="33"/>
      <c r="O1220" s="33"/>
      <c r="P1220" s="33"/>
      <c r="Q1220" s="33"/>
      <c r="R1220" s="33"/>
      <c r="S1220" s="33"/>
      <c r="T1220" s="33"/>
      <c r="U1220" s="33"/>
      <c r="V1220" s="33"/>
      <c r="W1220" s="33"/>
      <c r="X1220" s="33"/>
      <c r="Y1220" s="33"/>
      <c r="Z1220" s="33"/>
      <c r="AA1220" s="33"/>
      <c r="AB1220" s="33"/>
      <c r="AC1220" s="33"/>
    </row>
    <row r="1221" ht="15.75" customHeight="1">
      <c r="A1221" s="27"/>
      <c r="B1221" s="16" t="str">
        <f t="shared" si="6"/>
        <v/>
      </c>
      <c r="C1221" s="28"/>
      <c r="D1221" s="89"/>
      <c r="E1221" s="90"/>
      <c r="F1221" s="20"/>
      <c r="G1221" s="37"/>
      <c r="H1221" s="37"/>
      <c r="I1221" s="32"/>
      <c r="J1221" s="32"/>
      <c r="K1221" s="53"/>
      <c r="L1221" s="32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</row>
    <row r="1222" ht="15.75" customHeight="1">
      <c r="A1222" s="27"/>
      <c r="B1222" s="16" t="str">
        <f t="shared" si="6"/>
        <v/>
      </c>
      <c r="C1222" s="28"/>
      <c r="D1222" s="89"/>
      <c r="E1222" s="90"/>
      <c r="F1222" s="20"/>
      <c r="G1222" s="37"/>
      <c r="H1222" s="37"/>
      <c r="I1222" s="32"/>
      <c r="J1222" s="32"/>
      <c r="K1222" s="53"/>
      <c r="L1222" s="32"/>
      <c r="M1222" s="33"/>
      <c r="N1222" s="33"/>
      <c r="O1222" s="33"/>
      <c r="P1222" s="33"/>
      <c r="Q1222" s="33"/>
      <c r="R1222" s="33"/>
      <c r="S1222" s="33"/>
      <c r="T1222" s="33"/>
      <c r="U1222" s="33"/>
      <c r="V1222" s="33"/>
      <c r="W1222" s="33"/>
      <c r="X1222" s="33"/>
      <c r="Y1222" s="33"/>
      <c r="Z1222" s="33"/>
      <c r="AA1222" s="33"/>
      <c r="AB1222" s="33"/>
      <c r="AC1222" s="33"/>
    </row>
    <row r="1223" ht="15.75" customHeight="1">
      <c r="A1223" s="27"/>
      <c r="B1223" s="16" t="str">
        <f t="shared" si="6"/>
        <v/>
      </c>
      <c r="C1223" s="28"/>
      <c r="D1223" s="89"/>
      <c r="E1223" s="90"/>
      <c r="F1223" s="20"/>
      <c r="G1223" s="37"/>
      <c r="H1223" s="37"/>
      <c r="I1223" s="32"/>
      <c r="J1223" s="32"/>
      <c r="K1223" s="53"/>
      <c r="L1223" s="32"/>
      <c r="M1223" s="33"/>
      <c r="N1223" s="33"/>
      <c r="O1223" s="33"/>
      <c r="P1223" s="33"/>
      <c r="Q1223" s="33"/>
      <c r="R1223" s="33"/>
      <c r="S1223" s="33"/>
      <c r="T1223" s="33"/>
      <c r="U1223" s="33"/>
      <c r="V1223" s="33"/>
      <c r="W1223" s="33"/>
      <c r="X1223" s="33"/>
      <c r="Y1223" s="33"/>
      <c r="Z1223" s="33"/>
      <c r="AA1223" s="33"/>
      <c r="AB1223" s="33"/>
      <c r="AC1223" s="33"/>
    </row>
    <row r="1224" ht="15.75" customHeight="1">
      <c r="A1224" s="27"/>
      <c r="B1224" s="16" t="str">
        <f t="shared" si="6"/>
        <v/>
      </c>
      <c r="C1224" s="28"/>
      <c r="D1224" s="89"/>
      <c r="E1224" s="90"/>
      <c r="F1224" s="20"/>
      <c r="G1224" s="37"/>
      <c r="H1224" s="37"/>
      <c r="I1224" s="32"/>
      <c r="J1224" s="32"/>
      <c r="K1224" s="53"/>
      <c r="L1224" s="32"/>
      <c r="M1224" s="33"/>
      <c r="N1224" s="33"/>
      <c r="O1224" s="33"/>
      <c r="P1224" s="33"/>
      <c r="Q1224" s="33"/>
      <c r="R1224" s="33"/>
      <c r="S1224" s="33"/>
      <c r="T1224" s="33"/>
      <c r="U1224" s="33"/>
      <c r="V1224" s="33"/>
      <c r="W1224" s="33"/>
      <c r="X1224" s="33"/>
      <c r="Y1224" s="33"/>
      <c r="Z1224" s="33"/>
      <c r="AA1224" s="33"/>
      <c r="AB1224" s="33"/>
      <c r="AC1224" s="33"/>
    </row>
    <row r="1225" ht="15.75" customHeight="1">
      <c r="A1225" s="27"/>
      <c r="B1225" s="16" t="str">
        <f t="shared" si="6"/>
        <v/>
      </c>
      <c r="C1225" s="28"/>
      <c r="D1225" s="89"/>
      <c r="E1225" s="90"/>
      <c r="F1225" s="20"/>
      <c r="G1225" s="37"/>
      <c r="H1225" s="37"/>
      <c r="I1225" s="32"/>
      <c r="J1225" s="32"/>
      <c r="K1225" s="53"/>
      <c r="L1225" s="32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</row>
    <row r="1226" ht="15.75" customHeight="1">
      <c r="A1226" s="27"/>
      <c r="B1226" s="16" t="str">
        <f t="shared" si="6"/>
        <v/>
      </c>
      <c r="C1226" s="28"/>
      <c r="D1226" s="89"/>
      <c r="E1226" s="90"/>
      <c r="F1226" s="20"/>
      <c r="G1226" s="37"/>
      <c r="H1226" s="37"/>
      <c r="I1226" s="32"/>
      <c r="J1226" s="32"/>
      <c r="K1226" s="53"/>
      <c r="L1226" s="32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</row>
    <row r="1227" ht="15.75" customHeight="1">
      <c r="A1227" s="27"/>
      <c r="B1227" s="16" t="str">
        <f t="shared" si="6"/>
        <v/>
      </c>
      <c r="C1227" s="28"/>
      <c r="D1227" s="89"/>
      <c r="E1227" s="90"/>
      <c r="F1227" s="20"/>
      <c r="G1227" s="37"/>
      <c r="H1227" s="37"/>
      <c r="I1227" s="32"/>
      <c r="J1227" s="32"/>
      <c r="K1227" s="53"/>
      <c r="L1227" s="32"/>
      <c r="M1227" s="33"/>
      <c r="N1227" s="33"/>
      <c r="O1227" s="33"/>
      <c r="P1227" s="33"/>
      <c r="Q1227" s="33"/>
      <c r="R1227" s="33"/>
      <c r="S1227" s="33"/>
      <c r="T1227" s="33"/>
      <c r="U1227" s="33"/>
      <c r="V1227" s="33"/>
      <c r="W1227" s="33"/>
      <c r="X1227" s="33"/>
      <c r="Y1227" s="33"/>
      <c r="Z1227" s="33"/>
      <c r="AA1227" s="33"/>
      <c r="AB1227" s="33"/>
      <c r="AC1227" s="33"/>
    </row>
    <row r="1228" ht="15.75" customHeight="1">
      <c r="A1228" s="27"/>
      <c r="B1228" s="16" t="str">
        <f t="shared" si="6"/>
        <v/>
      </c>
      <c r="C1228" s="28"/>
      <c r="D1228" s="89"/>
      <c r="E1228" s="90"/>
      <c r="F1228" s="20"/>
      <c r="G1228" s="37"/>
      <c r="H1228" s="37"/>
      <c r="I1228" s="32"/>
      <c r="J1228" s="32"/>
      <c r="K1228" s="53"/>
      <c r="L1228" s="32"/>
      <c r="M1228" s="33"/>
      <c r="N1228" s="33"/>
      <c r="O1228" s="33"/>
      <c r="P1228" s="33"/>
      <c r="Q1228" s="33"/>
      <c r="R1228" s="33"/>
      <c r="S1228" s="33"/>
      <c r="T1228" s="33"/>
      <c r="U1228" s="33"/>
      <c r="V1228" s="33"/>
      <c r="W1228" s="33"/>
      <c r="X1228" s="33"/>
      <c r="Y1228" s="33"/>
      <c r="Z1228" s="33"/>
      <c r="AA1228" s="33"/>
      <c r="AB1228" s="33"/>
      <c r="AC1228" s="33"/>
    </row>
    <row r="1229" ht="15.75" customHeight="1">
      <c r="A1229" s="27"/>
      <c r="B1229" s="16" t="str">
        <f t="shared" si="6"/>
        <v/>
      </c>
      <c r="C1229" s="28"/>
      <c r="D1229" s="89"/>
      <c r="E1229" s="90"/>
      <c r="F1229" s="20"/>
      <c r="G1229" s="37"/>
      <c r="H1229" s="37"/>
      <c r="I1229" s="32"/>
      <c r="J1229" s="32"/>
      <c r="K1229" s="53"/>
      <c r="L1229" s="32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</row>
    <row r="1230" ht="15.75" customHeight="1">
      <c r="A1230" s="27"/>
      <c r="B1230" s="16" t="str">
        <f t="shared" si="6"/>
        <v/>
      </c>
      <c r="C1230" s="28"/>
      <c r="D1230" s="89"/>
      <c r="E1230" s="90"/>
      <c r="F1230" s="20"/>
      <c r="G1230" s="37"/>
      <c r="H1230" s="37"/>
      <c r="I1230" s="32"/>
      <c r="J1230" s="32"/>
      <c r="K1230" s="53"/>
      <c r="L1230" s="32"/>
      <c r="M1230" s="33"/>
      <c r="N1230" s="33"/>
      <c r="O1230" s="33"/>
      <c r="P1230" s="33"/>
      <c r="Q1230" s="33"/>
      <c r="R1230" s="33"/>
      <c r="S1230" s="33"/>
      <c r="T1230" s="33"/>
      <c r="U1230" s="33"/>
      <c r="V1230" s="33"/>
      <c r="W1230" s="33"/>
      <c r="X1230" s="33"/>
      <c r="Y1230" s="33"/>
      <c r="Z1230" s="33"/>
      <c r="AA1230" s="33"/>
      <c r="AB1230" s="33"/>
      <c r="AC1230" s="33"/>
    </row>
    <row r="1231" ht="15.75" customHeight="1">
      <c r="A1231" s="27"/>
      <c r="B1231" s="16" t="str">
        <f t="shared" si="6"/>
        <v/>
      </c>
      <c r="C1231" s="28"/>
      <c r="D1231" s="89"/>
      <c r="E1231" s="90"/>
      <c r="F1231" s="20"/>
      <c r="G1231" s="37"/>
      <c r="H1231" s="37"/>
      <c r="I1231" s="32"/>
      <c r="J1231" s="32"/>
      <c r="K1231" s="53"/>
      <c r="L1231" s="32"/>
      <c r="M1231" s="33"/>
      <c r="N1231" s="33"/>
      <c r="O1231" s="33"/>
      <c r="P1231" s="33"/>
      <c r="Q1231" s="33"/>
      <c r="R1231" s="33"/>
      <c r="S1231" s="33"/>
      <c r="T1231" s="33"/>
      <c r="U1231" s="33"/>
      <c r="V1231" s="33"/>
      <c r="W1231" s="33"/>
      <c r="X1231" s="33"/>
      <c r="Y1231" s="33"/>
      <c r="Z1231" s="33"/>
      <c r="AA1231" s="33"/>
      <c r="AB1231" s="33"/>
      <c r="AC1231" s="33"/>
    </row>
    <row r="1232" ht="15.75" customHeight="1">
      <c r="A1232" s="27"/>
      <c r="B1232" s="16" t="str">
        <f t="shared" si="6"/>
        <v/>
      </c>
      <c r="C1232" s="28"/>
      <c r="D1232" s="89"/>
      <c r="E1232" s="90"/>
      <c r="F1232" s="20"/>
      <c r="G1232" s="37"/>
      <c r="H1232" s="37"/>
      <c r="I1232" s="32"/>
      <c r="J1232" s="32"/>
      <c r="K1232" s="53"/>
      <c r="L1232" s="32"/>
      <c r="M1232" s="33"/>
      <c r="N1232" s="33"/>
      <c r="O1232" s="33"/>
      <c r="P1232" s="33"/>
      <c r="Q1232" s="33"/>
      <c r="R1232" s="33"/>
      <c r="S1232" s="33"/>
      <c r="T1232" s="33"/>
      <c r="U1232" s="33"/>
      <c r="V1232" s="33"/>
      <c r="W1232" s="33"/>
      <c r="X1232" s="33"/>
      <c r="Y1232" s="33"/>
      <c r="Z1232" s="33"/>
      <c r="AA1232" s="33"/>
      <c r="AB1232" s="33"/>
      <c r="AC1232" s="33"/>
    </row>
    <row r="1233" ht="15.75" customHeight="1">
      <c r="A1233" s="27"/>
      <c r="B1233" s="16" t="str">
        <f t="shared" si="6"/>
        <v/>
      </c>
      <c r="C1233" s="28"/>
      <c r="D1233" s="89"/>
      <c r="E1233" s="90"/>
      <c r="F1233" s="20"/>
      <c r="G1233" s="37"/>
      <c r="H1233" s="37"/>
      <c r="I1233" s="32"/>
      <c r="J1233" s="32"/>
      <c r="K1233" s="53"/>
      <c r="L1233" s="32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</row>
    <row r="1234" ht="15.75" customHeight="1">
      <c r="A1234" s="27"/>
      <c r="B1234" s="16" t="str">
        <f t="shared" si="6"/>
        <v/>
      </c>
      <c r="C1234" s="28"/>
      <c r="D1234" s="89"/>
      <c r="E1234" s="90"/>
      <c r="F1234" s="20"/>
      <c r="G1234" s="37"/>
      <c r="H1234" s="37"/>
      <c r="I1234" s="32"/>
      <c r="J1234" s="32"/>
      <c r="K1234" s="53"/>
      <c r="L1234" s="32"/>
      <c r="M1234" s="33"/>
      <c r="N1234" s="33"/>
      <c r="O1234" s="33"/>
      <c r="P1234" s="33"/>
      <c r="Q1234" s="33"/>
      <c r="R1234" s="33"/>
      <c r="S1234" s="33"/>
      <c r="T1234" s="33"/>
      <c r="U1234" s="33"/>
      <c r="V1234" s="33"/>
      <c r="W1234" s="33"/>
      <c r="X1234" s="33"/>
      <c r="Y1234" s="33"/>
      <c r="Z1234" s="33"/>
      <c r="AA1234" s="33"/>
      <c r="AB1234" s="33"/>
      <c r="AC1234" s="33"/>
    </row>
    <row r="1235" ht="15.75" customHeight="1">
      <c r="A1235" s="27"/>
      <c r="B1235" s="16" t="str">
        <f t="shared" si="6"/>
        <v/>
      </c>
      <c r="C1235" s="28"/>
      <c r="D1235" s="89"/>
      <c r="E1235" s="90"/>
      <c r="F1235" s="20"/>
      <c r="G1235" s="37"/>
      <c r="H1235" s="37"/>
      <c r="I1235" s="32"/>
      <c r="J1235" s="32"/>
      <c r="K1235" s="53"/>
      <c r="L1235" s="32"/>
      <c r="M1235" s="33"/>
      <c r="N1235" s="33"/>
      <c r="O1235" s="33"/>
      <c r="P1235" s="33"/>
      <c r="Q1235" s="33"/>
      <c r="R1235" s="33"/>
      <c r="S1235" s="33"/>
      <c r="T1235" s="33"/>
      <c r="U1235" s="33"/>
      <c r="V1235" s="33"/>
      <c r="W1235" s="33"/>
      <c r="X1235" s="33"/>
      <c r="Y1235" s="33"/>
      <c r="Z1235" s="33"/>
      <c r="AA1235" s="33"/>
      <c r="AB1235" s="33"/>
      <c r="AC1235" s="33"/>
    </row>
    <row r="1236" ht="15.75" customHeight="1">
      <c r="A1236" s="27"/>
      <c r="B1236" s="16" t="str">
        <f t="shared" si="6"/>
        <v/>
      </c>
      <c r="C1236" s="28"/>
      <c r="D1236" s="89"/>
      <c r="E1236" s="90"/>
      <c r="F1236" s="20"/>
      <c r="G1236" s="37"/>
      <c r="H1236" s="37"/>
      <c r="I1236" s="32"/>
      <c r="J1236" s="32"/>
      <c r="K1236" s="53"/>
      <c r="L1236" s="32"/>
      <c r="M1236" s="33"/>
      <c r="N1236" s="33"/>
      <c r="O1236" s="33"/>
      <c r="P1236" s="33"/>
      <c r="Q1236" s="33"/>
      <c r="R1236" s="33"/>
      <c r="S1236" s="33"/>
      <c r="T1236" s="33"/>
      <c r="U1236" s="33"/>
      <c r="V1236" s="33"/>
      <c r="W1236" s="33"/>
      <c r="X1236" s="33"/>
      <c r="Y1236" s="33"/>
      <c r="Z1236" s="33"/>
      <c r="AA1236" s="33"/>
      <c r="AB1236" s="33"/>
      <c r="AC1236" s="33"/>
    </row>
    <row r="1237" ht="15.75" customHeight="1">
      <c r="A1237" s="27"/>
      <c r="B1237" s="16" t="str">
        <f t="shared" si="6"/>
        <v/>
      </c>
      <c r="C1237" s="28"/>
      <c r="D1237" s="89"/>
      <c r="E1237" s="90"/>
      <c r="F1237" s="20"/>
      <c r="G1237" s="37"/>
      <c r="H1237" s="37"/>
      <c r="I1237" s="32"/>
      <c r="J1237" s="32"/>
      <c r="K1237" s="53"/>
      <c r="L1237" s="32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</row>
    <row r="1238" ht="15.75" customHeight="1">
      <c r="A1238" s="27"/>
      <c r="B1238" s="16" t="str">
        <f t="shared" si="6"/>
        <v/>
      </c>
      <c r="C1238" s="28"/>
      <c r="D1238" s="89"/>
      <c r="E1238" s="90"/>
      <c r="F1238" s="20"/>
      <c r="G1238" s="37"/>
      <c r="H1238" s="37"/>
      <c r="I1238" s="32"/>
      <c r="J1238" s="32"/>
      <c r="K1238" s="53"/>
      <c r="L1238" s="32"/>
      <c r="M1238" s="33"/>
      <c r="N1238" s="33"/>
      <c r="O1238" s="33"/>
      <c r="P1238" s="33"/>
      <c r="Q1238" s="33"/>
      <c r="R1238" s="33"/>
      <c r="S1238" s="33"/>
      <c r="T1238" s="33"/>
      <c r="U1238" s="33"/>
      <c r="V1238" s="33"/>
      <c r="W1238" s="33"/>
      <c r="X1238" s="33"/>
      <c r="Y1238" s="33"/>
      <c r="Z1238" s="33"/>
      <c r="AA1238" s="33"/>
      <c r="AB1238" s="33"/>
      <c r="AC1238" s="33"/>
    </row>
    <row r="1239" ht="15.75" customHeight="1">
      <c r="A1239" s="27"/>
      <c r="B1239" s="16" t="str">
        <f t="shared" si="6"/>
        <v/>
      </c>
      <c r="C1239" s="28"/>
      <c r="D1239" s="89"/>
      <c r="E1239" s="90"/>
      <c r="F1239" s="20"/>
      <c r="G1239" s="37"/>
      <c r="H1239" s="37"/>
      <c r="I1239" s="32"/>
      <c r="J1239" s="32"/>
      <c r="K1239" s="53"/>
      <c r="L1239" s="32"/>
      <c r="M1239" s="33"/>
      <c r="N1239" s="33"/>
      <c r="O1239" s="33"/>
      <c r="P1239" s="33"/>
      <c r="Q1239" s="33"/>
      <c r="R1239" s="33"/>
      <c r="S1239" s="33"/>
      <c r="T1239" s="33"/>
      <c r="U1239" s="33"/>
      <c r="V1239" s="33"/>
      <c r="W1239" s="33"/>
      <c r="X1239" s="33"/>
      <c r="Y1239" s="33"/>
      <c r="Z1239" s="33"/>
      <c r="AA1239" s="33"/>
      <c r="AB1239" s="33"/>
      <c r="AC1239" s="33"/>
    </row>
    <row r="1240" ht="15.75" customHeight="1">
      <c r="A1240" s="27"/>
      <c r="B1240" s="16" t="str">
        <f t="shared" si="6"/>
        <v/>
      </c>
      <c r="C1240" s="28"/>
      <c r="D1240" s="89"/>
      <c r="E1240" s="90"/>
      <c r="F1240" s="20"/>
      <c r="G1240" s="37"/>
      <c r="H1240" s="37"/>
      <c r="I1240" s="32"/>
      <c r="J1240" s="32"/>
      <c r="K1240" s="53"/>
      <c r="L1240" s="32"/>
      <c r="M1240" s="33"/>
      <c r="N1240" s="33"/>
      <c r="O1240" s="33"/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/>
      <c r="AB1240" s="33"/>
      <c r="AC1240" s="33"/>
    </row>
    <row r="1241" ht="15.75" customHeight="1">
      <c r="A1241" s="27"/>
      <c r="B1241" s="16" t="str">
        <f t="shared" si="6"/>
        <v/>
      </c>
      <c r="C1241" s="28"/>
      <c r="D1241" s="89"/>
      <c r="E1241" s="90"/>
      <c r="F1241" s="20"/>
      <c r="G1241" s="37"/>
      <c r="H1241" s="37"/>
      <c r="I1241" s="32"/>
      <c r="J1241" s="32"/>
      <c r="K1241" s="53"/>
      <c r="L1241" s="32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</row>
    <row r="1242" ht="15.75" customHeight="1">
      <c r="A1242" s="27"/>
      <c r="B1242" s="16" t="str">
        <f t="shared" si="6"/>
        <v/>
      </c>
      <c r="C1242" s="28"/>
      <c r="D1242" s="89"/>
      <c r="E1242" s="90"/>
      <c r="F1242" s="20"/>
      <c r="G1242" s="37"/>
      <c r="H1242" s="37"/>
      <c r="I1242" s="32"/>
      <c r="J1242" s="32"/>
      <c r="K1242" s="53"/>
      <c r="L1242" s="32"/>
      <c r="M1242" s="33"/>
      <c r="N1242" s="33"/>
      <c r="O1242" s="33"/>
      <c r="P1242" s="33"/>
      <c r="Q1242" s="33"/>
      <c r="R1242" s="33"/>
      <c r="S1242" s="33"/>
      <c r="T1242" s="33"/>
      <c r="U1242" s="33"/>
      <c r="V1242" s="33"/>
      <c r="W1242" s="33"/>
      <c r="X1242" s="33"/>
      <c r="Y1242" s="33"/>
      <c r="Z1242" s="33"/>
      <c r="AA1242" s="33"/>
      <c r="AB1242" s="33"/>
      <c r="AC1242" s="33"/>
    </row>
    <row r="1243" ht="15.75" customHeight="1">
      <c r="A1243" s="27"/>
      <c r="B1243" s="16" t="str">
        <f t="shared" si="6"/>
        <v/>
      </c>
      <c r="C1243" s="28"/>
      <c r="D1243" s="89"/>
      <c r="E1243" s="90"/>
      <c r="F1243" s="20"/>
      <c r="G1243" s="37"/>
      <c r="H1243" s="37"/>
      <c r="I1243" s="32"/>
      <c r="J1243" s="32"/>
      <c r="K1243" s="53"/>
      <c r="L1243" s="32"/>
      <c r="M1243" s="33"/>
      <c r="N1243" s="33"/>
      <c r="O1243" s="33"/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/>
      <c r="AB1243" s="33"/>
      <c r="AC1243" s="33"/>
    </row>
    <row r="1244" ht="15.75" customHeight="1">
      <c r="A1244" s="27"/>
      <c r="B1244" s="16" t="str">
        <f t="shared" si="6"/>
        <v/>
      </c>
      <c r="C1244" s="28"/>
      <c r="D1244" s="89"/>
      <c r="E1244" s="90"/>
      <c r="F1244" s="20"/>
      <c r="G1244" s="37"/>
      <c r="H1244" s="37"/>
      <c r="I1244" s="32"/>
      <c r="J1244" s="32"/>
      <c r="K1244" s="53"/>
      <c r="L1244" s="32"/>
      <c r="M1244" s="33"/>
      <c r="N1244" s="33"/>
      <c r="O1244" s="33"/>
      <c r="P1244" s="33"/>
      <c r="Q1244" s="33"/>
      <c r="R1244" s="33"/>
      <c r="S1244" s="33"/>
      <c r="T1244" s="33"/>
      <c r="U1244" s="33"/>
      <c r="V1244" s="33"/>
      <c r="W1244" s="33"/>
      <c r="X1244" s="33"/>
      <c r="Y1244" s="33"/>
      <c r="Z1244" s="33"/>
      <c r="AA1244" s="33"/>
      <c r="AB1244" s="33"/>
      <c r="AC1244" s="33"/>
    </row>
    <row r="1245" ht="15.75" customHeight="1">
      <c r="A1245" s="27"/>
      <c r="B1245" s="16" t="str">
        <f t="shared" si="6"/>
        <v/>
      </c>
      <c r="C1245" s="28"/>
      <c r="D1245" s="89"/>
      <c r="E1245" s="90"/>
      <c r="F1245" s="20"/>
      <c r="G1245" s="37"/>
      <c r="H1245" s="37"/>
      <c r="I1245" s="32"/>
      <c r="J1245" s="32"/>
      <c r="K1245" s="53"/>
      <c r="L1245" s="32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</row>
    <row r="1246" ht="15.75" customHeight="1">
      <c r="A1246" s="27"/>
      <c r="B1246" s="16" t="str">
        <f t="shared" si="6"/>
        <v/>
      </c>
      <c r="C1246" s="28"/>
      <c r="D1246" s="89"/>
      <c r="E1246" s="90"/>
      <c r="F1246" s="20"/>
      <c r="G1246" s="37"/>
      <c r="H1246" s="37"/>
      <c r="I1246" s="32"/>
      <c r="J1246" s="32"/>
      <c r="K1246" s="53"/>
      <c r="L1246" s="32"/>
      <c r="M1246" s="33"/>
      <c r="N1246" s="33"/>
      <c r="O1246" s="33"/>
      <c r="P1246" s="33"/>
      <c r="Q1246" s="33"/>
      <c r="R1246" s="33"/>
      <c r="S1246" s="33"/>
      <c r="T1246" s="33"/>
      <c r="U1246" s="33"/>
      <c r="V1246" s="33"/>
      <c r="W1246" s="33"/>
      <c r="X1246" s="33"/>
      <c r="Y1246" s="33"/>
      <c r="Z1246" s="33"/>
      <c r="AA1246" s="33"/>
      <c r="AB1246" s="33"/>
      <c r="AC1246" s="33"/>
    </row>
    <row r="1247" ht="15.75" customHeight="1">
      <c r="A1247" s="27"/>
      <c r="B1247" s="16" t="str">
        <f t="shared" si="6"/>
        <v/>
      </c>
      <c r="C1247" s="28"/>
      <c r="D1247" s="89"/>
      <c r="E1247" s="90"/>
      <c r="F1247" s="20"/>
      <c r="G1247" s="37"/>
      <c r="H1247" s="37"/>
      <c r="I1247" s="32"/>
      <c r="J1247" s="32"/>
      <c r="K1247" s="53"/>
      <c r="L1247" s="32"/>
      <c r="M1247" s="33"/>
      <c r="N1247" s="33"/>
      <c r="O1247" s="33"/>
      <c r="P1247" s="33"/>
      <c r="Q1247" s="33"/>
      <c r="R1247" s="33"/>
      <c r="S1247" s="33"/>
      <c r="T1247" s="33"/>
      <c r="U1247" s="33"/>
      <c r="V1247" s="33"/>
      <c r="W1247" s="33"/>
      <c r="X1247" s="33"/>
      <c r="Y1247" s="33"/>
      <c r="Z1247" s="33"/>
      <c r="AA1247" s="33"/>
      <c r="AB1247" s="33"/>
      <c r="AC1247" s="33"/>
    </row>
    <row r="1248" ht="15.75" customHeight="1">
      <c r="A1248" s="27"/>
      <c r="B1248" s="16" t="str">
        <f t="shared" si="6"/>
        <v/>
      </c>
      <c r="C1248" s="28"/>
      <c r="D1248" s="89"/>
      <c r="E1248" s="90"/>
      <c r="F1248" s="20"/>
      <c r="G1248" s="37"/>
      <c r="H1248" s="37"/>
      <c r="I1248" s="32"/>
      <c r="J1248" s="32"/>
      <c r="K1248" s="53"/>
      <c r="L1248" s="32"/>
      <c r="M1248" s="33"/>
      <c r="N1248" s="33"/>
      <c r="O1248" s="33"/>
      <c r="P1248" s="33"/>
      <c r="Q1248" s="33"/>
      <c r="R1248" s="33"/>
      <c r="S1248" s="33"/>
      <c r="T1248" s="33"/>
      <c r="U1248" s="33"/>
      <c r="V1248" s="33"/>
      <c r="W1248" s="33"/>
      <c r="X1248" s="33"/>
      <c r="Y1248" s="33"/>
      <c r="Z1248" s="33"/>
      <c r="AA1248" s="33"/>
      <c r="AB1248" s="33"/>
      <c r="AC1248" s="33"/>
    </row>
    <row r="1249" ht="15.75" customHeight="1">
      <c r="A1249" s="27"/>
      <c r="B1249" s="16" t="str">
        <f t="shared" si="6"/>
        <v/>
      </c>
      <c r="C1249" s="28"/>
      <c r="D1249" s="89"/>
      <c r="E1249" s="90"/>
      <c r="F1249" s="20"/>
      <c r="G1249" s="37"/>
      <c r="H1249" s="37"/>
      <c r="I1249" s="32"/>
      <c r="J1249" s="32"/>
      <c r="K1249" s="53"/>
      <c r="L1249" s="32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</row>
    <row r="1250" ht="15.75" customHeight="1">
      <c r="A1250" s="27"/>
      <c r="B1250" s="16" t="str">
        <f t="shared" si="6"/>
        <v/>
      </c>
      <c r="C1250" s="28"/>
      <c r="D1250" s="89"/>
      <c r="E1250" s="90"/>
      <c r="F1250" s="20"/>
      <c r="G1250" s="37"/>
      <c r="H1250" s="37"/>
      <c r="I1250" s="32"/>
      <c r="J1250" s="32"/>
      <c r="K1250" s="53"/>
      <c r="L1250" s="32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</row>
    <row r="1251" ht="15.75" customHeight="1">
      <c r="A1251" s="27"/>
      <c r="B1251" s="16" t="str">
        <f t="shared" si="6"/>
        <v/>
      </c>
      <c r="C1251" s="28"/>
      <c r="D1251" s="89"/>
      <c r="E1251" s="90"/>
      <c r="F1251" s="20"/>
      <c r="G1251" s="37"/>
      <c r="H1251" s="37"/>
      <c r="I1251" s="32"/>
      <c r="J1251" s="32"/>
      <c r="K1251" s="53"/>
      <c r="L1251" s="32"/>
      <c r="M1251" s="33"/>
      <c r="N1251" s="33"/>
      <c r="O1251" s="33"/>
      <c r="P1251" s="33"/>
      <c r="Q1251" s="33"/>
      <c r="R1251" s="33"/>
      <c r="S1251" s="33"/>
      <c r="T1251" s="33"/>
      <c r="U1251" s="33"/>
      <c r="V1251" s="33"/>
      <c r="W1251" s="33"/>
      <c r="X1251" s="33"/>
      <c r="Y1251" s="33"/>
      <c r="Z1251" s="33"/>
      <c r="AA1251" s="33"/>
      <c r="AB1251" s="33"/>
      <c r="AC1251" s="33"/>
    </row>
    <row r="1252" ht="15.75" customHeight="1">
      <c r="A1252" s="27"/>
      <c r="B1252" s="16" t="str">
        <f t="shared" si="6"/>
        <v/>
      </c>
      <c r="C1252" s="28"/>
      <c r="D1252" s="89"/>
      <c r="E1252" s="90"/>
      <c r="F1252" s="20"/>
      <c r="G1252" s="37"/>
      <c r="H1252" s="37"/>
      <c r="I1252" s="32"/>
      <c r="J1252" s="32"/>
      <c r="K1252" s="53"/>
      <c r="L1252" s="32"/>
      <c r="M1252" s="33"/>
      <c r="N1252" s="33"/>
      <c r="O1252" s="33"/>
      <c r="P1252" s="33"/>
      <c r="Q1252" s="33"/>
      <c r="R1252" s="33"/>
      <c r="S1252" s="33"/>
      <c r="T1252" s="33"/>
      <c r="U1252" s="33"/>
      <c r="V1252" s="33"/>
      <c r="W1252" s="33"/>
      <c r="X1252" s="33"/>
      <c r="Y1252" s="33"/>
      <c r="Z1252" s="33"/>
      <c r="AA1252" s="33"/>
      <c r="AB1252" s="33"/>
      <c r="AC1252" s="33"/>
    </row>
    <row r="1253" ht="15.75" customHeight="1">
      <c r="A1253" s="27"/>
      <c r="B1253" s="16" t="str">
        <f t="shared" si="6"/>
        <v/>
      </c>
      <c r="C1253" s="28"/>
      <c r="D1253" s="89"/>
      <c r="E1253" s="90"/>
      <c r="F1253" s="20"/>
      <c r="G1253" s="37"/>
      <c r="H1253" s="37"/>
      <c r="I1253" s="32"/>
      <c r="J1253" s="32"/>
      <c r="K1253" s="53"/>
      <c r="L1253" s="32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</row>
    <row r="1254" ht="15.75" customHeight="1">
      <c r="A1254" s="27"/>
      <c r="B1254" s="16" t="str">
        <f t="shared" si="6"/>
        <v/>
      </c>
      <c r="C1254" s="28"/>
      <c r="D1254" s="89"/>
      <c r="E1254" s="90"/>
      <c r="F1254" s="20"/>
      <c r="G1254" s="37"/>
      <c r="H1254" s="37"/>
      <c r="I1254" s="32"/>
      <c r="J1254" s="32"/>
      <c r="K1254" s="53"/>
      <c r="L1254" s="32"/>
      <c r="M1254" s="33"/>
      <c r="N1254" s="33"/>
      <c r="O1254" s="33"/>
      <c r="P1254" s="33"/>
      <c r="Q1254" s="33"/>
      <c r="R1254" s="33"/>
      <c r="S1254" s="33"/>
      <c r="T1254" s="33"/>
      <c r="U1254" s="33"/>
      <c r="V1254" s="33"/>
      <c r="W1254" s="33"/>
      <c r="X1254" s="33"/>
      <c r="Y1254" s="33"/>
      <c r="Z1254" s="33"/>
      <c r="AA1254" s="33"/>
      <c r="AB1254" s="33"/>
      <c r="AC1254" s="33"/>
    </row>
    <row r="1255" ht="15.75" customHeight="1">
      <c r="A1255" s="27"/>
      <c r="B1255" s="16" t="str">
        <f t="shared" si="6"/>
        <v/>
      </c>
      <c r="C1255" s="28"/>
      <c r="D1255" s="89"/>
      <c r="E1255" s="90"/>
      <c r="F1255" s="20"/>
      <c r="G1255" s="37"/>
      <c r="H1255" s="37"/>
      <c r="I1255" s="32"/>
      <c r="J1255" s="32"/>
      <c r="K1255" s="53"/>
      <c r="L1255" s="32"/>
      <c r="M1255" s="33"/>
      <c r="N1255" s="33"/>
      <c r="O1255" s="33"/>
      <c r="P1255" s="33"/>
      <c r="Q1255" s="33"/>
      <c r="R1255" s="33"/>
      <c r="S1255" s="33"/>
      <c r="T1255" s="33"/>
      <c r="U1255" s="33"/>
      <c r="V1255" s="33"/>
      <c r="W1255" s="33"/>
      <c r="X1255" s="33"/>
      <c r="Y1255" s="33"/>
      <c r="Z1255" s="33"/>
      <c r="AA1255" s="33"/>
      <c r="AB1255" s="33"/>
      <c r="AC1255" s="33"/>
    </row>
    <row r="1256" ht="15.75" customHeight="1">
      <c r="A1256" s="27"/>
      <c r="B1256" s="16" t="str">
        <f t="shared" si="6"/>
        <v/>
      </c>
      <c r="C1256" s="28"/>
      <c r="D1256" s="89"/>
      <c r="E1256" s="90"/>
      <c r="F1256" s="20"/>
      <c r="G1256" s="37"/>
      <c r="H1256" s="37"/>
      <c r="I1256" s="32"/>
      <c r="J1256" s="32"/>
      <c r="K1256" s="53"/>
      <c r="L1256" s="32"/>
      <c r="M1256" s="33"/>
      <c r="N1256" s="33"/>
      <c r="O1256" s="33"/>
      <c r="P1256" s="33"/>
      <c r="Q1256" s="33"/>
      <c r="R1256" s="33"/>
      <c r="S1256" s="33"/>
      <c r="T1256" s="33"/>
      <c r="U1256" s="33"/>
      <c r="V1256" s="33"/>
      <c r="W1256" s="33"/>
      <c r="X1256" s="33"/>
      <c r="Y1256" s="33"/>
      <c r="Z1256" s="33"/>
      <c r="AA1256" s="33"/>
      <c r="AB1256" s="33"/>
      <c r="AC1256" s="33"/>
    </row>
    <row r="1257" ht="15.75" customHeight="1">
      <c r="A1257" s="27"/>
      <c r="B1257" s="16" t="str">
        <f t="shared" si="6"/>
        <v/>
      </c>
      <c r="C1257" s="28"/>
      <c r="D1257" s="89"/>
      <c r="E1257" s="90"/>
      <c r="F1257" s="20"/>
      <c r="G1257" s="37"/>
      <c r="H1257" s="37"/>
      <c r="I1257" s="32"/>
      <c r="J1257" s="32"/>
      <c r="K1257" s="53"/>
      <c r="L1257" s="32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</row>
    <row r="1258" ht="15.75" customHeight="1">
      <c r="A1258" s="27"/>
      <c r="B1258" s="16" t="str">
        <f t="shared" si="6"/>
        <v/>
      </c>
      <c r="C1258" s="28"/>
      <c r="D1258" s="89"/>
      <c r="E1258" s="90"/>
      <c r="F1258" s="20"/>
      <c r="G1258" s="37"/>
      <c r="H1258" s="37"/>
      <c r="I1258" s="32"/>
      <c r="J1258" s="32"/>
      <c r="K1258" s="53"/>
      <c r="L1258" s="32"/>
      <c r="M1258" s="33"/>
      <c r="N1258" s="33"/>
      <c r="O1258" s="33"/>
      <c r="P1258" s="33"/>
      <c r="Q1258" s="33"/>
      <c r="R1258" s="33"/>
      <c r="S1258" s="33"/>
      <c r="T1258" s="33"/>
      <c r="U1258" s="33"/>
      <c r="V1258" s="33"/>
      <c r="W1258" s="33"/>
      <c r="X1258" s="33"/>
      <c r="Y1258" s="33"/>
      <c r="Z1258" s="33"/>
      <c r="AA1258" s="33"/>
      <c r="AB1258" s="33"/>
      <c r="AC1258" s="33"/>
    </row>
    <row r="1259" ht="15.75" customHeight="1">
      <c r="A1259" s="27"/>
      <c r="B1259" s="16" t="str">
        <f t="shared" si="6"/>
        <v/>
      </c>
      <c r="C1259" s="28"/>
      <c r="D1259" s="89"/>
      <c r="E1259" s="90"/>
      <c r="F1259" s="20"/>
      <c r="G1259" s="37"/>
      <c r="H1259" s="37"/>
      <c r="I1259" s="32"/>
      <c r="J1259" s="32"/>
      <c r="K1259" s="53"/>
      <c r="L1259" s="32"/>
      <c r="M1259" s="33"/>
      <c r="N1259" s="33"/>
      <c r="O1259" s="33"/>
      <c r="P1259" s="33"/>
      <c r="Q1259" s="33"/>
      <c r="R1259" s="33"/>
      <c r="S1259" s="33"/>
      <c r="T1259" s="33"/>
      <c r="U1259" s="33"/>
      <c r="V1259" s="33"/>
      <c r="W1259" s="33"/>
      <c r="X1259" s="33"/>
      <c r="Y1259" s="33"/>
      <c r="Z1259" s="33"/>
      <c r="AA1259" s="33"/>
      <c r="AB1259" s="33"/>
      <c r="AC1259" s="33"/>
    </row>
    <row r="1260" ht="15.75" customHeight="1">
      <c r="A1260" s="27"/>
      <c r="B1260" s="16" t="str">
        <f t="shared" si="6"/>
        <v/>
      </c>
      <c r="C1260" s="28"/>
      <c r="D1260" s="89"/>
      <c r="E1260" s="90"/>
      <c r="F1260" s="20"/>
      <c r="G1260" s="37"/>
      <c r="H1260" s="37"/>
      <c r="I1260" s="32"/>
      <c r="J1260" s="32"/>
      <c r="K1260" s="53"/>
      <c r="L1260" s="32"/>
      <c r="M1260" s="33"/>
      <c r="N1260" s="33"/>
      <c r="O1260" s="33"/>
      <c r="P1260" s="33"/>
      <c r="Q1260" s="33"/>
      <c r="R1260" s="33"/>
      <c r="S1260" s="33"/>
      <c r="T1260" s="33"/>
      <c r="U1260" s="33"/>
      <c r="V1260" s="33"/>
      <c r="W1260" s="33"/>
      <c r="X1260" s="33"/>
      <c r="Y1260" s="33"/>
      <c r="Z1260" s="33"/>
      <c r="AA1260" s="33"/>
      <c r="AB1260" s="33"/>
      <c r="AC1260" s="33"/>
    </row>
    <row r="1261" ht="15.75" customHeight="1">
      <c r="A1261" s="27"/>
      <c r="B1261" s="16" t="str">
        <f t="shared" si="6"/>
        <v/>
      </c>
      <c r="C1261" s="28"/>
      <c r="D1261" s="89"/>
      <c r="E1261" s="90"/>
      <c r="F1261" s="20"/>
      <c r="G1261" s="37"/>
      <c r="H1261" s="37"/>
      <c r="I1261" s="32"/>
      <c r="J1261" s="32"/>
      <c r="K1261" s="53"/>
      <c r="L1261" s="32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</row>
    <row r="1262" ht="15.75" customHeight="1">
      <c r="A1262" s="27"/>
      <c r="B1262" s="16" t="str">
        <f t="shared" si="6"/>
        <v/>
      </c>
      <c r="C1262" s="28"/>
      <c r="D1262" s="89"/>
      <c r="E1262" s="90"/>
      <c r="F1262" s="20"/>
      <c r="G1262" s="37"/>
      <c r="H1262" s="37"/>
      <c r="I1262" s="32"/>
      <c r="J1262" s="32"/>
      <c r="K1262" s="53"/>
      <c r="L1262" s="32"/>
      <c r="M1262" s="33"/>
      <c r="N1262" s="33"/>
      <c r="O1262" s="33"/>
      <c r="P1262" s="33"/>
      <c r="Q1262" s="33"/>
      <c r="R1262" s="33"/>
      <c r="S1262" s="33"/>
      <c r="T1262" s="33"/>
      <c r="U1262" s="33"/>
      <c r="V1262" s="33"/>
      <c r="W1262" s="33"/>
      <c r="X1262" s="33"/>
      <c r="Y1262" s="33"/>
      <c r="Z1262" s="33"/>
      <c r="AA1262" s="33"/>
      <c r="AB1262" s="33"/>
      <c r="AC1262" s="33"/>
    </row>
    <row r="1263" ht="15.75" customHeight="1">
      <c r="A1263" s="27"/>
      <c r="B1263" s="16" t="str">
        <f t="shared" si="6"/>
        <v/>
      </c>
      <c r="C1263" s="28"/>
      <c r="D1263" s="89"/>
      <c r="E1263" s="90"/>
      <c r="F1263" s="20"/>
      <c r="G1263" s="37"/>
      <c r="H1263" s="37"/>
      <c r="I1263" s="32"/>
      <c r="J1263" s="32"/>
      <c r="K1263" s="53"/>
      <c r="L1263" s="32"/>
      <c r="M1263" s="33"/>
      <c r="N1263" s="33"/>
      <c r="O1263" s="33"/>
      <c r="P1263" s="33"/>
      <c r="Q1263" s="33"/>
      <c r="R1263" s="33"/>
      <c r="S1263" s="33"/>
      <c r="T1263" s="33"/>
      <c r="U1263" s="33"/>
      <c r="V1263" s="33"/>
      <c r="W1263" s="33"/>
      <c r="X1263" s="33"/>
      <c r="Y1263" s="33"/>
      <c r="Z1263" s="33"/>
      <c r="AA1263" s="33"/>
      <c r="AB1263" s="33"/>
      <c r="AC1263" s="33"/>
    </row>
    <row r="1264" ht="15.75" customHeight="1">
      <c r="A1264" s="27"/>
      <c r="B1264" s="16" t="str">
        <f t="shared" si="6"/>
        <v/>
      </c>
      <c r="C1264" s="28"/>
      <c r="D1264" s="89"/>
      <c r="E1264" s="90"/>
      <c r="F1264" s="20"/>
      <c r="G1264" s="37"/>
      <c r="H1264" s="37"/>
      <c r="I1264" s="32"/>
      <c r="J1264" s="32"/>
      <c r="K1264" s="53"/>
      <c r="L1264" s="32"/>
      <c r="M1264" s="33"/>
      <c r="N1264" s="33"/>
      <c r="O1264" s="33"/>
      <c r="P1264" s="33"/>
      <c r="Q1264" s="33"/>
      <c r="R1264" s="33"/>
      <c r="S1264" s="33"/>
      <c r="T1264" s="33"/>
      <c r="U1264" s="33"/>
      <c r="V1264" s="33"/>
      <c r="W1264" s="33"/>
      <c r="X1264" s="33"/>
      <c r="Y1264" s="33"/>
      <c r="Z1264" s="33"/>
      <c r="AA1264" s="33"/>
      <c r="AB1264" s="33"/>
      <c r="AC1264" s="33"/>
    </row>
    <row r="1265" ht="15.75" customHeight="1">
      <c r="A1265" s="27"/>
      <c r="B1265" s="16" t="str">
        <f t="shared" si="6"/>
        <v/>
      </c>
      <c r="C1265" s="28"/>
      <c r="D1265" s="89"/>
      <c r="E1265" s="90"/>
      <c r="F1265" s="20"/>
      <c r="G1265" s="37"/>
      <c r="H1265" s="37"/>
      <c r="I1265" s="32"/>
      <c r="J1265" s="32"/>
      <c r="K1265" s="53"/>
      <c r="L1265" s="32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</row>
    <row r="1266" ht="15.75" customHeight="1">
      <c r="A1266" s="27"/>
      <c r="B1266" s="16" t="str">
        <f t="shared" si="6"/>
        <v/>
      </c>
      <c r="C1266" s="28"/>
      <c r="D1266" s="89"/>
      <c r="E1266" s="90"/>
      <c r="F1266" s="20"/>
      <c r="G1266" s="37"/>
      <c r="H1266" s="37"/>
      <c r="I1266" s="32"/>
      <c r="J1266" s="32"/>
      <c r="K1266" s="53"/>
      <c r="L1266" s="32"/>
      <c r="M1266" s="33"/>
      <c r="N1266" s="33"/>
      <c r="O1266" s="33"/>
      <c r="P1266" s="33"/>
      <c r="Q1266" s="33"/>
      <c r="R1266" s="33"/>
      <c r="S1266" s="33"/>
      <c r="T1266" s="33"/>
      <c r="U1266" s="33"/>
      <c r="V1266" s="33"/>
      <c r="W1266" s="33"/>
      <c r="X1266" s="33"/>
      <c r="Y1266" s="33"/>
      <c r="Z1266" s="33"/>
      <c r="AA1266" s="33"/>
      <c r="AB1266" s="33"/>
      <c r="AC1266" s="33"/>
    </row>
    <row r="1267" ht="15.75" customHeight="1">
      <c r="A1267" s="27"/>
      <c r="B1267" s="16" t="str">
        <f t="shared" si="6"/>
        <v/>
      </c>
      <c r="C1267" s="28"/>
      <c r="D1267" s="89"/>
      <c r="E1267" s="90"/>
      <c r="F1267" s="20"/>
      <c r="G1267" s="37"/>
      <c r="H1267" s="37"/>
      <c r="I1267" s="32"/>
      <c r="J1267" s="32"/>
      <c r="K1267" s="53"/>
      <c r="L1267" s="32"/>
      <c r="M1267" s="33"/>
      <c r="N1267" s="33"/>
      <c r="O1267" s="33"/>
      <c r="P1267" s="33"/>
      <c r="Q1267" s="33"/>
      <c r="R1267" s="33"/>
      <c r="S1267" s="33"/>
      <c r="T1267" s="33"/>
      <c r="U1267" s="33"/>
      <c r="V1267" s="33"/>
      <c r="W1267" s="33"/>
      <c r="X1267" s="33"/>
      <c r="Y1267" s="33"/>
      <c r="Z1267" s="33"/>
      <c r="AA1267" s="33"/>
      <c r="AB1267" s="33"/>
      <c r="AC1267" s="33"/>
    </row>
    <row r="1268" ht="15.75" customHeight="1">
      <c r="A1268" s="27"/>
      <c r="B1268" s="16" t="str">
        <f t="shared" si="6"/>
        <v/>
      </c>
      <c r="C1268" s="28"/>
      <c r="D1268" s="89"/>
      <c r="E1268" s="90"/>
      <c r="F1268" s="20"/>
      <c r="G1268" s="37"/>
      <c r="H1268" s="37"/>
      <c r="I1268" s="32"/>
      <c r="J1268" s="32"/>
      <c r="K1268" s="53"/>
      <c r="L1268" s="32"/>
      <c r="M1268" s="33"/>
      <c r="N1268" s="33"/>
      <c r="O1268" s="33"/>
      <c r="P1268" s="33"/>
      <c r="Q1268" s="33"/>
      <c r="R1268" s="33"/>
      <c r="S1268" s="33"/>
      <c r="T1268" s="33"/>
      <c r="U1268" s="33"/>
      <c r="V1268" s="33"/>
      <c r="W1268" s="33"/>
      <c r="X1268" s="33"/>
      <c r="Y1268" s="33"/>
      <c r="Z1268" s="33"/>
      <c r="AA1268" s="33"/>
      <c r="AB1268" s="33"/>
      <c r="AC1268" s="33"/>
    </row>
    <row r="1269" ht="15.75" customHeight="1">
      <c r="A1269" s="27"/>
      <c r="B1269" s="16" t="str">
        <f t="shared" si="6"/>
        <v/>
      </c>
      <c r="C1269" s="28"/>
      <c r="D1269" s="89"/>
      <c r="E1269" s="90"/>
      <c r="F1269" s="20"/>
      <c r="G1269" s="37"/>
      <c r="H1269" s="37"/>
      <c r="I1269" s="32"/>
      <c r="J1269" s="32"/>
      <c r="K1269" s="53"/>
      <c r="L1269" s="32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</row>
    <row r="1270" ht="15.75" customHeight="1">
      <c r="A1270" s="27"/>
      <c r="B1270" s="16" t="str">
        <f t="shared" si="6"/>
        <v/>
      </c>
      <c r="C1270" s="28"/>
      <c r="D1270" s="89"/>
      <c r="E1270" s="90"/>
      <c r="F1270" s="20"/>
      <c r="G1270" s="37"/>
      <c r="H1270" s="37"/>
      <c r="I1270" s="32"/>
      <c r="J1270" s="32"/>
      <c r="K1270" s="53"/>
      <c r="L1270" s="32"/>
      <c r="M1270" s="33"/>
      <c r="N1270" s="33"/>
      <c r="O1270" s="33"/>
      <c r="P1270" s="33"/>
      <c r="Q1270" s="33"/>
      <c r="R1270" s="33"/>
      <c r="S1270" s="33"/>
      <c r="T1270" s="33"/>
      <c r="U1270" s="33"/>
      <c r="V1270" s="33"/>
      <c r="W1270" s="33"/>
      <c r="X1270" s="33"/>
      <c r="Y1270" s="33"/>
      <c r="Z1270" s="33"/>
      <c r="AA1270" s="33"/>
      <c r="AB1270" s="33"/>
      <c r="AC1270" s="33"/>
    </row>
    <row r="1271" ht="15.75" customHeight="1">
      <c r="A1271" s="27"/>
      <c r="B1271" s="16" t="str">
        <f t="shared" si="6"/>
        <v/>
      </c>
      <c r="C1271" s="28"/>
      <c r="D1271" s="89"/>
      <c r="E1271" s="90"/>
      <c r="F1271" s="20"/>
      <c r="G1271" s="37"/>
      <c r="H1271" s="37"/>
      <c r="I1271" s="32"/>
      <c r="J1271" s="32"/>
      <c r="K1271" s="53"/>
      <c r="L1271" s="32"/>
      <c r="M1271" s="33"/>
      <c r="N1271" s="33"/>
      <c r="O1271" s="33"/>
      <c r="P1271" s="33"/>
      <c r="Q1271" s="33"/>
      <c r="R1271" s="33"/>
      <c r="S1271" s="33"/>
      <c r="T1271" s="33"/>
      <c r="U1271" s="33"/>
      <c r="V1271" s="33"/>
      <c r="W1271" s="33"/>
      <c r="X1271" s="33"/>
      <c r="Y1271" s="33"/>
      <c r="Z1271" s="33"/>
      <c r="AA1271" s="33"/>
      <c r="AB1271" s="33"/>
      <c r="AC1271" s="33"/>
    </row>
    <row r="1272" ht="15.75" customHeight="1">
      <c r="A1272" s="27"/>
      <c r="B1272" s="16" t="str">
        <f t="shared" si="6"/>
        <v/>
      </c>
      <c r="C1272" s="28"/>
      <c r="D1272" s="89"/>
      <c r="E1272" s="90"/>
      <c r="F1272" s="20"/>
      <c r="G1272" s="37"/>
      <c r="H1272" s="37"/>
      <c r="I1272" s="32"/>
      <c r="J1272" s="32"/>
      <c r="K1272" s="53"/>
      <c r="L1272" s="32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33"/>
      <c r="AB1272" s="33"/>
      <c r="AC1272" s="33"/>
    </row>
    <row r="1273" ht="15.75" customHeight="1">
      <c r="A1273" s="27"/>
      <c r="B1273" s="16" t="str">
        <f t="shared" si="6"/>
        <v/>
      </c>
      <c r="C1273" s="28"/>
      <c r="D1273" s="89"/>
      <c r="E1273" s="90"/>
      <c r="F1273" s="20"/>
      <c r="G1273" s="37"/>
      <c r="H1273" s="37"/>
      <c r="I1273" s="32"/>
      <c r="J1273" s="32"/>
      <c r="K1273" s="53"/>
      <c r="L1273" s="32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</row>
    <row r="1274" ht="15.75" customHeight="1">
      <c r="A1274" s="27"/>
      <c r="B1274" s="16" t="str">
        <f t="shared" si="6"/>
        <v/>
      </c>
      <c r="C1274" s="28"/>
      <c r="D1274" s="89"/>
      <c r="E1274" s="90"/>
      <c r="F1274" s="20"/>
      <c r="G1274" s="37"/>
      <c r="H1274" s="37"/>
      <c r="I1274" s="32"/>
      <c r="J1274" s="32"/>
      <c r="K1274" s="53"/>
      <c r="L1274" s="32"/>
      <c r="M1274" s="33"/>
      <c r="N1274" s="33"/>
      <c r="O1274" s="33"/>
      <c r="P1274" s="33"/>
      <c r="Q1274" s="33"/>
      <c r="R1274" s="33"/>
      <c r="S1274" s="33"/>
      <c r="T1274" s="33"/>
      <c r="U1274" s="33"/>
      <c r="V1274" s="33"/>
      <c r="W1274" s="33"/>
      <c r="X1274" s="33"/>
      <c r="Y1274" s="33"/>
      <c r="Z1274" s="33"/>
      <c r="AA1274" s="33"/>
      <c r="AB1274" s="33"/>
      <c r="AC1274" s="33"/>
    </row>
    <row r="1275" ht="15.75" customHeight="1">
      <c r="A1275" s="27"/>
      <c r="B1275" s="16" t="str">
        <f t="shared" si="6"/>
        <v/>
      </c>
      <c r="C1275" s="28"/>
      <c r="D1275" s="89"/>
      <c r="E1275" s="90"/>
      <c r="F1275" s="20"/>
      <c r="G1275" s="37"/>
      <c r="H1275" s="37"/>
      <c r="I1275" s="32"/>
      <c r="J1275" s="32"/>
      <c r="K1275" s="53"/>
      <c r="L1275" s="32"/>
      <c r="M1275" s="33"/>
      <c r="N1275" s="33"/>
      <c r="O1275" s="33"/>
      <c r="P1275" s="33"/>
      <c r="Q1275" s="33"/>
      <c r="R1275" s="33"/>
      <c r="S1275" s="33"/>
      <c r="T1275" s="33"/>
      <c r="U1275" s="33"/>
      <c r="V1275" s="33"/>
      <c r="W1275" s="33"/>
      <c r="X1275" s="33"/>
      <c r="Y1275" s="33"/>
      <c r="Z1275" s="33"/>
      <c r="AA1275" s="33"/>
      <c r="AB1275" s="33"/>
      <c r="AC1275" s="33"/>
    </row>
    <row r="1276" ht="15.75" customHeight="1">
      <c r="A1276" s="27"/>
      <c r="B1276" s="16" t="str">
        <f t="shared" si="6"/>
        <v/>
      </c>
      <c r="C1276" s="28"/>
      <c r="D1276" s="89"/>
      <c r="E1276" s="90"/>
      <c r="F1276" s="20"/>
      <c r="G1276" s="37"/>
      <c r="H1276" s="37"/>
      <c r="I1276" s="32"/>
      <c r="J1276" s="32"/>
      <c r="K1276" s="53"/>
      <c r="L1276" s="32"/>
      <c r="M1276" s="33"/>
      <c r="N1276" s="33"/>
      <c r="O1276" s="33"/>
      <c r="P1276" s="33"/>
      <c r="Q1276" s="33"/>
      <c r="R1276" s="33"/>
      <c r="S1276" s="33"/>
      <c r="T1276" s="33"/>
      <c r="U1276" s="33"/>
      <c r="V1276" s="33"/>
      <c r="W1276" s="33"/>
      <c r="X1276" s="33"/>
      <c r="Y1276" s="33"/>
      <c r="Z1276" s="33"/>
      <c r="AA1276" s="33"/>
      <c r="AB1276" s="33"/>
      <c r="AC1276" s="33"/>
    </row>
    <row r="1277" ht="15.75" customHeight="1">
      <c r="A1277" s="27"/>
      <c r="B1277" s="16" t="str">
        <f t="shared" si="6"/>
        <v/>
      </c>
      <c r="C1277" s="28"/>
      <c r="D1277" s="89"/>
      <c r="E1277" s="90"/>
      <c r="F1277" s="20"/>
      <c r="G1277" s="37"/>
      <c r="H1277" s="37"/>
      <c r="I1277" s="32"/>
      <c r="J1277" s="32"/>
      <c r="K1277" s="53"/>
      <c r="L1277" s="32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</row>
    <row r="1278" ht="15.75" customHeight="1">
      <c r="A1278" s="27"/>
      <c r="B1278" s="16" t="str">
        <f t="shared" si="6"/>
        <v/>
      </c>
      <c r="C1278" s="28"/>
      <c r="D1278" s="89"/>
      <c r="E1278" s="90"/>
      <c r="F1278" s="20"/>
      <c r="G1278" s="37"/>
      <c r="H1278" s="37"/>
      <c r="I1278" s="32"/>
      <c r="J1278" s="32"/>
      <c r="K1278" s="53"/>
      <c r="L1278" s="32"/>
      <c r="M1278" s="33"/>
      <c r="N1278" s="33"/>
      <c r="O1278" s="33"/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/>
      <c r="AB1278" s="33"/>
      <c r="AC1278" s="33"/>
    </row>
    <row r="1279" ht="15.75" customHeight="1">
      <c r="A1279" s="27"/>
      <c r="B1279" s="16" t="str">
        <f t="shared" si="6"/>
        <v/>
      </c>
      <c r="C1279" s="28"/>
      <c r="D1279" s="89"/>
      <c r="E1279" s="90"/>
      <c r="F1279" s="20"/>
      <c r="G1279" s="37"/>
      <c r="H1279" s="37"/>
      <c r="I1279" s="32"/>
      <c r="J1279" s="32"/>
      <c r="K1279" s="53"/>
      <c r="L1279" s="32"/>
      <c r="M1279" s="33"/>
      <c r="N1279" s="33"/>
      <c r="O1279" s="33"/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/>
      <c r="AB1279" s="33"/>
      <c r="AC1279" s="33"/>
    </row>
    <row r="1280" ht="15.75" customHeight="1">
      <c r="A1280" s="27"/>
      <c r="B1280" s="16" t="str">
        <f t="shared" si="6"/>
        <v/>
      </c>
      <c r="C1280" s="28"/>
      <c r="D1280" s="89"/>
      <c r="E1280" s="90"/>
      <c r="F1280" s="20"/>
      <c r="G1280" s="37"/>
      <c r="H1280" s="37"/>
      <c r="I1280" s="32"/>
      <c r="J1280" s="32"/>
      <c r="K1280" s="53"/>
      <c r="L1280" s="32"/>
      <c r="M1280" s="33"/>
      <c r="N1280" s="33"/>
      <c r="O1280" s="33"/>
      <c r="P1280" s="33"/>
      <c r="Q1280" s="33"/>
      <c r="R1280" s="33"/>
      <c r="S1280" s="33"/>
      <c r="T1280" s="33"/>
      <c r="U1280" s="33"/>
      <c r="V1280" s="33"/>
      <c r="W1280" s="33"/>
      <c r="X1280" s="33"/>
      <c r="Y1280" s="33"/>
      <c r="Z1280" s="33"/>
      <c r="AA1280" s="33"/>
      <c r="AB1280" s="33"/>
      <c r="AC1280" s="33"/>
    </row>
    <row r="1281" ht="15.75" customHeight="1">
      <c r="A1281" s="27"/>
      <c r="B1281" s="16" t="str">
        <f t="shared" si="6"/>
        <v/>
      </c>
      <c r="C1281" s="28"/>
      <c r="D1281" s="89"/>
      <c r="E1281" s="90"/>
      <c r="F1281" s="20"/>
      <c r="G1281" s="37"/>
      <c r="H1281" s="37"/>
      <c r="I1281" s="32"/>
      <c r="J1281" s="32"/>
      <c r="K1281" s="53"/>
      <c r="L1281" s="32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</row>
    <row r="1282" ht="15.75" customHeight="1">
      <c r="A1282" s="27"/>
      <c r="B1282" s="16" t="str">
        <f t="shared" si="6"/>
        <v/>
      </c>
      <c r="C1282" s="28"/>
      <c r="D1282" s="89"/>
      <c r="E1282" s="90"/>
      <c r="F1282" s="20"/>
      <c r="G1282" s="37"/>
      <c r="H1282" s="37"/>
      <c r="I1282" s="32"/>
      <c r="J1282" s="32"/>
      <c r="K1282" s="53"/>
      <c r="L1282" s="32"/>
      <c r="M1282" s="33"/>
      <c r="N1282" s="33"/>
      <c r="O1282" s="33"/>
      <c r="P1282" s="33"/>
      <c r="Q1282" s="33"/>
      <c r="R1282" s="33"/>
      <c r="S1282" s="33"/>
      <c r="T1282" s="33"/>
      <c r="U1282" s="33"/>
      <c r="V1282" s="33"/>
      <c r="W1282" s="33"/>
      <c r="X1282" s="33"/>
      <c r="Y1282" s="33"/>
      <c r="Z1282" s="33"/>
      <c r="AA1282" s="33"/>
      <c r="AB1282" s="33"/>
      <c r="AC1282" s="33"/>
    </row>
    <row r="1283" ht="15.75" customHeight="1">
      <c r="A1283" s="27"/>
      <c r="B1283" s="16" t="str">
        <f t="shared" si="6"/>
        <v/>
      </c>
      <c r="C1283" s="28"/>
      <c r="D1283" s="89"/>
      <c r="E1283" s="90"/>
      <c r="F1283" s="20"/>
      <c r="G1283" s="37"/>
      <c r="H1283" s="37"/>
      <c r="I1283" s="32"/>
      <c r="J1283" s="32"/>
      <c r="K1283" s="53"/>
      <c r="L1283" s="32"/>
      <c r="M1283" s="33"/>
      <c r="N1283" s="33"/>
      <c r="O1283" s="33"/>
      <c r="P1283" s="33"/>
      <c r="Q1283" s="33"/>
      <c r="R1283" s="33"/>
      <c r="S1283" s="33"/>
      <c r="T1283" s="33"/>
      <c r="U1283" s="33"/>
      <c r="V1283" s="33"/>
      <c r="W1283" s="33"/>
      <c r="X1283" s="33"/>
      <c r="Y1283" s="33"/>
      <c r="Z1283" s="33"/>
      <c r="AA1283" s="33"/>
      <c r="AB1283" s="33"/>
      <c r="AC1283" s="33"/>
    </row>
    <row r="1284" ht="15.75" customHeight="1">
      <c r="A1284" s="27"/>
      <c r="B1284" s="16" t="str">
        <f t="shared" si="6"/>
        <v/>
      </c>
      <c r="C1284" s="28"/>
      <c r="D1284" s="89"/>
      <c r="E1284" s="90"/>
      <c r="F1284" s="20"/>
      <c r="G1284" s="37"/>
      <c r="H1284" s="37"/>
      <c r="I1284" s="32"/>
      <c r="J1284" s="32"/>
      <c r="K1284" s="53"/>
      <c r="L1284" s="32"/>
      <c r="M1284" s="33"/>
      <c r="N1284" s="33"/>
      <c r="O1284" s="33"/>
      <c r="P1284" s="33"/>
      <c r="Q1284" s="33"/>
      <c r="R1284" s="33"/>
      <c r="S1284" s="33"/>
      <c r="T1284" s="33"/>
      <c r="U1284" s="33"/>
      <c r="V1284" s="33"/>
      <c r="W1284" s="33"/>
      <c r="X1284" s="33"/>
      <c r="Y1284" s="33"/>
      <c r="Z1284" s="33"/>
      <c r="AA1284" s="33"/>
      <c r="AB1284" s="33"/>
      <c r="AC1284" s="33"/>
    </row>
    <row r="1285" ht="15.75" customHeight="1">
      <c r="A1285" s="27"/>
      <c r="B1285" s="16" t="str">
        <f t="shared" si="6"/>
        <v/>
      </c>
      <c r="C1285" s="28"/>
      <c r="D1285" s="89"/>
      <c r="E1285" s="90"/>
      <c r="F1285" s="20"/>
      <c r="G1285" s="37"/>
      <c r="H1285" s="37"/>
      <c r="I1285" s="32"/>
      <c r="J1285" s="32"/>
      <c r="K1285" s="53"/>
      <c r="L1285" s="32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</row>
    <row r="1286" ht="15.75" customHeight="1">
      <c r="A1286" s="27"/>
      <c r="B1286" s="16" t="str">
        <f t="shared" si="6"/>
        <v/>
      </c>
      <c r="C1286" s="28"/>
      <c r="D1286" s="89"/>
      <c r="E1286" s="90"/>
      <c r="F1286" s="20"/>
      <c r="G1286" s="37"/>
      <c r="H1286" s="37"/>
      <c r="I1286" s="32"/>
      <c r="J1286" s="32"/>
      <c r="K1286" s="53"/>
      <c r="L1286" s="32"/>
      <c r="M1286" s="33"/>
      <c r="N1286" s="33"/>
      <c r="O1286" s="33"/>
      <c r="P1286" s="33"/>
      <c r="Q1286" s="33"/>
      <c r="R1286" s="33"/>
      <c r="S1286" s="33"/>
      <c r="T1286" s="33"/>
      <c r="U1286" s="33"/>
      <c r="V1286" s="33"/>
      <c r="W1286" s="33"/>
      <c r="X1286" s="33"/>
      <c r="Y1286" s="33"/>
      <c r="Z1286" s="33"/>
      <c r="AA1286" s="33"/>
      <c r="AB1286" s="33"/>
      <c r="AC1286" s="33"/>
    </row>
    <row r="1287" ht="15.75" customHeight="1">
      <c r="A1287" s="27"/>
      <c r="B1287" s="16" t="str">
        <f t="shared" si="6"/>
        <v/>
      </c>
      <c r="C1287" s="28"/>
      <c r="D1287" s="89"/>
      <c r="E1287" s="90"/>
      <c r="F1287" s="20"/>
      <c r="G1287" s="37"/>
      <c r="H1287" s="37"/>
      <c r="I1287" s="32"/>
      <c r="J1287" s="32"/>
      <c r="K1287" s="53"/>
      <c r="L1287" s="32"/>
      <c r="M1287" s="33"/>
      <c r="N1287" s="33"/>
      <c r="O1287" s="33"/>
      <c r="P1287" s="33"/>
      <c r="Q1287" s="33"/>
      <c r="R1287" s="33"/>
      <c r="S1287" s="33"/>
      <c r="T1287" s="33"/>
      <c r="U1287" s="33"/>
      <c r="V1287" s="33"/>
      <c r="W1287" s="33"/>
      <c r="X1287" s="33"/>
      <c r="Y1287" s="33"/>
      <c r="Z1287" s="33"/>
      <c r="AA1287" s="33"/>
      <c r="AB1287" s="33"/>
      <c r="AC1287" s="33"/>
    </row>
    <row r="1288" ht="15.75" customHeight="1">
      <c r="A1288" s="27"/>
      <c r="B1288" s="16" t="str">
        <f t="shared" si="6"/>
        <v/>
      </c>
      <c r="C1288" s="28"/>
      <c r="D1288" s="89"/>
      <c r="E1288" s="90"/>
      <c r="F1288" s="20"/>
      <c r="G1288" s="37"/>
      <c r="H1288" s="37"/>
      <c r="I1288" s="32"/>
      <c r="J1288" s="32"/>
      <c r="K1288" s="53"/>
      <c r="L1288" s="32"/>
      <c r="M1288" s="33"/>
      <c r="N1288" s="33"/>
      <c r="O1288" s="33"/>
      <c r="P1288" s="33"/>
      <c r="Q1288" s="33"/>
      <c r="R1288" s="33"/>
      <c r="S1288" s="33"/>
      <c r="T1288" s="33"/>
      <c r="U1288" s="33"/>
      <c r="V1288" s="33"/>
      <c r="W1288" s="33"/>
      <c r="X1288" s="33"/>
      <c r="Y1288" s="33"/>
      <c r="Z1288" s="33"/>
      <c r="AA1288" s="33"/>
      <c r="AB1288" s="33"/>
      <c r="AC1288" s="33"/>
    </row>
    <row r="1289" ht="15.75" customHeight="1">
      <c r="A1289" s="27"/>
      <c r="B1289" s="16" t="str">
        <f t="shared" si="6"/>
        <v/>
      </c>
      <c r="C1289" s="28"/>
      <c r="D1289" s="89"/>
      <c r="E1289" s="90"/>
      <c r="F1289" s="20"/>
      <c r="G1289" s="37"/>
      <c r="H1289" s="37"/>
      <c r="I1289" s="32"/>
      <c r="J1289" s="32"/>
      <c r="K1289" s="53"/>
      <c r="L1289" s="32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</row>
    <row r="1290" ht="15.75" customHeight="1">
      <c r="A1290" s="27"/>
      <c r="B1290" s="16" t="str">
        <f t="shared" si="6"/>
        <v/>
      </c>
      <c r="C1290" s="28"/>
      <c r="D1290" s="89"/>
      <c r="E1290" s="90"/>
      <c r="F1290" s="20"/>
      <c r="G1290" s="37"/>
      <c r="H1290" s="37"/>
      <c r="I1290" s="32"/>
      <c r="J1290" s="32"/>
      <c r="K1290" s="53"/>
      <c r="L1290" s="32"/>
      <c r="M1290" s="33"/>
      <c r="N1290" s="33"/>
      <c r="O1290" s="33"/>
      <c r="P1290" s="33"/>
      <c r="Q1290" s="33"/>
      <c r="R1290" s="33"/>
      <c r="S1290" s="33"/>
      <c r="T1290" s="33"/>
      <c r="U1290" s="33"/>
      <c r="V1290" s="33"/>
      <c r="W1290" s="33"/>
      <c r="X1290" s="33"/>
      <c r="Y1290" s="33"/>
      <c r="Z1290" s="33"/>
      <c r="AA1290" s="33"/>
      <c r="AB1290" s="33"/>
      <c r="AC1290" s="33"/>
    </row>
    <row r="1291" ht="15.75" customHeight="1">
      <c r="A1291" s="27"/>
      <c r="B1291" s="16" t="str">
        <f t="shared" si="6"/>
        <v/>
      </c>
      <c r="C1291" s="28"/>
      <c r="D1291" s="89"/>
      <c r="E1291" s="90"/>
      <c r="F1291" s="20"/>
      <c r="G1291" s="37"/>
      <c r="H1291" s="37"/>
      <c r="I1291" s="32"/>
      <c r="J1291" s="32"/>
      <c r="K1291" s="53"/>
      <c r="L1291" s="32"/>
      <c r="M1291" s="33"/>
      <c r="N1291" s="33"/>
      <c r="O1291" s="33"/>
      <c r="P1291" s="33"/>
      <c r="Q1291" s="33"/>
      <c r="R1291" s="33"/>
      <c r="S1291" s="33"/>
      <c r="T1291" s="33"/>
      <c r="U1291" s="33"/>
      <c r="V1291" s="33"/>
      <c r="W1291" s="33"/>
      <c r="X1291" s="33"/>
      <c r="Y1291" s="33"/>
      <c r="Z1291" s="33"/>
      <c r="AA1291" s="33"/>
      <c r="AB1291" s="33"/>
      <c r="AC1291" s="33"/>
    </row>
    <row r="1292" ht="15.75" customHeight="1">
      <c r="A1292" s="27"/>
      <c r="B1292" s="16" t="str">
        <f t="shared" si="6"/>
        <v/>
      </c>
      <c r="C1292" s="28"/>
      <c r="D1292" s="89"/>
      <c r="E1292" s="90"/>
      <c r="F1292" s="20"/>
      <c r="G1292" s="37"/>
      <c r="H1292" s="37"/>
      <c r="I1292" s="32"/>
      <c r="J1292" s="32"/>
      <c r="K1292" s="53"/>
      <c r="L1292" s="32"/>
      <c r="M1292" s="33"/>
      <c r="N1292" s="33"/>
      <c r="O1292" s="33"/>
      <c r="P1292" s="33"/>
      <c r="Q1292" s="33"/>
      <c r="R1292" s="33"/>
      <c r="S1292" s="33"/>
      <c r="T1292" s="33"/>
      <c r="U1292" s="33"/>
      <c r="V1292" s="33"/>
      <c r="W1292" s="33"/>
      <c r="X1292" s="33"/>
      <c r="Y1292" s="33"/>
      <c r="Z1292" s="33"/>
      <c r="AA1292" s="33"/>
      <c r="AB1292" s="33"/>
      <c r="AC1292" s="33"/>
    </row>
    <row r="1293" ht="15.75" customHeight="1">
      <c r="A1293" s="27"/>
      <c r="B1293" s="16" t="str">
        <f t="shared" si="6"/>
        <v/>
      </c>
      <c r="C1293" s="28"/>
      <c r="D1293" s="89"/>
      <c r="E1293" s="90"/>
      <c r="F1293" s="20"/>
      <c r="G1293" s="37"/>
      <c r="H1293" s="37"/>
      <c r="I1293" s="32"/>
      <c r="J1293" s="32"/>
      <c r="K1293" s="53"/>
      <c r="L1293" s="32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</row>
    <row r="1294" ht="15.75" customHeight="1">
      <c r="A1294" s="27"/>
      <c r="B1294" s="16" t="str">
        <f t="shared" si="6"/>
        <v/>
      </c>
      <c r="C1294" s="28"/>
      <c r="D1294" s="89"/>
      <c r="E1294" s="90"/>
      <c r="F1294" s="20"/>
      <c r="G1294" s="37"/>
      <c r="H1294" s="37"/>
      <c r="I1294" s="32"/>
      <c r="J1294" s="32"/>
      <c r="K1294" s="53"/>
      <c r="L1294" s="32"/>
      <c r="M1294" s="33"/>
      <c r="N1294" s="33"/>
      <c r="O1294" s="33"/>
      <c r="P1294" s="33"/>
      <c r="Q1294" s="33"/>
      <c r="R1294" s="33"/>
      <c r="S1294" s="33"/>
      <c r="T1294" s="33"/>
      <c r="U1294" s="33"/>
      <c r="V1294" s="33"/>
      <c r="W1294" s="33"/>
      <c r="X1294" s="33"/>
      <c r="Y1294" s="33"/>
      <c r="Z1294" s="33"/>
      <c r="AA1294" s="33"/>
      <c r="AB1294" s="33"/>
      <c r="AC1294" s="33"/>
    </row>
    <row r="1295" ht="15.75" customHeight="1">
      <c r="A1295" s="27"/>
      <c r="B1295" s="16" t="str">
        <f t="shared" si="6"/>
        <v/>
      </c>
      <c r="C1295" s="28"/>
      <c r="D1295" s="89"/>
      <c r="E1295" s="90"/>
      <c r="F1295" s="20"/>
      <c r="G1295" s="37"/>
      <c r="H1295" s="37"/>
      <c r="I1295" s="32"/>
      <c r="J1295" s="32"/>
      <c r="K1295" s="53"/>
      <c r="L1295" s="32"/>
      <c r="M1295" s="33"/>
      <c r="N1295" s="33"/>
      <c r="O1295" s="33"/>
      <c r="P1295" s="33"/>
      <c r="Q1295" s="33"/>
      <c r="R1295" s="33"/>
      <c r="S1295" s="33"/>
      <c r="T1295" s="33"/>
      <c r="U1295" s="33"/>
      <c r="V1295" s="33"/>
      <c r="W1295" s="33"/>
      <c r="X1295" s="33"/>
      <c r="Y1295" s="33"/>
      <c r="Z1295" s="33"/>
      <c r="AA1295" s="33"/>
      <c r="AB1295" s="33"/>
      <c r="AC1295" s="33"/>
    </row>
    <row r="1296" ht="15.75" customHeight="1">
      <c r="A1296" s="27"/>
      <c r="B1296" s="16" t="str">
        <f t="shared" si="6"/>
        <v/>
      </c>
      <c r="C1296" s="28"/>
      <c r="D1296" s="89"/>
      <c r="E1296" s="90"/>
      <c r="F1296" s="20"/>
      <c r="G1296" s="37"/>
      <c r="H1296" s="37"/>
      <c r="I1296" s="32"/>
      <c r="J1296" s="32"/>
      <c r="K1296" s="53"/>
      <c r="L1296" s="32"/>
      <c r="M1296" s="33"/>
      <c r="N1296" s="33"/>
      <c r="O1296" s="33"/>
      <c r="P1296" s="33"/>
      <c r="Q1296" s="33"/>
      <c r="R1296" s="33"/>
      <c r="S1296" s="33"/>
      <c r="T1296" s="33"/>
      <c r="U1296" s="33"/>
      <c r="V1296" s="33"/>
      <c r="W1296" s="33"/>
      <c r="X1296" s="33"/>
      <c r="Y1296" s="33"/>
      <c r="Z1296" s="33"/>
      <c r="AA1296" s="33"/>
      <c r="AB1296" s="33"/>
      <c r="AC1296" s="33"/>
    </row>
    <row r="1297" ht="15.75" customHeight="1">
      <c r="A1297" s="27"/>
      <c r="B1297" s="16" t="str">
        <f t="shared" si="6"/>
        <v/>
      </c>
      <c r="C1297" s="28"/>
      <c r="D1297" s="89"/>
      <c r="E1297" s="90"/>
      <c r="F1297" s="20"/>
      <c r="G1297" s="37"/>
      <c r="H1297" s="37"/>
      <c r="I1297" s="32"/>
      <c r="J1297" s="32"/>
      <c r="K1297" s="53"/>
      <c r="L1297" s="32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</row>
    <row r="1298" ht="15.75" customHeight="1">
      <c r="A1298" s="27"/>
      <c r="B1298" s="16" t="str">
        <f t="shared" si="6"/>
        <v/>
      </c>
      <c r="C1298" s="28"/>
      <c r="D1298" s="89"/>
      <c r="E1298" s="90"/>
      <c r="F1298" s="20"/>
      <c r="G1298" s="37"/>
      <c r="H1298" s="37"/>
      <c r="I1298" s="32"/>
      <c r="J1298" s="32"/>
      <c r="K1298" s="53"/>
      <c r="L1298" s="32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</row>
    <row r="1299" ht="15.75" customHeight="1">
      <c r="A1299" s="27"/>
      <c r="B1299" s="16" t="str">
        <f t="shared" si="6"/>
        <v/>
      </c>
      <c r="C1299" s="28"/>
      <c r="D1299" s="89"/>
      <c r="E1299" s="90"/>
      <c r="F1299" s="20"/>
      <c r="G1299" s="37"/>
      <c r="H1299" s="37"/>
      <c r="I1299" s="32"/>
      <c r="J1299" s="32"/>
      <c r="K1299" s="53"/>
      <c r="L1299" s="32"/>
      <c r="M1299" s="33"/>
      <c r="N1299" s="33"/>
      <c r="O1299" s="33"/>
      <c r="P1299" s="33"/>
      <c r="Q1299" s="33"/>
      <c r="R1299" s="33"/>
      <c r="S1299" s="33"/>
      <c r="T1299" s="33"/>
      <c r="U1299" s="33"/>
      <c r="V1299" s="33"/>
      <c r="W1299" s="33"/>
      <c r="X1299" s="33"/>
      <c r="Y1299" s="33"/>
      <c r="Z1299" s="33"/>
      <c r="AA1299" s="33"/>
      <c r="AB1299" s="33"/>
      <c r="AC1299" s="33"/>
    </row>
    <row r="1300" ht="15.75" customHeight="1">
      <c r="A1300" s="27"/>
      <c r="B1300" s="16" t="str">
        <f t="shared" si="6"/>
        <v/>
      </c>
      <c r="C1300" s="28"/>
      <c r="D1300" s="89"/>
      <c r="E1300" s="90"/>
      <c r="F1300" s="20"/>
      <c r="G1300" s="37"/>
      <c r="H1300" s="37"/>
      <c r="I1300" s="32"/>
      <c r="J1300" s="32"/>
      <c r="K1300" s="53"/>
      <c r="L1300" s="32"/>
      <c r="M1300" s="33"/>
      <c r="N1300" s="33"/>
      <c r="O1300" s="33"/>
      <c r="P1300" s="33"/>
      <c r="Q1300" s="33"/>
      <c r="R1300" s="33"/>
      <c r="S1300" s="33"/>
      <c r="T1300" s="33"/>
      <c r="U1300" s="33"/>
      <c r="V1300" s="33"/>
      <c r="W1300" s="33"/>
      <c r="X1300" s="33"/>
      <c r="Y1300" s="33"/>
      <c r="Z1300" s="33"/>
      <c r="AA1300" s="33"/>
      <c r="AB1300" s="33"/>
      <c r="AC1300" s="33"/>
    </row>
    <row r="1301" ht="15.75" customHeight="1">
      <c r="A1301" s="27"/>
      <c r="B1301" s="16" t="str">
        <f t="shared" si="6"/>
        <v/>
      </c>
      <c r="C1301" s="28"/>
      <c r="D1301" s="89"/>
      <c r="E1301" s="90"/>
      <c r="F1301" s="20"/>
      <c r="G1301" s="37"/>
      <c r="H1301" s="37"/>
      <c r="I1301" s="32"/>
      <c r="J1301" s="32"/>
      <c r="K1301" s="53"/>
      <c r="L1301" s="32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</row>
    <row r="1302" ht="15.75" customHeight="1">
      <c r="A1302" s="27"/>
      <c r="B1302" s="16" t="str">
        <f t="shared" si="6"/>
        <v/>
      </c>
      <c r="C1302" s="28"/>
      <c r="D1302" s="89"/>
      <c r="E1302" s="90"/>
      <c r="F1302" s="20"/>
      <c r="G1302" s="37"/>
      <c r="H1302" s="37"/>
      <c r="I1302" s="32"/>
      <c r="J1302" s="32"/>
      <c r="K1302" s="53"/>
      <c r="L1302" s="32"/>
      <c r="M1302" s="33"/>
      <c r="N1302" s="33"/>
      <c r="O1302" s="33"/>
      <c r="P1302" s="33"/>
      <c r="Q1302" s="33"/>
      <c r="R1302" s="33"/>
      <c r="S1302" s="33"/>
      <c r="T1302" s="33"/>
      <c r="U1302" s="33"/>
      <c r="V1302" s="33"/>
      <c r="W1302" s="33"/>
      <c r="X1302" s="33"/>
      <c r="Y1302" s="33"/>
      <c r="Z1302" s="33"/>
      <c r="AA1302" s="33"/>
      <c r="AB1302" s="33"/>
      <c r="AC1302" s="33"/>
    </row>
    <row r="1303" ht="15.75" customHeight="1">
      <c r="A1303" s="27"/>
      <c r="B1303" s="16" t="str">
        <f t="shared" si="6"/>
        <v/>
      </c>
      <c r="C1303" s="28"/>
      <c r="D1303" s="89"/>
      <c r="E1303" s="90"/>
      <c r="F1303" s="20"/>
      <c r="G1303" s="37"/>
      <c r="H1303" s="37"/>
      <c r="I1303" s="32"/>
      <c r="J1303" s="32"/>
      <c r="K1303" s="53"/>
      <c r="L1303" s="32"/>
      <c r="M1303" s="33"/>
      <c r="N1303" s="33"/>
      <c r="O1303" s="33"/>
      <c r="P1303" s="33"/>
      <c r="Q1303" s="33"/>
      <c r="R1303" s="33"/>
      <c r="S1303" s="33"/>
      <c r="T1303" s="33"/>
      <c r="U1303" s="33"/>
      <c r="V1303" s="33"/>
      <c r="W1303" s="33"/>
      <c r="X1303" s="33"/>
      <c r="Y1303" s="33"/>
      <c r="Z1303" s="33"/>
      <c r="AA1303" s="33"/>
      <c r="AB1303" s="33"/>
      <c r="AC1303" s="33"/>
    </row>
    <row r="1304" ht="15.75" customHeight="1">
      <c r="A1304" s="27"/>
      <c r="B1304" s="16" t="str">
        <f t="shared" si="6"/>
        <v/>
      </c>
      <c r="C1304" s="28"/>
      <c r="D1304" s="89"/>
      <c r="E1304" s="90"/>
      <c r="F1304" s="20"/>
      <c r="G1304" s="37"/>
      <c r="H1304" s="37"/>
      <c r="I1304" s="32"/>
      <c r="J1304" s="32"/>
      <c r="K1304" s="53"/>
      <c r="L1304" s="32"/>
      <c r="M1304" s="33"/>
      <c r="N1304" s="33"/>
      <c r="O1304" s="33"/>
      <c r="P1304" s="33"/>
      <c r="Q1304" s="33"/>
      <c r="R1304" s="33"/>
      <c r="S1304" s="33"/>
      <c r="T1304" s="33"/>
      <c r="U1304" s="33"/>
      <c r="V1304" s="33"/>
      <c r="W1304" s="33"/>
      <c r="X1304" s="33"/>
      <c r="Y1304" s="33"/>
      <c r="Z1304" s="33"/>
      <c r="AA1304" s="33"/>
      <c r="AB1304" s="33"/>
      <c r="AC1304" s="33"/>
    </row>
    <row r="1305" ht="15.75" customHeight="1">
      <c r="A1305" s="27"/>
      <c r="B1305" s="16" t="str">
        <f t="shared" si="6"/>
        <v/>
      </c>
      <c r="C1305" s="28"/>
      <c r="D1305" s="89"/>
      <c r="E1305" s="90"/>
      <c r="F1305" s="20"/>
      <c r="G1305" s="37"/>
      <c r="H1305" s="37"/>
      <c r="I1305" s="32"/>
      <c r="J1305" s="32"/>
      <c r="K1305" s="53"/>
      <c r="L1305" s="32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</row>
    <row r="1306" ht="15.75" customHeight="1">
      <c r="A1306" s="27"/>
      <c r="B1306" s="16" t="str">
        <f t="shared" si="6"/>
        <v/>
      </c>
      <c r="C1306" s="28"/>
      <c r="D1306" s="89"/>
      <c r="E1306" s="90"/>
      <c r="F1306" s="20"/>
      <c r="G1306" s="37"/>
      <c r="H1306" s="37"/>
      <c r="I1306" s="32"/>
      <c r="J1306" s="32"/>
      <c r="K1306" s="53"/>
      <c r="L1306" s="32"/>
      <c r="M1306" s="33"/>
      <c r="N1306" s="33"/>
      <c r="O1306" s="33"/>
      <c r="P1306" s="33"/>
      <c r="Q1306" s="33"/>
      <c r="R1306" s="33"/>
      <c r="S1306" s="33"/>
      <c r="T1306" s="33"/>
      <c r="U1306" s="33"/>
      <c r="V1306" s="33"/>
      <c r="W1306" s="33"/>
      <c r="X1306" s="33"/>
      <c r="Y1306" s="33"/>
      <c r="Z1306" s="33"/>
      <c r="AA1306" s="33"/>
      <c r="AB1306" s="33"/>
      <c r="AC1306" s="33"/>
    </row>
    <row r="1307" ht="15.75" customHeight="1">
      <c r="A1307" s="27"/>
      <c r="B1307" s="16" t="str">
        <f t="shared" si="6"/>
        <v/>
      </c>
      <c r="C1307" s="28"/>
      <c r="D1307" s="89"/>
      <c r="E1307" s="90"/>
      <c r="F1307" s="20"/>
      <c r="G1307" s="37"/>
      <c r="H1307" s="37"/>
      <c r="I1307" s="32"/>
      <c r="J1307" s="32"/>
      <c r="K1307" s="53"/>
      <c r="L1307" s="32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33"/>
      <c r="AB1307" s="33"/>
      <c r="AC1307" s="33"/>
    </row>
    <row r="1308" ht="15.75" customHeight="1">
      <c r="A1308" s="27"/>
      <c r="B1308" s="16" t="str">
        <f t="shared" si="6"/>
        <v/>
      </c>
      <c r="C1308" s="28"/>
      <c r="D1308" s="89"/>
      <c r="E1308" s="90"/>
      <c r="F1308" s="20"/>
      <c r="G1308" s="37"/>
      <c r="H1308" s="37"/>
      <c r="I1308" s="32"/>
      <c r="J1308" s="32"/>
      <c r="K1308" s="53"/>
      <c r="L1308" s="32"/>
      <c r="M1308" s="33"/>
      <c r="N1308" s="33"/>
      <c r="O1308" s="33"/>
      <c r="P1308" s="33"/>
      <c r="Q1308" s="33"/>
      <c r="R1308" s="33"/>
      <c r="S1308" s="33"/>
      <c r="T1308" s="33"/>
      <c r="U1308" s="33"/>
      <c r="V1308" s="33"/>
      <c r="W1308" s="33"/>
      <c r="X1308" s="33"/>
      <c r="Y1308" s="33"/>
      <c r="Z1308" s="33"/>
      <c r="AA1308" s="33"/>
      <c r="AB1308" s="33"/>
      <c r="AC1308" s="33"/>
    </row>
    <row r="1309" ht="15.75" customHeight="1">
      <c r="A1309" s="27"/>
      <c r="B1309" s="16" t="str">
        <f t="shared" si="6"/>
        <v/>
      </c>
      <c r="C1309" s="28"/>
      <c r="D1309" s="89"/>
      <c r="E1309" s="90"/>
      <c r="F1309" s="20"/>
      <c r="G1309" s="37"/>
      <c r="H1309" s="37"/>
      <c r="I1309" s="32"/>
      <c r="J1309" s="32"/>
      <c r="K1309" s="53"/>
      <c r="L1309" s="32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</row>
    <row r="1310" ht="15.75" customHeight="1">
      <c r="A1310" s="27"/>
      <c r="B1310" s="16" t="str">
        <f t="shared" si="6"/>
        <v/>
      </c>
      <c r="C1310" s="28"/>
      <c r="D1310" s="89"/>
      <c r="E1310" s="90"/>
      <c r="F1310" s="20"/>
      <c r="G1310" s="37"/>
      <c r="H1310" s="37"/>
      <c r="I1310" s="32"/>
      <c r="J1310" s="32"/>
      <c r="K1310" s="53"/>
      <c r="L1310" s="32"/>
      <c r="M1310" s="33"/>
      <c r="N1310" s="33"/>
      <c r="O1310" s="33"/>
      <c r="P1310" s="33"/>
      <c r="Q1310" s="33"/>
      <c r="R1310" s="33"/>
      <c r="S1310" s="33"/>
      <c r="T1310" s="33"/>
      <c r="U1310" s="33"/>
      <c r="V1310" s="33"/>
      <c r="W1310" s="33"/>
      <c r="X1310" s="33"/>
      <c r="Y1310" s="33"/>
      <c r="Z1310" s="33"/>
      <c r="AA1310" s="33"/>
      <c r="AB1310" s="33"/>
      <c r="AC1310" s="33"/>
    </row>
    <row r="1311" ht="15.75" customHeight="1">
      <c r="A1311" s="27"/>
      <c r="B1311" s="16" t="str">
        <f t="shared" si="6"/>
        <v/>
      </c>
      <c r="C1311" s="28"/>
      <c r="D1311" s="89"/>
      <c r="E1311" s="90"/>
      <c r="F1311" s="20"/>
      <c r="G1311" s="37"/>
      <c r="H1311" s="37"/>
      <c r="I1311" s="32"/>
      <c r="J1311" s="32"/>
      <c r="K1311" s="53"/>
      <c r="L1311" s="32"/>
      <c r="M1311" s="33"/>
      <c r="N1311" s="33"/>
      <c r="O1311" s="33"/>
      <c r="P1311" s="33"/>
      <c r="Q1311" s="33"/>
      <c r="R1311" s="33"/>
      <c r="S1311" s="33"/>
      <c r="T1311" s="33"/>
      <c r="U1311" s="33"/>
      <c r="V1311" s="33"/>
      <c r="W1311" s="33"/>
      <c r="X1311" s="33"/>
      <c r="Y1311" s="33"/>
      <c r="Z1311" s="33"/>
      <c r="AA1311" s="33"/>
      <c r="AB1311" s="33"/>
      <c r="AC1311" s="33"/>
    </row>
    <row r="1312" ht="15.75" customHeight="1">
      <c r="A1312" s="27"/>
      <c r="B1312" s="16" t="str">
        <f t="shared" si="6"/>
        <v/>
      </c>
      <c r="C1312" s="28"/>
      <c r="D1312" s="89"/>
      <c r="E1312" s="90"/>
      <c r="F1312" s="20"/>
      <c r="G1312" s="37"/>
      <c r="H1312" s="37"/>
      <c r="I1312" s="32"/>
      <c r="J1312" s="32"/>
      <c r="K1312" s="53"/>
      <c r="L1312" s="32"/>
      <c r="M1312" s="33"/>
      <c r="N1312" s="33"/>
      <c r="O1312" s="33"/>
      <c r="P1312" s="33"/>
      <c r="Q1312" s="33"/>
      <c r="R1312" s="33"/>
      <c r="S1312" s="33"/>
      <c r="T1312" s="33"/>
      <c r="U1312" s="33"/>
      <c r="V1312" s="33"/>
      <c r="W1312" s="33"/>
      <c r="X1312" s="33"/>
      <c r="Y1312" s="33"/>
      <c r="Z1312" s="33"/>
      <c r="AA1312" s="33"/>
      <c r="AB1312" s="33"/>
      <c r="AC1312" s="33"/>
    </row>
    <row r="1313" ht="15.75" customHeight="1">
      <c r="A1313" s="27"/>
      <c r="B1313" s="16" t="str">
        <f t="shared" si="6"/>
        <v/>
      </c>
      <c r="C1313" s="28"/>
      <c r="D1313" s="89"/>
      <c r="E1313" s="90"/>
      <c r="F1313" s="20"/>
      <c r="G1313" s="37"/>
      <c r="H1313" s="37"/>
      <c r="I1313" s="32"/>
      <c r="J1313" s="32"/>
      <c r="K1313" s="53"/>
      <c r="L1313" s="32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</row>
    <row r="1314" ht="15.75" customHeight="1">
      <c r="A1314" s="27"/>
      <c r="B1314" s="16" t="str">
        <f t="shared" si="6"/>
        <v/>
      </c>
      <c r="C1314" s="28"/>
      <c r="D1314" s="89"/>
      <c r="E1314" s="90"/>
      <c r="F1314" s="20"/>
      <c r="G1314" s="37"/>
      <c r="H1314" s="37"/>
      <c r="I1314" s="32"/>
      <c r="J1314" s="32"/>
      <c r="K1314" s="53"/>
      <c r="L1314" s="32"/>
      <c r="M1314" s="33"/>
      <c r="N1314" s="33"/>
      <c r="O1314" s="33"/>
      <c r="P1314" s="33"/>
      <c r="Q1314" s="33"/>
      <c r="R1314" s="33"/>
      <c r="S1314" s="33"/>
      <c r="T1314" s="33"/>
      <c r="U1314" s="33"/>
      <c r="V1314" s="33"/>
      <c r="W1314" s="33"/>
      <c r="X1314" s="33"/>
      <c r="Y1314" s="33"/>
      <c r="Z1314" s="33"/>
      <c r="AA1314" s="33"/>
      <c r="AB1314" s="33"/>
      <c r="AC1314" s="33"/>
    </row>
    <row r="1315" ht="15.75" customHeight="1">
      <c r="A1315" s="27"/>
      <c r="B1315" s="16" t="str">
        <f t="shared" si="6"/>
        <v/>
      </c>
      <c r="C1315" s="28"/>
      <c r="D1315" s="89"/>
      <c r="E1315" s="90"/>
      <c r="F1315" s="20"/>
      <c r="G1315" s="37"/>
      <c r="H1315" s="37"/>
      <c r="I1315" s="32"/>
      <c r="J1315" s="32"/>
      <c r="K1315" s="53"/>
      <c r="L1315" s="32"/>
      <c r="M1315" s="33"/>
      <c r="N1315" s="33"/>
      <c r="O1315" s="33"/>
      <c r="P1315" s="33"/>
      <c r="Q1315" s="33"/>
      <c r="R1315" s="33"/>
      <c r="S1315" s="33"/>
      <c r="T1315" s="33"/>
      <c r="U1315" s="33"/>
      <c r="V1315" s="33"/>
      <c r="W1315" s="33"/>
      <c r="X1315" s="33"/>
      <c r="Y1315" s="33"/>
      <c r="Z1315" s="33"/>
      <c r="AA1315" s="33"/>
      <c r="AB1315" s="33"/>
      <c r="AC1315" s="33"/>
    </row>
    <row r="1316" ht="15.75" customHeight="1">
      <c r="A1316" s="27"/>
      <c r="B1316" s="16" t="str">
        <f t="shared" si="6"/>
        <v/>
      </c>
      <c r="C1316" s="28"/>
      <c r="D1316" s="89"/>
      <c r="E1316" s="90"/>
      <c r="F1316" s="20"/>
      <c r="G1316" s="37"/>
      <c r="H1316" s="37"/>
      <c r="I1316" s="32"/>
      <c r="J1316" s="32"/>
      <c r="K1316" s="53"/>
      <c r="L1316" s="32"/>
      <c r="M1316" s="33"/>
      <c r="N1316" s="33"/>
      <c r="O1316" s="33"/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/>
      <c r="AB1316" s="33"/>
      <c r="AC1316" s="33"/>
    </row>
    <row r="1317" ht="15.75" customHeight="1">
      <c r="A1317" s="27"/>
      <c r="B1317" s="16" t="str">
        <f t="shared" si="6"/>
        <v/>
      </c>
      <c r="C1317" s="28"/>
      <c r="D1317" s="89"/>
      <c r="E1317" s="90"/>
      <c r="F1317" s="20"/>
      <c r="G1317" s="37"/>
      <c r="H1317" s="37"/>
      <c r="I1317" s="32"/>
      <c r="J1317" s="32"/>
      <c r="K1317" s="53"/>
      <c r="L1317" s="32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</row>
    <row r="1318" ht="15.75" customHeight="1">
      <c r="A1318" s="27"/>
      <c r="B1318" s="16" t="str">
        <f t="shared" si="6"/>
        <v/>
      </c>
      <c r="C1318" s="28"/>
      <c r="D1318" s="89"/>
      <c r="E1318" s="90"/>
      <c r="F1318" s="20"/>
      <c r="G1318" s="37"/>
      <c r="H1318" s="37"/>
      <c r="I1318" s="32"/>
      <c r="J1318" s="32"/>
      <c r="K1318" s="53"/>
      <c r="L1318" s="32"/>
      <c r="M1318" s="33"/>
      <c r="N1318" s="33"/>
      <c r="O1318" s="33"/>
      <c r="P1318" s="33"/>
      <c r="Q1318" s="33"/>
      <c r="R1318" s="33"/>
      <c r="S1318" s="33"/>
      <c r="T1318" s="33"/>
      <c r="U1318" s="33"/>
      <c r="V1318" s="33"/>
      <c r="W1318" s="33"/>
      <c r="X1318" s="33"/>
      <c r="Y1318" s="33"/>
      <c r="Z1318" s="33"/>
      <c r="AA1318" s="33"/>
      <c r="AB1318" s="33"/>
      <c r="AC1318" s="33"/>
    </row>
    <row r="1319" ht="15.75" customHeight="1">
      <c r="A1319" s="27"/>
      <c r="B1319" s="16" t="str">
        <f t="shared" si="6"/>
        <v/>
      </c>
      <c r="C1319" s="28"/>
      <c r="D1319" s="89"/>
      <c r="E1319" s="90"/>
      <c r="F1319" s="20"/>
      <c r="G1319" s="37"/>
      <c r="H1319" s="37"/>
      <c r="I1319" s="32"/>
      <c r="J1319" s="32"/>
      <c r="K1319" s="53"/>
      <c r="L1319" s="32"/>
      <c r="M1319" s="33"/>
      <c r="N1319" s="33"/>
      <c r="O1319" s="33"/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/>
      <c r="AB1319" s="33"/>
      <c r="AC1319" s="33"/>
    </row>
    <row r="1320" ht="15.75" customHeight="1">
      <c r="A1320" s="27"/>
      <c r="B1320" s="16" t="str">
        <f t="shared" si="6"/>
        <v/>
      </c>
      <c r="C1320" s="28"/>
      <c r="D1320" s="89"/>
      <c r="E1320" s="90"/>
      <c r="F1320" s="20"/>
      <c r="G1320" s="37"/>
      <c r="H1320" s="37"/>
      <c r="I1320" s="32"/>
      <c r="J1320" s="32"/>
      <c r="K1320" s="53"/>
      <c r="L1320" s="32"/>
      <c r="M1320" s="33"/>
      <c r="N1320" s="33"/>
      <c r="O1320" s="33"/>
      <c r="P1320" s="33"/>
      <c r="Q1320" s="33"/>
      <c r="R1320" s="33"/>
      <c r="S1320" s="33"/>
      <c r="T1320" s="33"/>
      <c r="U1320" s="33"/>
      <c r="V1320" s="33"/>
      <c r="W1320" s="33"/>
      <c r="X1320" s="33"/>
      <c r="Y1320" s="33"/>
      <c r="Z1320" s="33"/>
      <c r="AA1320" s="33"/>
      <c r="AB1320" s="33"/>
      <c r="AC1320" s="33"/>
    </row>
    <row r="1321" ht="15.75" customHeight="1">
      <c r="A1321" s="27"/>
      <c r="B1321" s="16" t="str">
        <f t="shared" si="6"/>
        <v/>
      </c>
      <c r="C1321" s="28"/>
      <c r="D1321" s="89"/>
      <c r="E1321" s="90"/>
      <c r="F1321" s="20"/>
      <c r="G1321" s="37"/>
      <c r="H1321" s="37"/>
      <c r="I1321" s="32"/>
      <c r="J1321" s="32"/>
      <c r="K1321" s="53"/>
      <c r="L1321" s="32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</row>
    <row r="1322" ht="15.75" customHeight="1">
      <c r="A1322" s="27"/>
      <c r="B1322" s="16" t="str">
        <f t="shared" si="6"/>
        <v/>
      </c>
      <c r="C1322" s="28"/>
      <c r="D1322" s="89"/>
      <c r="E1322" s="90"/>
      <c r="F1322" s="20"/>
      <c r="G1322" s="37"/>
      <c r="H1322" s="37"/>
      <c r="I1322" s="32"/>
      <c r="J1322" s="32"/>
      <c r="K1322" s="53"/>
      <c r="L1322" s="32"/>
      <c r="M1322" s="33"/>
      <c r="N1322" s="33"/>
      <c r="O1322" s="33"/>
      <c r="P1322" s="33"/>
      <c r="Q1322" s="33"/>
      <c r="R1322" s="33"/>
      <c r="S1322" s="33"/>
      <c r="T1322" s="33"/>
      <c r="U1322" s="33"/>
      <c r="V1322" s="33"/>
      <c r="W1322" s="33"/>
      <c r="X1322" s="33"/>
      <c r="Y1322" s="33"/>
      <c r="Z1322" s="33"/>
      <c r="AA1322" s="33"/>
      <c r="AB1322" s="33"/>
      <c r="AC1322" s="33"/>
    </row>
    <row r="1323" ht="15.75" customHeight="1">
      <c r="A1323" s="27"/>
      <c r="B1323" s="16" t="str">
        <f t="shared" si="6"/>
        <v/>
      </c>
      <c r="C1323" s="28"/>
      <c r="D1323" s="89"/>
      <c r="E1323" s="90"/>
      <c r="F1323" s="20"/>
      <c r="G1323" s="37"/>
      <c r="H1323" s="37"/>
      <c r="I1323" s="32"/>
      <c r="J1323" s="32"/>
      <c r="K1323" s="53"/>
      <c r="L1323" s="32"/>
      <c r="M1323" s="33"/>
      <c r="N1323" s="33"/>
      <c r="O1323" s="33"/>
      <c r="P1323" s="33"/>
      <c r="Q1323" s="33"/>
      <c r="R1323" s="33"/>
      <c r="S1323" s="33"/>
      <c r="T1323" s="33"/>
      <c r="U1323" s="33"/>
      <c r="V1323" s="33"/>
      <c r="W1323" s="33"/>
      <c r="X1323" s="33"/>
      <c r="Y1323" s="33"/>
      <c r="Z1323" s="33"/>
      <c r="AA1323" s="33"/>
      <c r="AB1323" s="33"/>
      <c r="AC1323" s="33"/>
    </row>
    <row r="1324" ht="15.75" customHeight="1">
      <c r="A1324" s="27"/>
      <c r="B1324" s="16" t="str">
        <f t="shared" si="6"/>
        <v/>
      </c>
      <c r="C1324" s="28"/>
      <c r="D1324" s="89"/>
      <c r="E1324" s="90"/>
      <c r="F1324" s="20"/>
      <c r="G1324" s="37"/>
      <c r="H1324" s="37"/>
      <c r="I1324" s="32"/>
      <c r="J1324" s="32"/>
      <c r="K1324" s="53"/>
      <c r="L1324" s="32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</row>
    <row r="1325" ht="15.75" customHeight="1">
      <c r="A1325" s="27"/>
      <c r="B1325" s="16" t="str">
        <f t="shared" si="6"/>
        <v/>
      </c>
      <c r="C1325" s="28"/>
      <c r="D1325" s="89"/>
      <c r="E1325" s="90"/>
      <c r="F1325" s="20"/>
      <c r="G1325" s="37"/>
      <c r="H1325" s="37"/>
      <c r="I1325" s="32"/>
      <c r="J1325" s="32"/>
      <c r="K1325" s="53"/>
      <c r="L1325" s="32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</row>
    <row r="1326" ht="15.75" customHeight="1">
      <c r="A1326" s="27"/>
      <c r="B1326" s="16" t="str">
        <f t="shared" si="6"/>
        <v/>
      </c>
      <c r="C1326" s="28"/>
      <c r="D1326" s="89"/>
      <c r="E1326" s="90"/>
      <c r="F1326" s="20"/>
      <c r="G1326" s="37"/>
      <c r="H1326" s="37"/>
      <c r="I1326" s="32"/>
      <c r="J1326" s="32"/>
      <c r="K1326" s="53"/>
      <c r="L1326" s="32"/>
      <c r="M1326" s="33"/>
      <c r="N1326" s="33"/>
      <c r="O1326" s="33"/>
      <c r="P1326" s="33"/>
      <c r="Q1326" s="33"/>
      <c r="R1326" s="33"/>
      <c r="S1326" s="33"/>
      <c r="T1326" s="33"/>
      <c r="U1326" s="33"/>
      <c r="V1326" s="33"/>
      <c r="W1326" s="33"/>
      <c r="X1326" s="33"/>
      <c r="Y1326" s="33"/>
      <c r="Z1326" s="33"/>
      <c r="AA1326" s="33"/>
      <c r="AB1326" s="33"/>
      <c r="AC1326" s="33"/>
    </row>
    <row r="1327" ht="15.75" customHeight="1">
      <c r="A1327" s="27"/>
      <c r="B1327" s="16" t="str">
        <f t="shared" si="6"/>
        <v/>
      </c>
      <c r="C1327" s="28"/>
      <c r="D1327" s="89"/>
      <c r="E1327" s="90"/>
      <c r="F1327" s="20"/>
      <c r="G1327" s="37"/>
      <c r="H1327" s="37"/>
      <c r="I1327" s="32"/>
      <c r="J1327" s="32"/>
      <c r="K1327" s="53"/>
      <c r="L1327" s="32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33"/>
      <c r="AB1327" s="33"/>
      <c r="AC1327" s="33"/>
    </row>
    <row r="1328" ht="15.75" customHeight="1">
      <c r="A1328" s="27"/>
      <c r="B1328" s="16" t="str">
        <f t="shared" si="6"/>
        <v/>
      </c>
      <c r="C1328" s="28"/>
      <c r="D1328" s="89"/>
      <c r="E1328" s="90"/>
      <c r="F1328" s="20"/>
      <c r="G1328" s="37"/>
      <c r="H1328" s="37"/>
      <c r="I1328" s="32"/>
      <c r="J1328" s="32"/>
      <c r="K1328" s="53"/>
      <c r="L1328" s="32"/>
      <c r="M1328" s="33"/>
      <c r="N1328" s="33"/>
      <c r="O1328" s="33"/>
      <c r="P1328" s="33"/>
      <c r="Q1328" s="33"/>
      <c r="R1328" s="33"/>
      <c r="S1328" s="33"/>
      <c r="T1328" s="33"/>
      <c r="U1328" s="33"/>
      <c r="V1328" s="33"/>
      <c r="W1328" s="33"/>
      <c r="X1328" s="33"/>
      <c r="Y1328" s="33"/>
      <c r="Z1328" s="33"/>
      <c r="AA1328" s="33"/>
      <c r="AB1328" s="33"/>
      <c r="AC1328" s="33"/>
    </row>
    <row r="1329" ht="15.75" customHeight="1">
      <c r="A1329" s="27"/>
      <c r="B1329" s="16" t="str">
        <f t="shared" si="6"/>
        <v/>
      </c>
      <c r="C1329" s="28"/>
      <c r="D1329" s="89"/>
      <c r="E1329" s="90"/>
      <c r="F1329" s="20"/>
      <c r="G1329" s="37"/>
      <c r="H1329" s="37"/>
      <c r="I1329" s="32"/>
      <c r="J1329" s="32"/>
      <c r="K1329" s="53"/>
      <c r="L1329" s="32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</row>
    <row r="1330" ht="15.75" customHeight="1">
      <c r="A1330" s="27"/>
      <c r="B1330" s="16" t="str">
        <f t="shared" si="6"/>
        <v/>
      </c>
      <c r="C1330" s="28"/>
      <c r="D1330" s="89"/>
      <c r="E1330" s="90"/>
      <c r="F1330" s="20"/>
      <c r="G1330" s="37"/>
      <c r="H1330" s="37"/>
      <c r="I1330" s="32"/>
      <c r="J1330" s="32"/>
      <c r="K1330" s="53"/>
      <c r="L1330" s="32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</row>
    <row r="1331" ht="15.75" customHeight="1">
      <c r="A1331" s="27"/>
      <c r="B1331" s="16" t="str">
        <f t="shared" si="6"/>
        <v/>
      </c>
      <c r="C1331" s="28"/>
      <c r="D1331" s="89"/>
      <c r="E1331" s="90"/>
      <c r="F1331" s="20"/>
      <c r="G1331" s="37"/>
      <c r="H1331" s="37"/>
      <c r="I1331" s="32"/>
      <c r="J1331" s="32"/>
      <c r="K1331" s="53"/>
      <c r="L1331" s="32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</row>
    <row r="1332" ht="15.75" customHeight="1">
      <c r="A1332" s="27"/>
      <c r="B1332" s="16" t="str">
        <f t="shared" si="6"/>
        <v/>
      </c>
      <c r="C1332" s="28"/>
      <c r="D1332" s="89"/>
      <c r="E1332" s="90"/>
      <c r="F1332" s="20"/>
      <c r="G1332" s="37"/>
      <c r="H1332" s="37"/>
      <c r="I1332" s="32"/>
      <c r="J1332" s="32"/>
      <c r="K1332" s="53"/>
      <c r="L1332" s="32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33"/>
    </row>
    <row r="1333" ht="15.75" customHeight="1">
      <c r="A1333" s="27"/>
      <c r="B1333" s="16" t="str">
        <f t="shared" si="6"/>
        <v/>
      </c>
      <c r="C1333" s="28"/>
      <c r="D1333" s="89"/>
      <c r="E1333" s="90"/>
      <c r="F1333" s="20"/>
      <c r="G1333" s="37"/>
      <c r="H1333" s="37"/>
      <c r="I1333" s="32"/>
      <c r="J1333" s="32"/>
      <c r="K1333" s="53"/>
      <c r="L1333" s="32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</row>
    <row r="1334" ht="15.75" customHeight="1">
      <c r="A1334" s="27"/>
      <c r="B1334" s="16" t="str">
        <f t="shared" si="6"/>
        <v/>
      </c>
      <c r="C1334" s="28"/>
      <c r="D1334" s="89"/>
      <c r="E1334" s="90"/>
      <c r="F1334" s="20"/>
      <c r="G1334" s="37"/>
      <c r="H1334" s="37"/>
      <c r="I1334" s="32"/>
      <c r="J1334" s="32"/>
      <c r="K1334" s="53"/>
      <c r="L1334" s="32"/>
      <c r="M1334" s="33"/>
      <c r="N1334" s="33"/>
      <c r="O1334" s="33"/>
      <c r="P1334" s="33"/>
      <c r="Q1334" s="33"/>
      <c r="R1334" s="33"/>
      <c r="S1334" s="33"/>
      <c r="T1334" s="33"/>
      <c r="U1334" s="33"/>
      <c r="V1334" s="33"/>
      <c r="W1334" s="33"/>
      <c r="X1334" s="33"/>
      <c r="Y1334" s="33"/>
      <c r="Z1334" s="33"/>
      <c r="AA1334" s="33"/>
      <c r="AB1334" s="33"/>
      <c r="AC1334" s="33"/>
    </row>
    <row r="1335" ht="15.75" customHeight="1">
      <c r="A1335" s="27"/>
      <c r="B1335" s="16" t="str">
        <f t="shared" si="6"/>
        <v/>
      </c>
      <c r="C1335" s="28"/>
      <c r="D1335" s="89"/>
      <c r="E1335" s="90"/>
      <c r="F1335" s="20"/>
      <c r="G1335" s="37"/>
      <c r="H1335" s="37"/>
      <c r="I1335" s="32"/>
      <c r="J1335" s="32"/>
      <c r="K1335" s="53"/>
      <c r="L1335" s="32"/>
      <c r="M1335" s="33"/>
      <c r="N1335" s="33"/>
      <c r="O1335" s="33"/>
      <c r="P1335" s="33"/>
      <c r="Q1335" s="33"/>
      <c r="R1335" s="33"/>
      <c r="S1335" s="33"/>
      <c r="T1335" s="33"/>
      <c r="U1335" s="33"/>
      <c r="V1335" s="33"/>
      <c r="W1335" s="33"/>
      <c r="X1335" s="33"/>
      <c r="Y1335" s="33"/>
      <c r="Z1335" s="33"/>
      <c r="AA1335" s="33"/>
      <c r="AB1335" s="33"/>
      <c r="AC1335" s="33"/>
    </row>
    <row r="1336" ht="15.75" customHeight="1">
      <c r="A1336" s="27"/>
      <c r="B1336" s="16" t="str">
        <f t="shared" si="6"/>
        <v/>
      </c>
      <c r="C1336" s="28"/>
      <c r="D1336" s="89"/>
      <c r="E1336" s="90"/>
      <c r="F1336" s="20"/>
      <c r="G1336" s="37"/>
      <c r="H1336" s="37"/>
      <c r="I1336" s="32"/>
      <c r="J1336" s="32"/>
      <c r="K1336" s="53"/>
      <c r="L1336" s="32"/>
      <c r="M1336" s="33"/>
      <c r="N1336" s="33"/>
      <c r="O1336" s="33"/>
      <c r="P1336" s="33"/>
      <c r="Q1336" s="33"/>
      <c r="R1336" s="33"/>
      <c r="S1336" s="33"/>
      <c r="T1336" s="33"/>
      <c r="U1336" s="33"/>
      <c r="V1336" s="33"/>
      <c r="W1336" s="33"/>
      <c r="X1336" s="33"/>
      <c r="Y1336" s="33"/>
      <c r="Z1336" s="33"/>
      <c r="AA1336" s="33"/>
      <c r="AB1336" s="33"/>
      <c r="AC1336" s="33"/>
    </row>
    <row r="1337" ht="15.75" customHeight="1">
      <c r="A1337" s="27"/>
      <c r="B1337" s="16" t="str">
        <f t="shared" si="6"/>
        <v/>
      </c>
      <c r="C1337" s="28"/>
      <c r="D1337" s="89"/>
      <c r="E1337" s="90"/>
      <c r="F1337" s="20"/>
      <c r="G1337" s="37"/>
      <c r="H1337" s="37"/>
      <c r="I1337" s="32"/>
      <c r="J1337" s="32"/>
      <c r="K1337" s="53"/>
      <c r="L1337" s="32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</row>
    <row r="1338" ht="15.75" customHeight="1">
      <c r="A1338" s="27"/>
      <c r="B1338" s="16" t="str">
        <f t="shared" si="6"/>
        <v/>
      </c>
      <c r="C1338" s="28"/>
      <c r="D1338" s="89"/>
      <c r="E1338" s="90"/>
      <c r="F1338" s="20"/>
      <c r="G1338" s="37"/>
      <c r="H1338" s="37"/>
      <c r="I1338" s="32"/>
      <c r="J1338" s="32"/>
      <c r="K1338" s="53"/>
      <c r="L1338" s="32"/>
      <c r="M1338" s="33"/>
      <c r="N1338" s="33"/>
      <c r="O1338" s="33"/>
      <c r="P1338" s="33"/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</row>
    <row r="1339" ht="15.75" customHeight="1">
      <c r="A1339" s="27"/>
      <c r="B1339" s="16" t="str">
        <f t="shared" si="6"/>
        <v/>
      </c>
      <c r="C1339" s="28"/>
      <c r="D1339" s="89"/>
      <c r="E1339" s="90"/>
      <c r="F1339" s="20"/>
      <c r="G1339" s="37"/>
      <c r="H1339" s="37"/>
      <c r="I1339" s="32"/>
      <c r="J1339" s="32"/>
      <c r="K1339" s="53"/>
      <c r="L1339" s="32"/>
      <c r="M1339" s="33"/>
      <c r="N1339" s="33"/>
      <c r="O1339" s="33"/>
      <c r="P1339" s="33"/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</row>
    <row r="1340" ht="15.75" customHeight="1">
      <c r="A1340" s="27"/>
      <c r="B1340" s="16" t="str">
        <f t="shared" si="6"/>
        <v/>
      </c>
      <c r="C1340" s="28"/>
      <c r="D1340" s="89"/>
      <c r="E1340" s="90"/>
      <c r="F1340" s="20"/>
      <c r="G1340" s="37"/>
      <c r="H1340" s="37"/>
      <c r="I1340" s="32"/>
      <c r="J1340" s="32"/>
      <c r="K1340" s="53"/>
      <c r="L1340" s="32"/>
      <c r="M1340" s="33"/>
      <c r="N1340" s="33"/>
      <c r="O1340" s="33"/>
      <c r="P1340" s="33"/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</row>
    <row r="1341" ht="15.75" customHeight="1">
      <c r="A1341" s="27"/>
      <c r="B1341" s="16" t="str">
        <f t="shared" si="6"/>
        <v/>
      </c>
      <c r="C1341" s="28"/>
      <c r="D1341" s="89"/>
      <c r="E1341" s="90"/>
      <c r="F1341" s="20"/>
      <c r="G1341" s="37"/>
      <c r="H1341" s="37"/>
      <c r="I1341" s="32"/>
      <c r="J1341" s="32"/>
      <c r="K1341" s="53"/>
      <c r="L1341" s="32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</row>
    <row r="1342" ht="15.75" customHeight="1">
      <c r="A1342" s="27"/>
      <c r="B1342" s="16" t="str">
        <f t="shared" si="6"/>
        <v/>
      </c>
      <c r="C1342" s="28"/>
      <c r="D1342" s="89"/>
      <c r="E1342" s="90"/>
      <c r="F1342" s="20"/>
      <c r="G1342" s="37"/>
      <c r="H1342" s="37"/>
      <c r="I1342" s="32"/>
      <c r="J1342" s="32"/>
      <c r="K1342" s="53"/>
      <c r="L1342" s="32"/>
      <c r="M1342" s="33"/>
      <c r="N1342" s="33"/>
      <c r="O1342" s="33"/>
      <c r="P1342" s="33"/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</row>
    <row r="1343" ht="15.75" customHeight="1">
      <c r="A1343" s="27"/>
      <c r="B1343" s="16" t="str">
        <f t="shared" si="6"/>
        <v/>
      </c>
      <c r="C1343" s="28"/>
      <c r="D1343" s="89"/>
      <c r="E1343" s="90"/>
      <c r="F1343" s="20"/>
      <c r="G1343" s="37"/>
      <c r="H1343" s="37"/>
      <c r="I1343" s="32"/>
      <c r="J1343" s="32"/>
      <c r="K1343" s="53"/>
      <c r="L1343" s="32"/>
      <c r="M1343" s="33"/>
      <c r="N1343" s="33"/>
      <c r="O1343" s="33"/>
      <c r="P1343" s="33"/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</row>
    <row r="1344" ht="15.75" customHeight="1">
      <c r="A1344" s="27"/>
      <c r="B1344" s="16" t="str">
        <f t="shared" si="6"/>
        <v/>
      </c>
      <c r="C1344" s="28"/>
      <c r="D1344" s="89"/>
      <c r="E1344" s="90"/>
      <c r="F1344" s="20"/>
      <c r="G1344" s="37"/>
      <c r="H1344" s="37"/>
      <c r="I1344" s="32"/>
      <c r="J1344" s="32"/>
      <c r="K1344" s="53"/>
      <c r="L1344" s="32"/>
      <c r="M1344" s="33"/>
      <c r="N1344" s="33"/>
      <c r="O1344" s="33"/>
      <c r="P1344" s="33"/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</row>
    <row r="1345" ht="15.75" customHeight="1">
      <c r="A1345" s="27"/>
      <c r="B1345" s="16" t="str">
        <f t="shared" si="6"/>
        <v/>
      </c>
      <c r="C1345" s="28"/>
      <c r="D1345" s="89"/>
      <c r="E1345" s="90"/>
      <c r="F1345" s="20"/>
      <c r="G1345" s="37"/>
      <c r="H1345" s="37"/>
      <c r="I1345" s="32"/>
      <c r="J1345" s="32"/>
      <c r="K1345" s="53"/>
      <c r="L1345" s="32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</row>
    <row r="1346" ht="15.75" customHeight="1">
      <c r="A1346" s="27"/>
      <c r="B1346" s="16" t="str">
        <f t="shared" si="6"/>
        <v/>
      </c>
      <c r="C1346" s="28"/>
      <c r="D1346" s="89"/>
      <c r="E1346" s="90"/>
      <c r="F1346" s="20"/>
      <c r="G1346" s="37"/>
      <c r="H1346" s="37"/>
      <c r="I1346" s="32"/>
      <c r="J1346" s="32"/>
      <c r="K1346" s="53"/>
      <c r="L1346" s="32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</row>
    <row r="1347" ht="15.75" customHeight="1">
      <c r="A1347" s="27"/>
      <c r="B1347" s="16" t="str">
        <f t="shared" si="6"/>
        <v/>
      </c>
      <c r="C1347" s="28"/>
      <c r="D1347" s="89"/>
      <c r="E1347" s="90"/>
      <c r="F1347" s="20"/>
      <c r="G1347" s="37"/>
      <c r="H1347" s="37"/>
      <c r="I1347" s="32"/>
      <c r="J1347" s="32"/>
      <c r="K1347" s="53"/>
      <c r="L1347" s="32"/>
      <c r="M1347" s="33"/>
      <c r="N1347" s="33"/>
      <c r="O1347" s="33"/>
      <c r="P1347" s="33"/>
      <c r="Q1347" s="33"/>
      <c r="R1347" s="33"/>
      <c r="S1347" s="33"/>
      <c r="T1347" s="33"/>
      <c r="U1347" s="33"/>
      <c r="V1347" s="33"/>
      <c r="W1347" s="33"/>
      <c r="X1347" s="33"/>
      <c r="Y1347" s="33"/>
      <c r="Z1347" s="33"/>
      <c r="AA1347" s="33"/>
      <c r="AB1347" s="33"/>
      <c r="AC1347" s="33"/>
    </row>
    <row r="1348" ht="15.75" customHeight="1">
      <c r="A1348" s="27"/>
      <c r="B1348" s="16" t="str">
        <f t="shared" si="6"/>
        <v/>
      </c>
      <c r="C1348" s="28"/>
      <c r="D1348" s="89"/>
      <c r="E1348" s="90"/>
      <c r="F1348" s="20"/>
      <c r="G1348" s="37"/>
      <c r="H1348" s="37"/>
      <c r="I1348" s="32"/>
      <c r="J1348" s="32"/>
      <c r="K1348" s="53"/>
      <c r="L1348" s="32"/>
      <c r="M1348" s="33"/>
      <c r="N1348" s="33"/>
      <c r="O1348" s="33"/>
      <c r="P1348" s="33"/>
      <c r="Q1348" s="33"/>
      <c r="R1348" s="33"/>
      <c r="S1348" s="33"/>
      <c r="T1348" s="33"/>
      <c r="U1348" s="33"/>
      <c r="V1348" s="33"/>
      <c r="W1348" s="33"/>
      <c r="X1348" s="33"/>
      <c r="Y1348" s="33"/>
      <c r="Z1348" s="33"/>
      <c r="AA1348" s="33"/>
      <c r="AB1348" s="33"/>
      <c r="AC1348" s="33"/>
    </row>
    <row r="1349" ht="15.75" customHeight="1">
      <c r="A1349" s="27"/>
      <c r="B1349" s="16" t="str">
        <f t="shared" si="6"/>
        <v/>
      </c>
      <c r="C1349" s="28"/>
      <c r="D1349" s="89"/>
      <c r="E1349" s="90"/>
      <c r="F1349" s="20"/>
      <c r="G1349" s="37"/>
      <c r="H1349" s="37"/>
      <c r="I1349" s="32"/>
      <c r="J1349" s="32"/>
      <c r="K1349" s="53"/>
      <c r="L1349" s="32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</row>
    <row r="1350" ht="15.75" customHeight="1">
      <c r="A1350" s="27"/>
      <c r="B1350" s="16" t="str">
        <f t="shared" si="6"/>
        <v/>
      </c>
      <c r="C1350" s="28"/>
      <c r="D1350" s="89"/>
      <c r="E1350" s="90"/>
      <c r="F1350" s="20"/>
      <c r="G1350" s="37"/>
      <c r="H1350" s="37"/>
      <c r="I1350" s="32"/>
      <c r="J1350" s="32"/>
      <c r="K1350" s="53"/>
      <c r="L1350" s="32"/>
      <c r="M1350" s="33"/>
      <c r="N1350" s="33"/>
      <c r="O1350" s="33"/>
      <c r="P1350" s="33"/>
      <c r="Q1350" s="33"/>
      <c r="R1350" s="33"/>
      <c r="S1350" s="33"/>
      <c r="T1350" s="33"/>
      <c r="U1350" s="33"/>
      <c r="V1350" s="33"/>
      <c r="W1350" s="33"/>
      <c r="X1350" s="33"/>
      <c r="Y1350" s="33"/>
      <c r="Z1350" s="33"/>
      <c r="AA1350" s="33"/>
      <c r="AB1350" s="33"/>
      <c r="AC1350" s="33"/>
    </row>
    <row r="1351" ht="15.75" customHeight="1">
      <c r="A1351" s="27"/>
      <c r="B1351" s="16" t="str">
        <f t="shared" si="6"/>
        <v/>
      </c>
      <c r="C1351" s="28"/>
      <c r="D1351" s="89"/>
      <c r="E1351" s="90"/>
      <c r="F1351" s="20"/>
      <c r="G1351" s="37"/>
      <c r="H1351" s="37"/>
      <c r="I1351" s="32"/>
      <c r="J1351" s="32"/>
      <c r="K1351" s="53"/>
      <c r="L1351" s="32"/>
      <c r="M1351" s="33"/>
      <c r="N1351" s="33"/>
      <c r="O1351" s="33"/>
      <c r="P1351" s="33"/>
      <c r="Q1351" s="33"/>
      <c r="R1351" s="33"/>
      <c r="S1351" s="33"/>
      <c r="T1351" s="33"/>
      <c r="U1351" s="33"/>
      <c r="V1351" s="33"/>
      <c r="W1351" s="33"/>
      <c r="X1351" s="33"/>
      <c r="Y1351" s="33"/>
      <c r="Z1351" s="33"/>
      <c r="AA1351" s="33"/>
      <c r="AB1351" s="33"/>
      <c r="AC1351" s="33"/>
    </row>
    <row r="1352" ht="15.75" customHeight="1">
      <c r="A1352" s="27"/>
      <c r="B1352" s="16" t="str">
        <f t="shared" si="6"/>
        <v/>
      </c>
      <c r="C1352" s="28"/>
      <c r="D1352" s="89"/>
      <c r="E1352" s="90"/>
      <c r="F1352" s="20"/>
      <c r="G1352" s="37"/>
      <c r="H1352" s="37"/>
      <c r="I1352" s="32"/>
      <c r="J1352" s="32"/>
      <c r="K1352" s="53"/>
      <c r="L1352" s="32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33"/>
      <c r="Y1352" s="33"/>
      <c r="Z1352" s="33"/>
      <c r="AA1352" s="33"/>
      <c r="AB1352" s="33"/>
      <c r="AC1352" s="33"/>
    </row>
    <row r="1353" ht="15.75" customHeight="1">
      <c r="A1353" s="27"/>
      <c r="B1353" s="16" t="str">
        <f t="shared" si="6"/>
        <v/>
      </c>
      <c r="C1353" s="28"/>
      <c r="D1353" s="89"/>
      <c r="E1353" s="90"/>
      <c r="F1353" s="20"/>
      <c r="G1353" s="37"/>
      <c r="H1353" s="37"/>
      <c r="I1353" s="32"/>
      <c r="J1353" s="32"/>
      <c r="K1353" s="53"/>
      <c r="L1353" s="32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</row>
    <row r="1354" ht="15.75" customHeight="1">
      <c r="A1354" s="27"/>
      <c r="B1354" s="16" t="str">
        <f t="shared" si="6"/>
        <v/>
      </c>
      <c r="C1354" s="28"/>
      <c r="D1354" s="89"/>
      <c r="E1354" s="90"/>
      <c r="F1354" s="20"/>
      <c r="G1354" s="37"/>
      <c r="H1354" s="37"/>
      <c r="I1354" s="32"/>
      <c r="J1354" s="32"/>
      <c r="K1354" s="53"/>
      <c r="L1354" s="32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</row>
    <row r="1355" ht="15.75" customHeight="1">
      <c r="A1355" s="27"/>
      <c r="B1355" s="16" t="str">
        <f t="shared" si="6"/>
        <v/>
      </c>
      <c r="C1355" s="28"/>
      <c r="D1355" s="89"/>
      <c r="E1355" s="90"/>
      <c r="F1355" s="20"/>
      <c r="G1355" s="37"/>
      <c r="H1355" s="37"/>
      <c r="I1355" s="32"/>
      <c r="J1355" s="32"/>
      <c r="K1355" s="53"/>
      <c r="L1355" s="32"/>
      <c r="M1355" s="33"/>
      <c r="N1355" s="33"/>
      <c r="O1355" s="33"/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/>
      <c r="AB1355" s="33"/>
      <c r="AC1355" s="33"/>
    </row>
    <row r="1356" ht="15.75" customHeight="1">
      <c r="A1356" s="27"/>
      <c r="B1356" s="16" t="str">
        <f t="shared" si="6"/>
        <v/>
      </c>
      <c r="C1356" s="28"/>
      <c r="D1356" s="89"/>
      <c r="E1356" s="90"/>
      <c r="F1356" s="20"/>
      <c r="G1356" s="37"/>
      <c r="H1356" s="37"/>
      <c r="I1356" s="32"/>
      <c r="J1356" s="32"/>
      <c r="K1356" s="53"/>
      <c r="L1356" s="32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33"/>
      <c r="X1356" s="33"/>
      <c r="Y1356" s="33"/>
      <c r="Z1356" s="33"/>
      <c r="AA1356" s="33"/>
      <c r="AB1356" s="33"/>
      <c r="AC1356" s="33"/>
    </row>
    <row r="1357" ht="15.75" customHeight="1">
      <c r="A1357" s="27"/>
      <c r="B1357" s="16" t="str">
        <f t="shared" si="6"/>
        <v/>
      </c>
      <c r="C1357" s="28"/>
      <c r="D1357" s="89"/>
      <c r="E1357" s="90"/>
      <c r="F1357" s="20"/>
      <c r="G1357" s="37"/>
      <c r="H1357" s="37"/>
      <c r="I1357" s="32"/>
      <c r="J1357" s="32"/>
      <c r="K1357" s="53"/>
      <c r="L1357" s="32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</row>
    <row r="1358" ht="15.75" customHeight="1">
      <c r="A1358" s="27"/>
      <c r="B1358" s="16" t="str">
        <f t="shared" si="6"/>
        <v/>
      </c>
      <c r="C1358" s="28"/>
      <c r="D1358" s="89"/>
      <c r="E1358" s="90"/>
      <c r="F1358" s="20"/>
      <c r="G1358" s="37"/>
      <c r="H1358" s="37"/>
      <c r="I1358" s="32"/>
      <c r="J1358" s="32"/>
      <c r="K1358" s="53"/>
      <c r="L1358" s="32"/>
      <c r="M1358" s="33"/>
      <c r="N1358" s="33"/>
      <c r="O1358" s="33"/>
      <c r="P1358" s="33"/>
      <c r="Q1358" s="33"/>
      <c r="R1358" s="33"/>
      <c r="S1358" s="33"/>
      <c r="T1358" s="33"/>
      <c r="U1358" s="33"/>
      <c r="V1358" s="33"/>
      <c r="W1358" s="33"/>
      <c r="X1358" s="33"/>
      <c r="Y1358" s="33"/>
      <c r="Z1358" s="33"/>
      <c r="AA1358" s="33"/>
      <c r="AB1358" s="33"/>
      <c r="AC1358" s="33"/>
    </row>
    <row r="1359" ht="15.75" customHeight="1">
      <c r="A1359" s="27"/>
      <c r="B1359" s="16" t="str">
        <f t="shared" si="6"/>
        <v/>
      </c>
      <c r="C1359" s="28"/>
      <c r="D1359" s="89"/>
      <c r="E1359" s="90"/>
      <c r="F1359" s="20"/>
      <c r="G1359" s="37"/>
      <c r="H1359" s="37"/>
      <c r="I1359" s="32"/>
      <c r="J1359" s="32"/>
      <c r="K1359" s="53"/>
      <c r="L1359" s="32"/>
      <c r="M1359" s="33"/>
      <c r="N1359" s="33"/>
      <c r="O1359" s="33"/>
      <c r="P1359" s="33"/>
      <c r="Q1359" s="33"/>
      <c r="R1359" s="33"/>
      <c r="S1359" s="33"/>
      <c r="T1359" s="33"/>
      <c r="U1359" s="33"/>
      <c r="V1359" s="33"/>
      <c r="W1359" s="33"/>
      <c r="X1359" s="33"/>
      <c r="Y1359" s="33"/>
      <c r="Z1359" s="33"/>
      <c r="AA1359" s="33"/>
      <c r="AB1359" s="33"/>
      <c r="AC1359" s="33"/>
    </row>
    <row r="1360" ht="15.75" customHeight="1">
      <c r="A1360" s="27"/>
      <c r="B1360" s="16" t="str">
        <f t="shared" si="6"/>
        <v/>
      </c>
      <c r="C1360" s="28"/>
      <c r="D1360" s="89"/>
      <c r="E1360" s="90"/>
      <c r="F1360" s="20"/>
      <c r="G1360" s="37"/>
      <c r="H1360" s="37"/>
      <c r="I1360" s="32"/>
      <c r="J1360" s="32"/>
      <c r="K1360" s="53"/>
      <c r="L1360" s="32"/>
      <c r="M1360" s="33"/>
      <c r="N1360" s="33"/>
      <c r="O1360" s="33"/>
      <c r="P1360" s="33"/>
      <c r="Q1360" s="33"/>
      <c r="R1360" s="33"/>
      <c r="S1360" s="33"/>
      <c r="T1360" s="33"/>
      <c r="U1360" s="33"/>
      <c r="V1360" s="33"/>
      <c r="W1360" s="33"/>
      <c r="X1360" s="33"/>
      <c r="Y1360" s="33"/>
      <c r="Z1360" s="33"/>
      <c r="AA1360" s="33"/>
      <c r="AB1360" s="33"/>
      <c r="AC1360" s="33"/>
    </row>
    <row r="1361" ht="15.75" customHeight="1">
      <c r="A1361" s="27"/>
      <c r="B1361" s="16" t="str">
        <f t="shared" si="6"/>
        <v/>
      </c>
      <c r="C1361" s="28"/>
      <c r="D1361" s="89"/>
      <c r="E1361" s="90"/>
      <c r="F1361" s="20"/>
      <c r="G1361" s="37"/>
      <c r="H1361" s="37"/>
      <c r="I1361" s="32"/>
      <c r="J1361" s="32"/>
      <c r="K1361" s="53"/>
      <c r="L1361" s="32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</row>
    <row r="1362" ht="15.75" customHeight="1">
      <c r="A1362" s="27"/>
      <c r="B1362" s="16" t="str">
        <f t="shared" si="6"/>
        <v/>
      </c>
      <c r="C1362" s="28"/>
      <c r="D1362" s="89"/>
      <c r="E1362" s="90"/>
      <c r="F1362" s="20"/>
      <c r="G1362" s="37"/>
      <c r="H1362" s="37"/>
      <c r="I1362" s="32"/>
      <c r="J1362" s="32"/>
      <c r="K1362" s="53"/>
      <c r="L1362" s="32"/>
      <c r="M1362" s="33"/>
      <c r="N1362" s="33"/>
      <c r="O1362" s="33"/>
      <c r="P1362" s="33"/>
      <c r="Q1362" s="33"/>
      <c r="R1362" s="33"/>
      <c r="S1362" s="33"/>
      <c r="T1362" s="33"/>
      <c r="U1362" s="33"/>
      <c r="V1362" s="33"/>
      <c r="W1362" s="33"/>
      <c r="X1362" s="33"/>
      <c r="Y1362" s="33"/>
      <c r="Z1362" s="33"/>
      <c r="AA1362" s="33"/>
      <c r="AB1362" s="33"/>
      <c r="AC1362" s="33"/>
    </row>
    <row r="1363" ht="15.75" customHeight="1">
      <c r="A1363" s="27"/>
      <c r="B1363" s="16" t="str">
        <f t="shared" si="6"/>
        <v/>
      </c>
      <c r="C1363" s="28"/>
      <c r="D1363" s="89"/>
      <c r="E1363" s="90"/>
      <c r="F1363" s="20"/>
      <c r="G1363" s="37"/>
      <c r="H1363" s="37"/>
      <c r="I1363" s="32"/>
      <c r="J1363" s="32"/>
      <c r="K1363" s="53"/>
      <c r="L1363" s="32"/>
      <c r="M1363" s="33"/>
      <c r="N1363" s="33"/>
      <c r="O1363" s="33"/>
      <c r="P1363" s="33"/>
      <c r="Q1363" s="33"/>
      <c r="R1363" s="33"/>
      <c r="S1363" s="33"/>
      <c r="T1363" s="33"/>
      <c r="U1363" s="33"/>
      <c r="V1363" s="33"/>
      <c r="W1363" s="33"/>
      <c r="X1363" s="33"/>
      <c r="Y1363" s="33"/>
      <c r="Z1363" s="33"/>
      <c r="AA1363" s="33"/>
      <c r="AB1363" s="33"/>
      <c r="AC1363" s="33"/>
    </row>
    <row r="1364" ht="15.75" customHeight="1">
      <c r="A1364" s="27"/>
      <c r="B1364" s="16" t="str">
        <f t="shared" si="6"/>
        <v/>
      </c>
      <c r="C1364" s="28"/>
      <c r="D1364" s="89"/>
      <c r="E1364" s="90"/>
      <c r="F1364" s="20"/>
      <c r="G1364" s="37"/>
      <c r="H1364" s="37"/>
      <c r="I1364" s="32"/>
      <c r="J1364" s="32"/>
      <c r="K1364" s="53"/>
      <c r="L1364" s="32"/>
      <c r="M1364" s="33"/>
      <c r="N1364" s="33"/>
      <c r="O1364" s="33"/>
      <c r="P1364" s="33"/>
      <c r="Q1364" s="33"/>
      <c r="R1364" s="33"/>
      <c r="S1364" s="33"/>
      <c r="T1364" s="33"/>
      <c r="U1364" s="33"/>
      <c r="V1364" s="33"/>
      <c r="W1364" s="33"/>
      <c r="X1364" s="33"/>
      <c r="Y1364" s="33"/>
      <c r="Z1364" s="33"/>
      <c r="AA1364" s="33"/>
      <c r="AB1364" s="33"/>
      <c r="AC1364" s="33"/>
    </row>
    <row r="1365" ht="15.75" customHeight="1">
      <c r="A1365" s="27"/>
      <c r="B1365" s="16" t="str">
        <f t="shared" si="6"/>
        <v/>
      </c>
      <c r="C1365" s="28"/>
      <c r="D1365" s="89"/>
      <c r="E1365" s="90"/>
      <c r="F1365" s="20"/>
      <c r="G1365" s="37"/>
      <c r="H1365" s="37"/>
      <c r="I1365" s="32"/>
      <c r="J1365" s="32"/>
      <c r="K1365" s="53"/>
      <c r="L1365" s="32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</row>
    <row r="1366" ht="15.75" customHeight="1">
      <c r="A1366" s="27"/>
      <c r="B1366" s="16" t="str">
        <f t="shared" si="6"/>
        <v/>
      </c>
      <c r="C1366" s="28"/>
      <c r="D1366" s="89"/>
      <c r="E1366" s="90"/>
      <c r="F1366" s="20"/>
      <c r="G1366" s="37"/>
      <c r="H1366" s="37"/>
      <c r="I1366" s="32"/>
      <c r="J1366" s="32"/>
      <c r="K1366" s="53"/>
      <c r="L1366" s="32"/>
      <c r="M1366" s="33"/>
      <c r="N1366" s="33"/>
      <c r="O1366" s="33"/>
      <c r="P1366" s="33"/>
      <c r="Q1366" s="33"/>
      <c r="R1366" s="33"/>
      <c r="S1366" s="33"/>
      <c r="T1366" s="33"/>
      <c r="U1366" s="33"/>
      <c r="V1366" s="33"/>
      <c r="W1366" s="33"/>
      <c r="X1366" s="33"/>
      <c r="Y1366" s="33"/>
      <c r="Z1366" s="33"/>
      <c r="AA1366" s="33"/>
      <c r="AB1366" s="33"/>
      <c r="AC1366" s="33"/>
    </row>
    <row r="1367" ht="15.75" customHeight="1">
      <c r="A1367" s="27"/>
      <c r="B1367" s="16" t="str">
        <f t="shared" si="6"/>
        <v/>
      </c>
      <c r="C1367" s="28"/>
      <c r="D1367" s="89"/>
      <c r="E1367" s="90"/>
      <c r="F1367" s="20"/>
      <c r="G1367" s="37"/>
      <c r="H1367" s="37"/>
      <c r="I1367" s="32"/>
      <c r="J1367" s="32"/>
      <c r="K1367" s="53"/>
      <c r="L1367" s="32"/>
      <c r="M1367" s="33"/>
      <c r="N1367" s="33"/>
      <c r="O1367" s="33"/>
      <c r="P1367" s="33"/>
      <c r="Q1367" s="33"/>
      <c r="R1367" s="33"/>
      <c r="S1367" s="33"/>
      <c r="T1367" s="33"/>
      <c r="U1367" s="33"/>
      <c r="V1367" s="33"/>
      <c r="W1367" s="33"/>
      <c r="X1367" s="33"/>
      <c r="Y1367" s="33"/>
      <c r="Z1367" s="33"/>
      <c r="AA1367" s="33"/>
      <c r="AB1367" s="33"/>
      <c r="AC1367" s="33"/>
    </row>
    <row r="1368" ht="15.75" customHeight="1">
      <c r="A1368" s="27"/>
      <c r="B1368" s="16" t="str">
        <f t="shared" si="6"/>
        <v/>
      </c>
      <c r="C1368" s="28"/>
      <c r="D1368" s="89"/>
      <c r="E1368" s="90"/>
      <c r="F1368" s="20"/>
      <c r="G1368" s="37"/>
      <c r="H1368" s="37"/>
      <c r="I1368" s="32"/>
      <c r="J1368" s="32"/>
      <c r="K1368" s="53"/>
      <c r="L1368" s="32"/>
      <c r="M1368" s="33"/>
      <c r="N1368" s="33"/>
      <c r="O1368" s="33"/>
      <c r="P1368" s="33"/>
      <c r="Q1368" s="33"/>
      <c r="R1368" s="33"/>
      <c r="S1368" s="33"/>
      <c r="T1368" s="33"/>
      <c r="U1368" s="33"/>
      <c r="V1368" s="33"/>
      <c r="W1368" s="33"/>
      <c r="X1368" s="33"/>
      <c r="Y1368" s="33"/>
      <c r="Z1368" s="33"/>
      <c r="AA1368" s="33"/>
      <c r="AB1368" s="33"/>
      <c r="AC1368" s="33"/>
    </row>
    <row r="1369" ht="15.75" customHeight="1">
      <c r="A1369" s="27"/>
      <c r="B1369" s="16" t="str">
        <f t="shared" si="6"/>
        <v/>
      </c>
      <c r="C1369" s="28"/>
      <c r="D1369" s="89"/>
      <c r="E1369" s="90"/>
      <c r="F1369" s="20"/>
      <c r="G1369" s="37"/>
      <c r="H1369" s="37"/>
      <c r="I1369" s="32"/>
      <c r="J1369" s="32"/>
      <c r="K1369" s="53"/>
      <c r="L1369" s="32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</row>
    <row r="1370" ht="15.75" customHeight="1">
      <c r="A1370" s="27"/>
      <c r="B1370" s="16" t="str">
        <f t="shared" si="6"/>
        <v/>
      </c>
      <c r="C1370" s="28"/>
      <c r="D1370" s="89"/>
      <c r="E1370" s="90"/>
      <c r="F1370" s="20"/>
      <c r="G1370" s="37"/>
      <c r="H1370" s="37"/>
      <c r="I1370" s="32"/>
      <c r="J1370" s="32"/>
      <c r="K1370" s="53"/>
      <c r="L1370" s="32"/>
      <c r="M1370" s="33"/>
      <c r="N1370" s="33"/>
      <c r="O1370" s="33"/>
      <c r="P1370" s="33"/>
      <c r="Q1370" s="33"/>
      <c r="R1370" s="33"/>
      <c r="S1370" s="33"/>
      <c r="T1370" s="33"/>
      <c r="U1370" s="33"/>
      <c r="V1370" s="33"/>
      <c r="W1370" s="33"/>
      <c r="X1370" s="33"/>
      <c r="Y1370" s="33"/>
      <c r="Z1370" s="33"/>
      <c r="AA1370" s="33"/>
      <c r="AB1370" s="33"/>
      <c r="AC1370" s="33"/>
    </row>
    <row r="1371" ht="15.75" customHeight="1">
      <c r="A1371" s="27"/>
      <c r="B1371" s="16" t="str">
        <f t="shared" si="6"/>
        <v/>
      </c>
      <c r="C1371" s="28"/>
      <c r="D1371" s="89"/>
      <c r="E1371" s="90"/>
      <c r="F1371" s="20"/>
      <c r="G1371" s="37"/>
      <c r="H1371" s="37"/>
      <c r="I1371" s="32"/>
      <c r="J1371" s="32"/>
      <c r="K1371" s="53"/>
      <c r="L1371" s="32"/>
      <c r="M1371" s="33"/>
      <c r="N1371" s="33"/>
      <c r="O1371" s="33"/>
      <c r="P1371" s="33"/>
      <c r="Q1371" s="33"/>
      <c r="R1371" s="33"/>
      <c r="S1371" s="33"/>
      <c r="T1371" s="33"/>
      <c r="U1371" s="33"/>
      <c r="V1371" s="33"/>
      <c r="W1371" s="33"/>
      <c r="X1371" s="33"/>
      <c r="Y1371" s="33"/>
      <c r="Z1371" s="33"/>
      <c r="AA1371" s="33"/>
      <c r="AB1371" s="33"/>
      <c r="AC1371" s="33"/>
    </row>
    <row r="1372" ht="15.75" customHeight="1">
      <c r="A1372" s="27"/>
      <c r="B1372" s="16" t="str">
        <f t="shared" si="6"/>
        <v/>
      </c>
      <c r="C1372" s="28"/>
      <c r="D1372" s="89"/>
      <c r="E1372" s="90"/>
      <c r="F1372" s="20"/>
      <c r="G1372" s="37"/>
      <c r="H1372" s="37"/>
      <c r="I1372" s="32"/>
      <c r="J1372" s="32"/>
      <c r="K1372" s="53"/>
      <c r="L1372" s="32"/>
      <c r="M1372" s="33"/>
      <c r="N1372" s="33"/>
      <c r="O1372" s="33"/>
      <c r="P1372" s="33"/>
      <c r="Q1372" s="33"/>
      <c r="R1372" s="33"/>
      <c r="S1372" s="33"/>
      <c r="T1372" s="33"/>
      <c r="U1372" s="33"/>
      <c r="V1372" s="33"/>
      <c r="W1372" s="33"/>
      <c r="X1372" s="33"/>
      <c r="Y1372" s="33"/>
      <c r="Z1372" s="33"/>
      <c r="AA1372" s="33"/>
      <c r="AB1372" s="33"/>
      <c r="AC1372" s="33"/>
    </row>
    <row r="1373" ht="15.75" customHeight="1">
      <c r="A1373" s="27"/>
      <c r="B1373" s="16" t="str">
        <f t="shared" si="6"/>
        <v/>
      </c>
      <c r="C1373" s="28"/>
      <c r="D1373" s="89"/>
      <c r="E1373" s="90"/>
      <c r="F1373" s="20"/>
      <c r="G1373" s="37"/>
      <c r="H1373" s="37"/>
      <c r="I1373" s="32"/>
      <c r="J1373" s="32"/>
      <c r="K1373" s="53"/>
      <c r="L1373" s="32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</row>
    <row r="1374" ht="15.75" customHeight="1">
      <c r="A1374" s="27"/>
      <c r="B1374" s="16" t="str">
        <f t="shared" si="6"/>
        <v/>
      </c>
      <c r="C1374" s="28"/>
      <c r="D1374" s="89"/>
      <c r="E1374" s="90"/>
      <c r="F1374" s="20"/>
      <c r="G1374" s="37"/>
      <c r="H1374" s="37"/>
      <c r="I1374" s="32"/>
      <c r="J1374" s="32"/>
      <c r="K1374" s="53"/>
      <c r="L1374" s="32"/>
      <c r="M1374" s="33"/>
      <c r="N1374" s="33"/>
      <c r="O1374" s="33"/>
      <c r="P1374" s="33"/>
      <c r="Q1374" s="33"/>
      <c r="R1374" s="33"/>
      <c r="S1374" s="33"/>
      <c r="T1374" s="33"/>
      <c r="U1374" s="33"/>
      <c r="V1374" s="33"/>
      <c r="W1374" s="33"/>
      <c r="X1374" s="33"/>
      <c r="Y1374" s="33"/>
      <c r="Z1374" s="33"/>
      <c r="AA1374" s="33"/>
      <c r="AB1374" s="33"/>
      <c r="AC1374" s="33"/>
    </row>
    <row r="1375" ht="15.75" customHeight="1">
      <c r="A1375" s="27"/>
      <c r="B1375" s="16" t="str">
        <f t="shared" si="6"/>
        <v/>
      </c>
      <c r="C1375" s="28"/>
      <c r="D1375" s="89"/>
      <c r="E1375" s="90"/>
      <c r="F1375" s="20"/>
      <c r="G1375" s="37"/>
      <c r="H1375" s="37"/>
      <c r="I1375" s="32"/>
      <c r="J1375" s="32"/>
      <c r="K1375" s="53"/>
      <c r="L1375" s="32"/>
      <c r="M1375" s="33"/>
      <c r="N1375" s="33"/>
      <c r="O1375" s="33"/>
      <c r="P1375" s="33"/>
      <c r="Q1375" s="33"/>
      <c r="R1375" s="33"/>
      <c r="S1375" s="33"/>
      <c r="T1375" s="33"/>
      <c r="U1375" s="33"/>
      <c r="V1375" s="33"/>
      <c r="W1375" s="33"/>
      <c r="X1375" s="33"/>
      <c r="Y1375" s="33"/>
      <c r="Z1375" s="33"/>
      <c r="AA1375" s="33"/>
      <c r="AB1375" s="33"/>
      <c r="AC1375" s="33"/>
    </row>
    <row r="1376" ht="15.75" customHeight="1">
      <c r="A1376" s="27"/>
      <c r="B1376" s="16" t="str">
        <f t="shared" si="6"/>
        <v/>
      </c>
      <c r="C1376" s="28"/>
      <c r="D1376" s="89"/>
      <c r="E1376" s="90"/>
      <c r="F1376" s="20"/>
      <c r="G1376" s="37"/>
      <c r="H1376" s="37"/>
      <c r="I1376" s="32"/>
      <c r="J1376" s="32"/>
      <c r="K1376" s="53"/>
      <c r="L1376" s="32"/>
      <c r="M1376" s="33"/>
      <c r="N1376" s="33"/>
      <c r="O1376" s="33"/>
      <c r="P1376" s="33"/>
      <c r="Q1376" s="33"/>
      <c r="R1376" s="33"/>
      <c r="S1376" s="33"/>
      <c r="T1376" s="33"/>
      <c r="U1376" s="33"/>
      <c r="V1376" s="33"/>
      <c r="W1376" s="33"/>
      <c r="X1376" s="33"/>
      <c r="Y1376" s="33"/>
      <c r="Z1376" s="33"/>
      <c r="AA1376" s="33"/>
      <c r="AB1376" s="33"/>
      <c r="AC1376" s="33"/>
    </row>
    <row r="1377" ht="15.75" customHeight="1">
      <c r="A1377" s="27"/>
      <c r="B1377" s="16" t="str">
        <f t="shared" si="6"/>
        <v/>
      </c>
      <c r="C1377" s="28"/>
      <c r="D1377" s="89"/>
      <c r="E1377" s="90"/>
      <c r="F1377" s="20"/>
      <c r="G1377" s="37"/>
      <c r="H1377" s="37"/>
      <c r="I1377" s="32"/>
      <c r="J1377" s="32"/>
      <c r="K1377" s="53"/>
      <c r="L1377" s="32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</row>
    <row r="1378" ht="15.75" customHeight="1">
      <c r="A1378" s="27"/>
      <c r="B1378" s="16" t="str">
        <f t="shared" si="6"/>
        <v/>
      </c>
      <c r="C1378" s="28"/>
      <c r="D1378" s="89"/>
      <c r="E1378" s="90"/>
      <c r="F1378" s="20"/>
      <c r="G1378" s="37"/>
      <c r="H1378" s="37"/>
      <c r="I1378" s="32"/>
      <c r="J1378" s="32"/>
      <c r="K1378" s="53"/>
      <c r="L1378" s="32"/>
      <c r="M1378" s="33"/>
      <c r="N1378" s="33"/>
      <c r="O1378" s="33"/>
      <c r="P1378" s="33"/>
      <c r="Q1378" s="33"/>
      <c r="R1378" s="33"/>
      <c r="S1378" s="33"/>
      <c r="T1378" s="33"/>
      <c r="U1378" s="33"/>
      <c r="V1378" s="33"/>
      <c r="W1378" s="33"/>
      <c r="X1378" s="33"/>
      <c r="Y1378" s="33"/>
      <c r="Z1378" s="33"/>
      <c r="AA1378" s="33"/>
      <c r="AB1378" s="33"/>
      <c r="AC1378" s="33"/>
    </row>
    <row r="1379" ht="15.75" customHeight="1">
      <c r="A1379" s="27"/>
      <c r="B1379" s="16" t="str">
        <f t="shared" si="6"/>
        <v/>
      </c>
      <c r="C1379" s="28"/>
      <c r="D1379" s="89"/>
      <c r="E1379" s="90"/>
      <c r="F1379" s="20"/>
      <c r="G1379" s="37"/>
      <c r="H1379" s="37"/>
      <c r="I1379" s="32"/>
      <c r="J1379" s="32"/>
      <c r="K1379" s="53"/>
      <c r="L1379" s="32"/>
      <c r="M1379" s="33"/>
      <c r="N1379" s="33"/>
      <c r="O1379" s="33"/>
      <c r="P1379" s="33"/>
      <c r="Q1379" s="33"/>
      <c r="R1379" s="33"/>
      <c r="S1379" s="33"/>
      <c r="T1379" s="33"/>
      <c r="U1379" s="33"/>
      <c r="V1379" s="33"/>
      <c r="W1379" s="33"/>
      <c r="X1379" s="33"/>
      <c r="Y1379" s="33"/>
      <c r="Z1379" s="33"/>
      <c r="AA1379" s="33"/>
      <c r="AB1379" s="33"/>
      <c r="AC1379" s="33"/>
    </row>
    <row r="1380" ht="15.75" customHeight="1">
      <c r="A1380" s="27"/>
      <c r="B1380" s="16" t="str">
        <f t="shared" si="6"/>
        <v/>
      </c>
      <c r="C1380" s="28"/>
      <c r="D1380" s="89"/>
      <c r="E1380" s="90"/>
      <c r="F1380" s="20"/>
      <c r="G1380" s="37"/>
      <c r="H1380" s="37"/>
      <c r="I1380" s="32"/>
      <c r="J1380" s="32"/>
      <c r="K1380" s="53"/>
      <c r="L1380" s="32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</row>
    <row r="1381" ht="15.75" customHeight="1">
      <c r="A1381" s="27"/>
      <c r="B1381" s="16" t="str">
        <f t="shared" si="6"/>
        <v/>
      </c>
      <c r="C1381" s="28"/>
      <c r="D1381" s="89"/>
      <c r="E1381" s="90"/>
      <c r="F1381" s="20"/>
      <c r="G1381" s="37"/>
      <c r="H1381" s="37"/>
      <c r="I1381" s="32"/>
      <c r="J1381" s="32"/>
      <c r="K1381" s="53"/>
      <c r="L1381" s="32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</row>
    <row r="1382" ht="15.75" customHeight="1">
      <c r="A1382" s="27"/>
      <c r="B1382" s="16" t="str">
        <f t="shared" si="6"/>
        <v/>
      </c>
      <c r="C1382" s="28"/>
      <c r="D1382" s="89"/>
      <c r="E1382" s="90"/>
      <c r="F1382" s="20"/>
      <c r="G1382" s="37"/>
      <c r="H1382" s="37"/>
      <c r="I1382" s="32"/>
      <c r="J1382" s="32"/>
      <c r="K1382" s="53"/>
      <c r="L1382" s="32"/>
      <c r="M1382" s="33"/>
      <c r="N1382" s="33"/>
      <c r="O1382" s="33"/>
      <c r="P1382" s="33"/>
      <c r="Q1382" s="33"/>
      <c r="R1382" s="33"/>
      <c r="S1382" s="33"/>
      <c r="T1382" s="33"/>
      <c r="U1382" s="33"/>
      <c r="V1382" s="33"/>
      <c r="W1382" s="33"/>
      <c r="X1382" s="33"/>
      <c r="Y1382" s="33"/>
      <c r="Z1382" s="33"/>
      <c r="AA1382" s="33"/>
      <c r="AB1382" s="33"/>
      <c r="AC1382" s="33"/>
    </row>
    <row r="1383" ht="15.75" customHeight="1">
      <c r="A1383" s="27"/>
      <c r="B1383" s="16" t="str">
        <f t="shared" si="6"/>
        <v/>
      </c>
      <c r="C1383" s="28"/>
      <c r="D1383" s="89"/>
      <c r="E1383" s="90"/>
      <c r="F1383" s="20"/>
      <c r="G1383" s="37"/>
      <c r="H1383" s="37"/>
      <c r="I1383" s="32"/>
      <c r="J1383" s="32"/>
      <c r="K1383" s="53"/>
      <c r="L1383" s="32"/>
      <c r="M1383" s="33"/>
      <c r="N1383" s="33"/>
      <c r="O1383" s="33"/>
      <c r="P1383" s="33"/>
      <c r="Q1383" s="33"/>
      <c r="R1383" s="33"/>
      <c r="S1383" s="33"/>
      <c r="T1383" s="33"/>
      <c r="U1383" s="33"/>
      <c r="V1383" s="33"/>
      <c r="W1383" s="33"/>
      <c r="X1383" s="33"/>
      <c r="Y1383" s="33"/>
      <c r="Z1383" s="33"/>
      <c r="AA1383" s="33"/>
      <c r="AB1383" s="33"/>
      <c r="AC1383" s="33"/>
    </row>
    <row r="1384" ht="15.75" customHeight="1">
      <c r="A1384" s="27"/>
      <c r="B1384" s="16" t="str">
        <f t="shared" si="6"/>
        <v/>
      </c>
      <c r="C1384" s="28"/>
      <c r="D1384" s="89"/>
      <c r="E1384" s="90"/>
      <c r="F1384" s="20"/>
      <c r="G1384" s="37"/>
      <c r="H1384" s="37"/>
      <c r="I1384" s="32"/>
      <c r="J1384" s="32"/>
      <c r="K1384" s="53"/>
      <c r="L1384" s="32"/>
      <c r="M1384" s="33"/>
      <c r="N1384" s="33"/>
      <c r="O1384" s="33"/>
      <c r="P1384" s="33"/>
      <c r="Q1384" s="33"/>
      <c r="R1384" s="33"/>
      <c r="S1384" s="33"/>
      <c r="T1384" s="33"/>
      <c r="U1384" s="33"/>
      <c r="V1384" s="33"/>
      <c r="W1384" s="33"/>
      <c r="X1384" s="33"/>
      <c r="Y1384" s="33"/>
      <c r="Z1384" s="33"/>
      <c r="AA1384" s="33"/>
      <c r="AB1384" s="33"/>
      <c r="AC1384" s="33"/>
    </row>
    <row r="1385" ht="15.75" customHeight="1">
      <c r="A1385" s="27"/>
      <c r="B1385" s="16" t="str">
        <f t="shared" si="6"/>
        <v/>
      </c>
      <c r="C1385" s="28"/>
      <c r="D1385" s="89"/>
      <c r="E1385" s="90"/>
      <c r="F1385" s="20"/>
      <c r="G1385" s="37"/>
      <c r="H1385" s="37"/>
      <c r="I1385" s="32"/>
      <c r="J1385" s="32"/>
      <c r="K1385" s="53"/>
      <c r="L1385" s="32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</row>
    <row r="1386" ht="15.75" customHeight="1">
      <c r="A1386" s="27"/>
      <c r="B1386" s="16" t="str">
        <f t="shared" si="6"/>
        <v/>
      </c>
      <c r="C1386" s="28"/>
      <c r="D1386" s="89"/>
      <c r="E1386" s="90"/>
      <c r="F1386" s="20"/>
      <c r="G1386" s="37"/>
      <c r="H1386" s="37"/>
      <c r="I1386" s="32"/>
      <c r="J1386" s="32"/>
      <c r="K1386" s="53"/>
      <c r="L1386" s="32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33"/>
      <c r="Y1386" s="33"/>
      <c r="Z1386" s="33"/>
      <c r="AA1386" s="33"/>
      <c r="AB1386" s="33"/>
      <c r="AC1386" s="33"/>
    </row>
    <row r="1387" ht="15.75" customHeight="1">
      <c r="A1387" s="27"/>
      <c r="B1387" s="16" t="str">
        <f t="shared" si="6"/>
        <v/>
      </c>
      <c r="C1387" s="28"/>
      <c r="D1387" s="89"/>
      <c r="E1387" s="90"/>
      <c r="F1387" s="20"/>
      <c r="G1387" s="37"/>
      <c r="H1387" s="37"/>
      <c r="I1387" s="32"/>
      <c r="J1387" s="32"/>
      <c r="K1387" s="53"/>
      <c r="L1387" s="32"/>
      <c r="M1387" s="33"/>
      <c r="N1387" s="33"/>
      <c r="O1387" s="33"/>
      <c r="P1387" s="33"/>
      <c r="Q1387" s="33"/>
      <c r="R1387" s="33"/>
      <c r="S1387" s="33"/>
      <c r="T1387" s="33"/>
      <c r="U1387" s="33"/>
      <c r="V1387" s="33"/>
      <c r="W1387" s="33"/>
      <c r="X1387" s="33"/>
      <c r="Y1387" s="33"/>
      <c r="Z1387" s="33"/>
      <c r="AA1387" s="33"/>
      <c r="AB1387" s="33"/>
      <c r="AC1387" s="33"/>
    </row>
    <row r="1388" ht="15.75" customHeight="1">
      <c r="A1388" s="27"/>
      <c r="B1388" s="16" t="str">
        <f t="shared" si="6"/>
        <v/>
      </c>
      <c r="C1388" s="28"/>
      <c r="D1388" s="89"/>
      <c r="E1388" s="90"/>
      <c r="F1388" s="20"/>
      <c r="G1388" s="37"/>
      <c r="H1388" s="37"/>
      <c r="I1388" s="32"/>
      <c r="J1388" s="32"/>
      <c r="K1388" s="53"/>
      <c r="L1388" s="32"/>
      <c r="M1388" s="33"/>
      <c r="N1388" s="33"/>
      <c r="O1388" s="33"/>
      <c r="P1388" s="33"/>
      <c r="Q1388" s="33"/>
      <c r="R1388" s="33"/>
      <c r="S1388" s="33"/>
      <c r="T1388" s="33"/>
      <c r="U1388" s="33"/>
      <c r="V1388" s="33"/>
      <c r="W1388" s="33"/>
      <c r="X1388" s="33"/>
      <c r="Y1388" s="33"/>
      <c r="Z1388" s="33"/>
      <c r="AA1388" s="33"/>
      <c r="AB1388" s="33"/>
      <c r="AC1388" s="33"/>
    </row>
    <row r="1389" ht="15.75" customHeight="1">
      <c r="A1389" s="27"/>
      <c r="B1389" s="16" t="str">
        <f t="shared" si="6"/>
        <v/>
      </c>
      <c r="C1389" s="28"/>
      <c r="D1389" s="89"/>
      <c r="E1389" s="90"/>
      <c r="F1389" s="20"/>
      <c r="G1389" s="37"/>
      <c r="H1389" s="37"/>
      <c r="I1389" s="32"/>
      <c r="J1389" s="32"/>
      <c r="K1389" s="53"/>
      <c r="L1389" s="32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</row>
    <row r="1390" ht="15.75" customHeight="1">
      <c r="A1390" s="27"/>
      <c r="B1390" s="16" t="str">
        <f t="shared" si="6"/>
        <v/>
      </c>
      <c r="C1390" s="28"/>
      <c r="D1390" s="89"/>
      <c r="E1390" s="90"/>
      <c r="F1390" s="20"/>
      <c r="G1390" s="37"/>
      <c r="H1390" s="37"/>
      <c r="I1390" s="32"/>
      <c r="J1390" s="32"/>
      <c r="K1390" s="53"/>
      <c r="L1390" s="32"/>
      <c r="M1390" s="33"/>
      <c r="N1390" s="33"/>
      <c r="O1390" s="33"/>
      <c r="P1390" s="33"/>
      <c r="Q1390" s="33"/>
      <c r="R1390" s="33"/>
      <c r="S1390" s="33"/>
      <c r="T1390" s="33"/>
      <c r="U1390" s="33"/>
      <c r="V1390" s="33"/>
      <c r="W1390" s="33"/>
      <c r="X1390" s="33"/>
      <c r="Y1390" s="33"/>
      <c r="Z1390" s="33"/>
      <c r="AA1390" s="33"/>
      <c r="AB1390" s="33"/>
      <c r="AC1390" s="33"/>
    </row>
    <row r="1391" ht="15.75" customHeight="1">
      <c r="A1391" s="27"/>
      <c r="B1391" s="16" t="str">
        <f t="shared" si="6"/>
        <v/>
      </c>
      <c r="C1391" s="28"/>
      <c r="D1391" s="89"/>
      <c r="E1391" s="90"/>
      <c r="F1391" s="20"/>
      <c r="G1391" s="37"/>
      <c r="H1391" s="37"/>
      <c r="I1391" s="32"/>
      <c r="J1391" s="32"/>
      <c r="K1391" s="53"/>
      <c r="L1391" s="32"/>
      <c r="M1391" s="33"/>
      <c r="N1391" s="33"/>
      <c r="O1391" s="33"/>
      <c r="P1391" s="33"/>
      <c r="Q1391" s="33"/>
      <c r="R1391" s="33"/>
      <c r="S1391" s="33"/>
      <c r="T1391" s="33"/>
      <c r="U1391" s="33"/>
      <c r="V1391" s="33"/>
      <c r="W1391" s="33"/>
      <c r="X1391" s="33"/>
      <c r="Y1391" s="33"/>
      <c r="Z1391" s="33"/>
      <c r="AA1391" s="33"/>
      <c r="AB1391" s="33"/>
      <c r="AC1391" s="33"/>
    </row>
    <row r="1392" ht="15.75" customHeight="1">
      <c r="A1392" s="27"/>
      <c r="B1392" s="16" t="str">
        <f t="shared" si="6"/>
        <v/>
      </c>
      <c r="C1392" s="28"/>
      <c r="D1392" s="89"/>
      <c r="E1392" s="90"/>
      <c r="F1392" s="20"/>
      <c r="G1392" s="37"/>
      <c r="H1392" s="37"/>
      <c r="I1392" s="32"/>
      <c r="J1392" s="32"/>
      <c r="K1392" s="53"/>
      <c r="L1392" s="32"/>
      <c r="M1392" s="33"/>
      <c r="N1392" s="33"/>
      <c r="O1392" s="33"/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/>
      <c r="AB1392" s="33"/>
      <c r="AC1392" s="33"/>
    </row>
    <row r="1393" ht="15.75" customHeight="1">
      <c r="A1393" s="27"/>
      <c r="B1393" s="16" t="str">
        <f t="shared" si="6"/>
        <v/>
      </c>
      <c r="C1393" s="28"/>
      <c r="D1393" s="89"/>
      <c r="E1393" s="90"/>
      <c r="F1393" s="20"/>
      <c r="G1393" s="37"/>
      <c r="H1393" s="37"/>
      <c r="I1393" s="32"/>
      <c r="J1393" s="32"/>
      <c r="K1393" s="53"/>
      <c r="L1393" s="32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</row>
    <row r="1394" ht="15.75" customHeight="1">
      <c r="A1394" s="27"/>
      <c r="B1394" s="16" t="str">
        <f t="shared" si="6"/>
        <v/>
      </c>
      <c r="C1394" s="28"/>
      <c r="D1394" s="89"/>
      <c r="E1394" s="90"/>
      <c r="F1394" s="20"/>
      <c r="G1394" s="37"/>
      <c r="H1394" s="37"/>
      <c r="I1394" s="32"/>
      <c r="J1394" s="32"/>
      <c r="K1394" s="53"/>
      <c r="L1394" s="32"/>
      <c r="M1394" s="33"/>
      <c r="N1394" s="33"/>
      <c r="O1394" s="33"/>
      <c r="P1394" s="33"/>
      <c r="Q1394" s="33"/>
      <c r="R1394" s="33"/>
      <c r="S1394" s="33"/>
      <c r="T1394" s="33"/>
      <c r="U1394" s="33"/>
      <c r="V1394" s="33"/>
      <c r="W1394" s="33"/>
      <c r="X1394" s="33"/>
      <c r="Y1394" s="33"/>
      <c r="Z1394" s="33"/>
      <c r="AA1394" s="33"/>
      <c r="AB1394" s="33"/>
      <c r="AC1394" s="33"/>
    </row>
    <row r="1395" ht="15.75" customHeight="1">
      <c r="A1395" s="27"/>
      <c r="B1395" s="16" t="str">
        <f t="shared" si="6"/>
        <v/>
      </c>
      <c r="C1395" s="28"/>
      <c r="D1395" s="89"/>
      <c r="E1395" s="90"/>
      <c r="F1395" s="20"/>
      <c r="G1395" s="37"/>
      <c r="H1395" s="37"/>
      <c r="I1395" s="32"/>
      <c r="J1395" s="32"/>
      <c r="K1395" s="53"/>
      <c r="L1395" s="32"/>
      <c r="M1395" s="33"/>
      <c r="N1395" s="33"/>
      <c r="O1395" s="33"/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/>
      <c r="AB1395" s="33"/>
      <c r="AC1395" s="33"/>
    </row>
    <row r="1396" ht="15.75" customHeight="1">
      <c r="A1396" s="27"/>
      <c r="B1396" s="16" t="str">
        <f t="shared" si="6"/>
        <v/>
      </c>
      <c r="C1396" s="28"/>
      <c r="D1396" s="89"/>
      <c r="E1396" s="90"/>
      <c r="F1396" s="20"/>
      <c r="G1396" s="37"/>
      <c r="H1396" s="37"/>
      <c r="I1396" s="32"/>
      <c r="J1396" s="32"/>
      <c r="K1396" s="53"/>
      <c r="L1396" s="32"/>
      <c r="M1396" s="33"/>
      <c r="N1396" s="33"/>
      <c r="O1396" s="33"/>
      <c r="P1396" s="33"/>
      <c r="Q1396" s="33"/>
      <c r="R1396" s="33"/>
      <c r="S1396" s="33"/>
      <c r="T1396" s="33"/>
      <c r="U1396" s="33"/>
      <c r="V1396" s="33"/>
      <c r="W1396" s="33"/>
      <c r="X1396" s="33"/>
      <c r="Y1396" s="33"/>
      <c r="Z1396" s="33"/>
      <c r="AA1396" s="33"/>
      <c r="AB1396" s="33"/>
      <c r="AC1396" s="33"/>
    </row>
    <row r="1397" ht="15.75" customHeight="1">
      <c r="A1397" s="27"/>
      <c r="B1397" s="16" t="str">
        <f t="shared" si="6"/>
        <v/>
      </c>
      <c r="C1397" s="28"/>
      <c r="D1397" s="89"/>
      <c r="E1397" s="90"/>
      <c r="F1397" s="20"/>
      <c r="G1397" s="37"/>
      <c r="H1397" s="37"/>
      <c r="I1397" s="32"/>
      <c r="J1397" s="32"/>
      <c r="K1397" s="53"/>
      <c r="L1397" s="32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</row>
    <row r="1398" ht="15.75" customHeight="1">
      <c r="A1398" s="27"/>
      <c r="B1398" s="16" t="str">
        <f t="shared" si="6"/>
        <v/>
      </c>
      <c r="C1398" s="28"/>
      <c r="D1398" s="89"/>
      <c r="E1398" s="90"/>
      <c r="F1398" s="20"/>
      <c r="G1398" s="37"/>
      <c r="H1398" s="37"/>
      <c r="I1398" s="32"/>
      <c r="J1398" s="32"/>
      <c r="K1398" s="53"/>
      <c r="L1398" s="32"/>
      <c r="M1398" s="33"/>
      <c r="N1398" s="33"/>
      <c r="O1398" s="33"/>
      <c r="P1398" s="33"/>
      <c r="Q1398" s="33"/>
      <c r="R1398" s="33"/>
      <c r="S1398" s="33"/>
      <c r="T1398" s="33"/>
      <c r="U1398" s="33"/>
      <c r="V1398" s="33"/>
      <c r="W1398" s="33"/>
      <c r="X1398" s="33"/>
      <c r="Y1398" s="33"/>
      <c r="Z1398" s="33"/>
      <c r="AA1398" s="33"/>
      <c r="AB1398" s="33"/>
      <c r="AC1398" s="33"/>
    </row>
    <row r="1399" ht="15.75" customHeight="1">
      <c r="A1399" s="27"/>
      <c r="B1399" s="16" t="str">
        <f t="shared" si="6"/>
        <v/>
      </c>
      <c r="C1399" s="28"/>
      <c r="D1399" s="89"/>
      <c r="E1399" s="90"/>
      <c r="F1399" s="20"/>
      <c r="G1399" s="37"/>
      <c r="H1399" s="37"/>
      <c r="I1399" s="32"/>
      <c r="J1399" s="32"/>
      <c r="K1399" s="53"/>
      <c r="L1399" s="32"/>
      <c r="M1399" s="33"/>
      <c r="N1399" s="33"/>
      <c r="O1399" s="33"/>
      <c r="P1399" s="33"/>
      <c r="Q1399" s="33"/>
      <c r="R1399" s="33"/>
      <c r="S1399" s="33"/>
      <c r="T1399" s="33"/>
      <c r="U1399" s="33"/>
      <c r="V1399" s="33"/>
      <c r="W1399" s="33"/>
      <c r="X1399" s="33"/>
      <c r="Y1399" s="33"/>
      <c r="Z1399" s="33"/>
      <c r="AA1399" s="33"/>
      <c r="AB1399" s="33"/>
      <c r="AC1399" s="33"/>
    </row>
    <row r="1400" ht="15.75" customHeight="1">
      <c r="A1400" s="27"/>
      <c r="B1400" s="16" t="str">
        <f t="shared" si="6"/>
        <v/>
      </c>
      <c r="C1400" s="28"/>
      <c r="D1400" s="89"/>
      <c r="E1400" s="90"/>
      <c r="F1400" s="20"/>
      <c r="G1400" s="37"/>
      <c r="H1400" s="37"/>
      <c r="I1400" s="32"/>
      <c r="J1400" s="32"/>
      <c r="K1400" s="53"/>
      <c r="L1400" s="32"/>
      <c r="M1400" s="33"/>
      <c r="N1400" s="33"/>
      <c r="O1400" s="33"/>
      <c r="P1400" s="33"/>
      <c r="Q1400" s="33"/>
      <c r="R1400" s="33"/>
      <c r="S1400" s="33"/>
      <c r="T1400" s="33"/>
      <c r="U1400" s="33"/>
      <c r="V1400" s="33"/>
      <c r="W1400" s="33"/>
      <c r="X1400" s="33"/>
      <c r="Y1400" s="33"/>
      <c r="Z1400" s="33"/>
      <c r="AA1400" s="33"/>
      <c r="AB1400" s="33"/>
      <c r="AC1400" s="33"/>
    </row>
    <row r="1401" ht="15.75" customHeight="1">
      <c r="A1401" s="27"/>
      <c r="B1401" s="16" t="str">
        <f t="shared" si="6"/>
        <v/>
      </c>
      <c r="C1401" s="28"/>
      <c r="D1401" s="89"/>
      <c r="E1401" s="90"/>
      <c r="F1401" s="20"/>
      <c r="G1401" s="37"/>
      <c r="H1401" s="37"/>
      <c r="I1401" s="32"/>
      <c r="J1401" s="32"/>
      <c r="K1401" s="53"/>
      <c r="L1401" s="32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</row>
    <row r="1402" ht="15.75" customHeight="1">
      <c r="A1402" s="27"/>
      <c r="B1402" s="16" t="str">
        <f t="shared" si="6"/>
        <v/>
      </c>
      <c r="C1402" s="28"/>
      <c r="D1402" s="89"/>
      <c r="E1402" s="90"/>
      <c r="F1402" s="20"/>
      <c r="G1402" s="37"/>
      <c r="H1402" s="37"/>
      <c r="I1402" s="32"/>
      <c r="J1402" s="32"/>
      <c r="K1402" s="53"/>
      <c r="L1402" s="32"/>
      <c r="M1402" s="33"/>
      <c r="N1402" s="33"/>
      <c r="O1402" s="33"/>
      <c r="P1402" s="33"/>
      <c r="Q1402" s="33"/>
      <c r="R1402" s="33"/>
      <c r="S1402" s="33"/>
      <c r="T1402" s="33"/>
      <c r="U1402" s="33"/>
      <c r="V1402" s="33"/>
      <c r="W1402" s="33"/>
      <c r="X1402" s="33"/>
      <c r="Y1402" s="33"/>
      <c r="Z1402" s="33"/>
      <c r="AA1402" s="33"/>
      <c r="AB1402" s="33"/>
      <c r="AC1402" s="33"/>
    </row>
    <row r="1403" ht="15.75" customHeight="1">
      <c r="A1403" s="27"/>
      <c r="B1403" s="16" t="str">
        <f t="shared" si="6"/>
        <v/>
      </c>
      <c r="C1403" s="28"/>
      <c r="D1403" s="89"/>
      <c r="E1403" s="90"/>
      <c r="F1403" s="20"/>
      <c r="G1403" s="37"/>
      <c r="H1403" s="37"/>
      <c r="I1403" s="32"/>
      <c r="J1403" s="32"/>
      <c r="K1403" s="53"/>
      <c r="L1403" s="32"/>
      <c r="M1403" s="33"/>
      <c r="N1403" s="33"/>
      <c r="O1403" s="33"/>
      <c r="P1403" s="33"/>
      <c r="Q1403" s="33"/>
      <c r="R1403" s="33"/>
      <c r="S1403" s="33"/>
      <c r="T1403" s="33"/>
      <c r="U1403" s="33"/>
      <c r="V1403" s="33"/>
      <c r="W1403" s="33"/>
      <c r="X1403" s="33"/>
      <c r="Y1403" s="33"/>
      <c r="Z1403" s="33"/>
      <c r="AA1403" s="33"/>
      <c r="AB1403" s="33"/>
      <c r="AC1403" s="33"/>
    </row>
    <row r="1404" ht="15.75" customHeight="1">
      <c r="A1404" s="27"/>
      <c r="B1404" s="16" t="str">
        <f t="shared" si="6"/>
        <v/>
      </c>
      <c r="C1404" s="28"/>
      <c r="D1404" s="89"/>
      <c r="E1404" s="90"/>
      <c r="F1404" s="20"/>
      <c r="G1404" s="37"/>
      <c r="H1404" s="37"/>
      <c r="I1404" s="32"/>
      <c r="J1404" s="32"/>
      <c r="K1404" s="53"/>
      <c r="L1404" s="32"/>
      <c r="M1404" s="33"/>
      <c r="N1404" s="33"/>
      <c r="O1404" s="33"/>
      <c r="P1404" s="33"/>
      <c r="Q1404" s="33"/>
      <c r="R1404" s="33"/>
      <c r="S1404" s="33"/>
      <c r="T1404" s="33"/>
      <c r="U1404" s="33"/>
      <c r="V1404" s="33"/>
      <c r="W1404" s="33"/>
      <c r="X1404" s="33"/>
      <c r="Y1404" s="33"/>
      <c r="Z1404" s="33"/>
      <c r="AA1404" s="33"/>
      <c r="AB1404" s="33"/>
      <c r="AC1404" s="33"/>
    </row>
    <row r="1405" ht="15.75" customHeight="1">
      <c r="A1405" s="27"/>
      <c r="B1405" s="16" t="str">
        <f t="shared" si="6"/>
        <v/>
      </c>
      <c r="C1405" s="28"/>
      <c r="D1405" s="89"/>
      <c r="E1405" s="90"/>
      <c r="F1405" s="20"/>
      <c r="G1405" s="37"/>
      <c r="H1405" s="37"/>
      <c r="I1405" s="32"/>
      <c r="J1405" s="32"/>
      <c r="K1405" s="53"/>
      <c r="L1405" s="32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</row>
    <row r="1406" ht="15.75" customHeight="1">
      <c r="A1406" s="27"/>
      <c r="B1406" s="16" t="str">
        <f t="shared" si="6"/>
        <v/>
      </c>
      <c r="C1406" s="28"/>
      <c r="D1406" s="89"/>
      <c r="E1406" s="90"/>
      <c r="F1406" s="20"/>
      <c r="G1406" s="37"/>
      <c r="H1406" s="37"/>
      <c r="I1406" s="32"/>
      <c r="J1406" s="32"/>
      <c r="K1406" s="53"/>
      <c r="L1406" s="32"/>
      <c r="M1406" s="33"/>
      <c r="N1406" s="33"/>
      <c r="O1406" s="33"/>
      <c r="P1406" s="33"/>
      <c r="Q1406" s="33"/>
      <c r="R1406" s="33"/>
      <c r="S1406" s="33"/>
      <c r="T1406" s="33"/>
      <c r="U1406" s="33"/>
      <c r="V1406" s="33"/>
      <c r="W1406" s="33"/>
      <c r="X1406" s="33"/>
      <c r="Y1406" s="33"/>
      <c r="Z1406" s="33"/>
      <c r="AA1406" s="33"/>
      <c r="AB1406" s="33"/>
      <c r="AC1406" s="33"/>
    </row>
    <row r="1407" ht="15.75" customHeight="1">
      <c r="A1407" s="27"/>
      <c r="B1407" s="16" t="str">
        <f t="shared" si="6"/>
        <v/>
      </c>
      <c r="C1407" s="28"/>
      <c r="D1407" s="89"/>
      <c r="E1407" s="90"/>
      <c r="F1407" s="20"/>
      <c r="G1407" s="37"/>
      <c r="H1407" s="37"/>
      <c r="I1407" s="32"/>
      <c r="J1407" s="32"/>
      <c r="K1407" s="53"/>
      <c r="L1407" s="32"/>
      <c r="M1407" s="33"/>
      <c r="N1407" s="33"/>
      <c r="O1407" s="33"/>
      <c r="P1407" s="33"/>
      <c r="Q1407" s="33"/>
      <c r="R1407" s="33"/>
      <c r="S1407" s="33"/>
      <c r="T1407" s="33"/>
      <c r="U1407" s="33"/>
      <c r="V1407" s="33"/>
      <c r="W1407" s="33"/>
      <c r="X1407" s="33"/>
      <c r="Y1407" s="33"/>
      <c r="Z1407" s="33"/>
      <c r="AA1407" s="33"/>
      <c r="AB1407" s="33"/>
      <c r="AC1407" s="33"/>
    </row>
    <row r="1408" ht="15.75" customHeight="1">
      <c r="A1408" s="27"/>
      <c r="B1408" s="16" t="str">
        <f t="shared" si="6"/>
        <v/>
      </c>
      <c r="C1408" s="28"/>
      <c r="D1408" s="89"/>
      <c r="E1408" s="90"/>
      <c r="F1408" s="20"/>
      <c r="G1408" s="37"/>
      <c r="H1408" s="37"/>
      <c r="I1408" s="32"/>
      <c r="J1408" s="32"/>
      <c r="K1408" s="53"/>
      <c r="L1408" s="32"/>
      <c r="M1408" s="33"/>
      <c r="N1408" s="33"/>
      <c r="O1408" s="33"/>
      <c r="P1408" s="33"/>
      <c r="Q1408" s="33"/>
      <c r="R1408" s="33"/>
      <c r="S1408" s="33"/>
      <c r="T1408" s="33"/>
      <c r="U1408" s="33"/>
      <c r="V1408" s="33"/>
      <c r="W1408" s="33"/>
      <c r="X1408" s="33"/>
      <c r="Y1408" s="33"/>
      <c r="Z1408" s="33"/>
      <c r="AA1408" s="33"/>
      <c r="AB1408" s="33"/>
      <c r="AC1408" s="33"/>
    </row>
    <row r="1409" ht="15.75" customHeight="1">
      <c r="A1409" s="27"/>
      <c r="B1409" s="16" t="str">
        <f t="shared" si="6"/>
        <v/>
      </c>
      <c r="C1409" s="28"/>
      <c r="D1409" s="89"/>
      <c r="E1409" s="90"/>
      <c r="F1409" s="20"/>
      <c r="G1409" s="37"/>
      <c r="H1409" s="37"/>
      <c r="I1409" s="32"/>
      <c r="J1409" s="32"/>
      <c r="K1409" s="53"/>
      <c r="L1409" s="32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</row>
    <row r="1410" ht="15.75" customHeight="1">
      <c r="A1410" s="27"/>
      <c r="B1410" s="16" t="str">
        <f t="shared" si="6"/>
        <v/>
      </c>
      <c r="C1410" s="28"/>
      <c r="D1410" s="89"/>
      <c r="E1410" s="90"/>
      <c r="F1410" s="20"/>
      <c r="G1410" s="37"/>
      <c r="H1410" s="37"/>
      <c r="I1410" s="32"/>
      <c r="J1410" s="32"/>
      <c r="K1410" s="53"/>
      <c r="L1410" s="32"/>
      <c r="M1410" s="33"/>
      <c r="N1410" s="33"/>
      <c r="O1410" s="33"/>
      <c r="P1410" s="33"/>
      <c r="Q1410" s="33"/>
      <c r="R1410" s="33"/>
      <c r="S1410" s="33"/>
      <c r="T1410" s="33"/>
      <c r="U1410" s="33"/>
      <c r="V1410" s="33"/>
      <c r="W1410" s="33"/>
      <c r="X1410" s="33"/>
      <c r="Y1410" s="33"/>
      <c r="Z1410" s="33"/>
      <c r="AA1410" s="33"/>
      <c r="AB1410" s="33"/>
      <c r="AC1410" s="33"/>
    </row>
    <row r="1411" ht="15.75" customHeight="1">
      <c r="A1411" s="27"/>
      <c r="B1411" s="16" t="str">
        <f t="shared" si="6"/>
        <v/>
      </c>
      <c r="C1411" s="28"/>
      <c r="D1411" s="89"/>
      <c r="E1411" s="90"/>
      <c r="F1411" s="20"/>
      <c r="G1411" s="37"/>
      <c r="H1411" s="37"/>
      <c r="I1411" s="32"/>
      <c r="J1411" s="32"/>
      <c r="K1411" s="53"/>
      <c r="L1411" s="32"/>
      <c r="M1411" s="33"/>
      <c r="N1411" s="33"/>
      <c r="O1411" s="33"/>
      <c r="P1411" s="33"/>
      <c r="Q1411" s="33"/>
      <c r="R1411" s="33"/>
      <c r="S1411" s="33"/>
      <c r="T1411" s="33"/>
      <c r="U1411" s="33"/>
      <c r="V1411" s="33"/>
      <c r="W1411" s="33"/>
      <c r="X1411" s="33"/>
      <c r="Y1411" s="33"/>
      <c r="Z1411" s="33"/>
      <c r="AA1411" s="33"/>
      <c r="AB1411" s="33"/>
      <c r="AC1411" s="33"/>
    </row>
    <row r="1412" ht="15.75" customHeight="1">
      <c r="A1412" s="27"/>
      <c r="B1412" s="16" t="str">
        <f t="shared" si="6"/>
        <v/>
      </c>
      <c r="C1412" s="28"/>
      <c r="D1412" s="89"/>
      <c r="E1412" s="90"/>
      <c r="F1412" s="20"/>
      <c r="G1412" s="37"/>
      <c r="H1412" s="37"/>
      <c r="I1412" s="32"/>
      <c r="J1412" s="32"/>
      <c r="K1412" s="53"/>
      <c r="L1412" s="32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</row>
    <row r="1413" ht="15.75" customHeight="1">
      <c r="A1413" s="27"/>
      <c r="B1413" s="16" t="str">
        <f t="shared" si="6"/>
        <v/>
      </c>
      <c r="C1413" s="28"/>
      <c r="D1413" s="89"/>
      <c r="E1413" s="90"/>
      <c r="F1413" s="20"/>
      <c r="G1413" s="37"/>
      <c r="H1413" s="37"/>
      <c r="I1413" s="32"/>
      <c r="J1413" s="32"/>
      <c r="K1413" s="53"/>
      <c r="L1413" s="32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</row>
    <row r="1414" ht="15.75" customHeight="1">
      <c r="A1414" s="27"/>
      <c r="B1414" s="16" t="str">
        <f t="shared" si="6"/>
        <v/>
      </c>
      <c r="C1414" s="28"/>
      <c r="D1414" s="89"/>
      <c r="E1414" s="90"/>
      <c r="F1414" s="20"/>
      <c r="G1414" s="37"/>
      <c r="H1414" s="37"/>
      <c r="I1414" s="32"/>
      <c r="J1414" s="32"/>
      <c r="K1414" s="53"/>
      <c r="L1414" s="32"/>
      <c r="M1414" s="33"/>
      <c r="N1414" s="33"/>
      <c r="O1414" s="33"/>
      <c r="P1414" s="33"/>
      <c r="Q1414" s="33"/>
      <c r="R1414" s="33"/>
      <c r="S1414" s="33"/>
      <c r="T1414" s="33"/>
      <c r="U1414" s="33"/>
      <c r="V1414" s="33"/>
      <c r="W1414" s="33"/>
      <c r="X1414" s="33"/>
      <c r="Y1414" s="33"/>
      <c r="Z1414" s="33"/>
      <c r="AA1414" s="33"/>
      <c r="AB1414" s="33"/>
      <c r="AC1414" s="33"/>
    </row>
    <row r="1415" ht="15.75" customHeight="1">
      <c r="A1415" s="27"/>
      <c r="B1415" s="16" t="str">
        <f t="shared" si="6"/>
        <v/>
      </c>
      <c r="C1415" s="28"/>
      <c r="D1415" s="89"/>
      <c r="E1415" s="90"/>
      <c r="F1415" s="20"/>
      <c r="G1415" s="37"/>
      <c r="H1415" s="37"/>
      <c r="I1415" s="32"/>
      <c r="J1415" s="32"/>
      <c r="K1415" s="53"/>
      <c r="L1415" s="32"/>
      <c r="M1415" s="33"/>
      <c r="N1415" s="33"/>
      <c r="O1415" s="33"/>
      <c r="P1415" s="33"/>
      <c r="Q1415" s="33"/>
      <c r="R1415" s="33"/>
      <c r="S1415" s="33"/>
      <c r="T1415" s="33"/>
      <c r="U1415" s="33"/>
      <c r="V1415" s="33"/>
      <c r="W1415" s="33"/>
      <c r="X1415" s="33"/>
      <c r="Y1415" s="33"/>
      <c r="Z1415" s="33"/>
      <c r="AA1415" s="33"/>
      <c r="AB1415" s="33"/>
      <c r="AC1415" s="33"/>
    </row>
    <row r="1416" ht="15.75" customHeight="1">
      <c r="A1416" s="27"/>
      <c r="B1416" s="16" t="str">
        <f t="shared" si="6"/>
        <v/>
      </c>
      <c r="C1416" s="28"/>
      <c r="D1416" s="89"/>
      <c r="E1416" s="90"/>
      <c r="F1416" s="20"/>
      <c r="G1416" s="37"/>
      <c r="H1416" s="37"/>
      <c r="I1416" s="32"/>
      <c r="J1416" s="32"/>
      <c r="K1416" s="53"/>
      <c r="L1416" s="32"/>
      <c r="M1416" s="33"/>
      <c r="N1416" s="33"/>
      <c r="O1416" s="33"/>
      <c r="P1416" s="33"/>
      <c r="Q1416" s="33"/>
      <c r="R1416" s="33"/>
      <c r="S1416" s="33"/>
      <c r="T1416" s="33"/>
      <c r="U1416" s="33"/>
      <c r="V1416" s="33"/>
      <c r="W1416" s="33"/>
      <c r="X1416" s="33"/>
      <c r="Y1416" s="33"/>
      <c r="Z1416" s="33"/>
      <c r="AA1416" s="33"/>
      <c r="AB1416" s="33"/>
      <c r="AC1416" s="33"/>
    </row>
    <row r="1417" ht="15.75" customHeight="1">
      <c r="A1417" s="27"/>
      <c r="B1417" s="16" t="str">
        <f t="shared" si="6"/>
        <v/>
      </c>
      <c r="C1417" s="28"/>
      <c r="D1417" s="89"/>
      <c r="E1417" s="90"/>
      <c r="F1417" s="20"/>
      <c r="G1417" s="37"/>
      <c r="H1417" s="37"/>
      <c r="I1417" s="32"/>
      <c r="J1417" s="32"/>
      <c r="K1417" s="53"/>
      <c r="L1417" s="32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</row>
    <row r="1418" ht="15.75" customHeight="1">
      <c r="A1418" s="27"/>
      <c r="B1418" s="16" t="str">
        <f t="shared" si="6"/>
        <v/>
      </c>
      <c r="C1418" s="28"/>
      <c r="D1418" s="89"/>
      <c r="E1418" s="90"/>
      <c r="F1418" s="20"/>
      <c r="G1418" s="37"/>
      <c r="H1418" s="37"/>
      <c r="I1418" s="32"/>
      <c r="J1418" s="32"/>
      <c r="K1418" s="53"/>
      <c r="L1418" s="32"/>
      <c r="M1418" s="33"/>
      <c r="N1418" s="33"/>
      <c r="O1418" s="33"/>
      <c r="P1418" s="33"/>
      <c r="Q1418" s="33"/>
      <c r="R1418" s="33"/>
      <c r="S1418" s="33"/>
      <c r="T1418" s="33"/>
      <c r="U1418" s="33"/>
      <c r="V1418" s="33"/>
      <c r="W1418" s="33"/>
      <c r="X1418" s="33"/>
      <c r="Y1418" s="33"/>
      <c r="Z1418" s="33"/>
      <c r="AA1418" s="33"/>
      <c r="AB1418" s="33"/>
      <c r="AC1418" s="33"/>
    </row>
    <row r="1419" ht="15.75" customHeight="1">
      <c r="A1419" s="27"/>
      <c r="B1419" s="16" t="str">
        <f t="shared" si="6"/>
        <v/>
      </c>
      <c r="C1419" s="28"/>
      <c r="D1419" s="89"/>
      <c r="E1419" s="90"/>
      <c r="F1419" s="20"/>
      <c r="G1419" s="37"/>
      <c r="H1419" s="37"/>
      <c r="I1419" s="32"/>
      <c r="J1419" s="32"/>
      <c r="K1419" s="53"/>
      <c r="L1419" s="32"/>
      <c r="M1419" s="33"/>
      <c r="N1419" s="33"/>
      <c r="O1419" s="33"/>
      <c r="P1419" s="33"/>
      <c r="Q1419" s="33"/>
      <c r="R1419" s="33"/>
      <c r="S1419" s="33"/>
      <c r="T1419" s="33"/>
      <c r="U1419" s="33"/>
      <c r="V1419" s="33"/>
      <c r="W1419" s="33"/>
      <c r="X1419" s="33"/>
      <c r="Y1419" s="33"/>
      <c r="Z1419" s="33"/>
      <c r="AA1419" s="33"/>
      <c r="AB1419" s="33"/>
      <c r="AC1419" s="33"/>
    </row>
    <row r="1420" ht="15.75" customHeight="1">
      <c r="A1420" s="27"/>
      <c r="B1420" s="16" t="str">
        <f t="shared" si="6"/>
        <v/>
      </c>
      <c r="C1420" s="28"/>
      <c r="D1420" s="89"/>
      <c r="E1420" s="90"/>
      <c r="F1420" s="20"/>
      <c r="G1420" s="37"/>
      <c r="H1420" s="37"/>
      <c r="I1420" s="32"/>
      <c r="J1420" s="32"/>
      <c r="K1420" s="53"/>
      <c r="L1420" s="32"/>
      <c r="M1420" s="33"/>
      <c r="N1420" s="33"/>
      <c r="O1420" s="33"/>
      <c r="P1420" s="33"/>
      <c r="Q1420" s="33"/>
      <c r="R1420" s="33"/>
      <c r="S1420" s="33"/>
      <c r="T1420" s="33"/>
      <c r="U1420" s="33"/>
      <c r="V1420" s="33"/>
      <c r="W1420" s="33"/>
      <c r="X1420" s="33"/>
      <c r="Y1420" s="33"/>
      <c r="Z1420" s="33"/>
      <c r="AA1420" s="33"/>
      <c r="AB1420" s="33"/>
      <c r="AC1420" s="33"/>
    </row>
    <row r="1421" ht="15.75" customHeight="1">
      <c r="A1421" s="27"/>
      <c r="B1421" s="16" t="str">
        <f t="shared" si="6"/>
        <v/>
      </c>
      <c r="C1421" s="28"/>
      <c r="D1421" s="89"/>
      <c r="E1421" s="90"/>
      <c r="F1421" s="20"/>
      <c r="G1421" s="37"/>
      <c r="H1421" s="37"/>
      <c r="I1421" s="32"/>
      <c r="J1421" s="32"/>
      <c r="K1421" s="53"/>
      <c r="L1421" s="32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</row>
    <row r="1422" ht="15.75" customHeight="1">
      <c r="A1422" s="27"/>
      <c r="B1422" s="16" t="str">
        <f t="shared" si="6"/>
        <v/>
      </c>
      <c r="C1422" s="28"/>
      <c r="D1422" s="89"/>
      <c r="E1422" s="90"/>
      <c r="F1422" s="20"/>
      <c r="G1422" s="37"/>
      <c r="H1422" s="37"/>
      <c r="I1422" s="32"/>
      <c r="J1422" s="32"/>
      <c r="K1422" s="53"/>
      <c r="L1422" s="32"/>
      <c r="M1422" s="33"/>
      <c r="N1422" s="33"/>
      <c r="O1422" s="33"/>
      <c r="P1422" s="33"/>
      <c r="Q1422" s="33"/>
      <c r="R1422" s="33"/>
      <c r="S1422" s="33"/>
      <c r="T1422" s="33"/>
      <c r="U1422" s="33"/>
      <c r="V1422" s="33"/>
      <c r="W1422" s="33"/>
      <c r="X1422" s="33"/>
      <c r="Y1422" s="33"/>
      <c r="Z1422" s="33"/>
      <c r="AA1422" s="33"/>
      <c r="AB1422" s="33"/>
      <c r="AC1422" s="33"/>
    </row>
    <row r="1423" ht="15.75" customHeight="1">
      <c r="A1423" s="27"/>
      <c r="B1423" s="16" t="str">
        <f t="shared" si="6"/>
        <v/>
      </c>
      <c r="C1423" s="28"/>
      <c r="D1423" s="89"/>
      <c r="E1423" s="90"/>
      <c r="F1423" s="20"/>
      <c r="G1423" s="37"/>
      <c r="H1423" s="37"/>
      <c r="I1423" s="32"/>
      <c r="J1423" s="32"/>
      <c r="K1423" s="53"/>
      <c r="L1423" s="32"/>
      <c r="M1423" s="33"/>
      <c r="N1423" s="33"/>
      <c r="O1423" s="33"/>
      <c r="P1423" s="33"/>
      <c r="Q1423" s="33"/>
      <c r="R1423" s="33"/>
      <c r="S1423" s="33"/>
      <c r="T1423" s="33"/>
      <c r="U1423" s="33"/>
      <c r="V1423" s="33"/>
      <c r="W1423" s="33"/>
      <c r="X1423" s="33"/>
      <c r="Y1423" s="33"/>
      <c r="Z1423" s="33"/>
      <c r="AA1423" s="33"/>
      <c r="AB1423" s="33"/>
      <c r="AC1423" s="33"/>
    </row>
    <row r="1424" ht="15.75" customHeight="1">
      <c r="A1424" s="27"/>
      <c r="B1424" s="16" t="str">
        <f t="shared" si="6"/>
        <v/>
      </c>
      <c r="C1424" s="28"/>
      <c r="D1424" s="89"/>
      <c r="E1424" s="90"/>
      <c r="F1424" s="20"/>
      <c r="G1424" s="37"/>
      <c r="H1424" s="37"/>
      <c r="I1424" s="32"/>
      <c r="J1424" s="32"/>
      <c r="K1424" s="53"/>
      <c r="L1424" s="32"/>
      <c r="M1424" s="33"/>
      <c r="N1424" s="33"/>
      <c r="O1424" s="33"/>
      <c r="P1424" s="33"/>
      <c r="Q1424" s="33"/>
      <c r="R1424" s="33"/>
      <c r="S1424" s="33"/>
      <c r="T1424" s="33"/>
      <c r="U1424" s="33"/>
      <c r="V1424" s="33"/>
      <c r="W1424" s="33"/>
      <c r="X1424" s="33"/>
      <c r="Y1424" s="33"/>
      <c r="Z1424" s="33"/>
      <c r="AA1424" s="33"/>
      <c r="AB1424" s="33"/>
      <c r="AC1424" s="33"/>
    </row>
    <row r="1425" ht="15.75" customHeight="1">
      <c r="A1425" s="27"/>
      <c r="B1425" s="16" t="str">
        <f t="shared" si="6"/>
        <v/>
      </c>
      <c r="C1425" s="28"/>
      <c r="D1425" s="89"/>
      <c r="E1425" s="90"/>
      <c r="F1425" s="20"/>
      <c r="G1425" s="37"/>
      <c r="H1425" s="37"/>
      <c r="I1425" s="32"/>
      <c r="J1425" s="32"/>
      <c r="K1425" s="53"/>
      <c r="L1425" s="32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</row>
    <row r="1426" ht="15.75" customHeight="1">
      <c r="A1426" s="27"/>
      <c r="B1426" s="16" t="str">
        <f t="shared" si="6"/>
        <v/>
      </c>
      <c r="C1426" s="28"/>
      <c r="D1426" s="89"/>
      <c r="E1426" s="90"/>
      <c r="F1426" s="20"/>
      <c r="G1426" s="37"/>
      <c r="H1426" s="37"/>
      <c r="I1426" s="32"/>
      <c r="J1426" s="32"/>
      <c r="K1426" s="53"/>
      <c r="L1426" s="32"/>
      <c r="M1426" s="33"/>
      <c r="N1426" s="33"/>
      <c r="O1426" s="33"/>
      <c r="P1426" s="33"/>
      <c r="Q1426" s="33"/>
      <c r="R1426" s="33"/>
      <c r="S1426" s="33"/>
      <c r="T1426" s="33"/>
      <c r="U1426" s="33"/>
      <c r="V1426" s="33"/>
      <c r="W1426" s="33"/>
      <c r="X1426" s="33"/>
      <c r="Y1426" s="33"/>
      <c r="Z1426" s="33"/>
      <c r="AA1426" s="33"/>
      <c r="AB1426" s="33"/>
      <c r="AC1426" s="33"/>
    </row>
    <row r="1427" ht="15.75" customHeight="1">
      <c r="A1427" s="27"/>
      <c r="B1427" s="16" t="str">
        <f t="shared" si="6"/>
        <v/>
      </c>
      <c r="C1427" s="28"/>
      <c r="D1427" s="89"/>
      <c r="E1427" s="90"/>
      <c r="F1427" s="20"/>
      <c r="G1427" s="37"/>
      <c r="H1427" s="37"/>
      <c r="I1427" s="32"/>
      <c r="J1427" s="32"/>
      <c r="K1427" s="53"/>
      <c r="L1427" s="32"/>
      <c r="M1427" s="33"/>
      <c r="N1427" s="33"/>
      <c r="O1427" s="33"/>
      <c r="P1427" s="33"/>
      <c r="Q1427" s="33"/>
      <c r="R1427" s="33"/>
      <c r="S1427" s="33"/>
      <c r="T1427" s="33"/>
      <c r="U1427" s="33"/>
      <c r="V1427" s="33"/>
      <c r="W1427" s="33"/>
      <c r="X1427" s="33"/>
      <c r="Y1427" s="33"/>
      <c r="Z1427" s="33"/>
      <c r="AA1427" s="33"/>
      <c r="AB1427" s="33"/>
      <c r="AC1427" s="33"/>
    </row>
    <row r="1428" ht="15.75" customHeight="1">
      <c r="A1428" s="27"/>
      <c r="B1428" s="16" t="str">
        <f t="shared" si="6"/>
        <v/>
      </c>
      <c r="C1428" s="28"/>
      <c r="D1428" s="89"/>
      <c r="E1428" s="90"/>
      <c r="F1428" s="20"/>
      <c r="G1428" s="37"/>
      <c r="H1428" s="37"/>
      <c r="I1428" s="32"/>
      <c r="J1428" s="32"/>
      <c r="K1428" s="53"/>
      <c r="L1428" s="32"/>
      <c r="M1428" s="33"/>
      <c r="N1428" s="33"/>
      <c r="O1428" s="33"/>
      <c r="P1428" s="33"/>
      <c r="Q1428" s="33"/>
      <c r="R1428" s="33"/>
      <c r="S1428" s="33"/>
      <c r="T1428" s="33"/>
      <c r="U1428" s="33"/>
      <c r="V1428" s="33"/>
      <c r="W1428" s="33"/>
      <c r="X1428" s="33"/>
      <c r="Y1428" s="33"/>
      <c r="Z1428" s="33"/>
      <c r="AA1428" s="33"/>
      <c r="AB1428" s="33"/>
      <c r="AC1428" s="33"/>
    </row>
    <row r="1429" ht="15.75" customHeight="1">
      <c r="A1429" s="27"/>
      <c r="B1429" s="16" t="str">
        <f t="shared" si="6"/>
        <v/>
      </c>
      <c r="C1429" s="28"/>
      <c r="D1429" s="89"/>
      <c r="E1429" s="90"/>
      <c r="F1429" s="20"/>
      <c r="G1429" s="37"/>
      <c r="H1429" s="37"/>
      <c r="I1429" s="32"/>
      <c r="J1429" s="32"/>
      <c r="K1429" s="53"/>
      <c r="L1429" s="32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</row>
    <row r="1430" ht="15.75" customHeight="1">
      <c r="A1430" s="27"/>
      <c r="B1430" s="16" t="str">
        <f t="shared" si="6"/>
        <v/>
      </c>
      <c r="C1430" s="28"/>
      <c r="D1430" s="89"/>
      <c r="E1430" s="90"/>
      <c r="F1430" s="20"/>
      <c r="G1430" s="37"/>
      <c r="H1430" s="37"/>
      <c r="I1430" s="32"/>
      <c r="J1430" s="32"/>
      <c r="K1430" s="53"/>
      <c r="L1430" s="32"/>
      <c r="M1430" s="33"/>
      <c r="N1430" s="33"/>
      <c r="O1430" s="33"/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/>
      <c r="AB1430" s="33"/>
      <c r="AC1430" s="33"/>
    </row>
    <row r="1431" ht="15.75" customHeight="1">
      <c r="A1431" s="27"/>
      <c r="B1431" s="16" t="str">
        <f t="shared" si="6"/>
        <v/>
      </c>
      <c r="C1431" s="28"/>
      <c r="D1431" s="89"/>
      <c r="E1431" s="90"/>
      <c r="F1431" s="20"/>
      <c r="G1431" s="37"/>
      <c r="H1431" s="37"/>
      <c r="I1431" s="32"/>
      <c r="J1431" s="32"/>
      <c r="K1431" s="53"/>
      <c r="L1431" s="32"/>
      <c r="M1431" s="33"/>
      <c r="N1431" s="33"/>
      <c r="O1431" s="33"/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/>
      <c r="AB1431" s="33"/>
      <c r="AC1431" s="33"/>
    </row>
    <row r="1432" ht="15.75" customHeight="1">
      <c r="A1432" s="27"/>
      <c r="B1432" s="16" t="str">
        <f t="shared" si="6"/>
        <v/>
      </c>
      <c r="C1432" s="28"/>
      <c r="D1432" s="89"/>
      <c r="E1432" s="90"/>
      <c r="F1432" s="20"/>
      <c r="G1432" s="37"/>
      <c r="H1432" s="37"/>
      <c r="I1432" s="32"/>
      <c r="J1432" s="32"/>
      <c r="K1432" s="53"/>
      <c r="L1432" s="32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33"/>
      <c r="Y1432" s="33"/>
      <c r="Z1432" s="33"/>
      <c r="AA1432" s="33"/>
      <c r="AB1432" s="33"/>
      <c r="AC1432" s="33"/>
    </row>
    <row r="1433" ht="15.75" customHeight="1">
      <c r="A1433" s="27"/>
      <c r="B1433" s="16" t="str">
        <f t="shared" si="6"/>
        <v/>
      </c>
      <c r="C1433" s="28"/>
      <c r="D1433" s="89"/>
      <c r="E1433" s="90"/>
      <c r="F1433" s="20"/>
      <c r="G1433" s="37"/>
      <c r="H1433" s="37"/>
      <c r="I1433" s="32"/>
      <c r="J1433" s="32"/>
      <c r="K1433" s="53"/>
      <c r="L1433" s="32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</row>
    <row r="1434" ht="15.75" customHeight="1">
      <c r="A1434" s="27"/>
      <c r="B1434" s="16" t="str">
        <f t="shared" si="6"/>
        <v/>
      </c>
      <c r="C1434" s="28"/>
      <c r="D1434" s="89"/>
      <c r="E1434" s="90"/>
      <c r="F1434" s="20"/>
      <c r="G1434" s="37"/>
      <c r="H1434" s="37"/>
      <c r="I1434" s="32"/>
      <c r="J1434" s="32"/>
      <c r="K1434" s="53"/>
      <c r="L1434" s="32"/>
      <c r="M1434" s="33"/>
      <c r="N1434" s="33"/>
      <c r="O1434" s="33"/>
      <c r="P1434" s="33"/>
      <c r="Q1434" s="33"/>
      <c r="R1434" s="33"/>
      <c r="S1434" s="33"/>
      <c r="T1434" s="33"/>
      <c r="U1434" s="33"/>
      <c r="V1434" s="33"/>
      <c r="W1434" s="33"/>
      <c r="X1434" s="33"/>
      <c r="Y1434" s="33"/>
      <c r="Z1434" s="33"/>
      <c r="AA1434" s="33"/>
      <c r="AB1434" s="33"/>
      <c r="AC1434" s="33"/>
    </row>
    <row r="1435" ht="15.75" customHeight="1">
      <c r="A1435" s="27"/>
      <c r="B1435" s="16" t="str">
        <f t="shared" si="6"/>
        <v/>
      </c>
      <c r="C1435" s="28"/>
      <c r="D1435" s="89"/>
      <c r="E1435" s="90"/>
      <c r="F1435" s="20"/>
      <c r="G1435" s="37"/>
      <c r="H1435" s="37"/>
      <c r="I1435" s="32"/>
      <c r="J1435" s="32"/>
      <c r="K1435" s="53"/>
      <c r="L1435" s="32"/>
      <c r="M1435" s="33"/>
      <c r="N1435" s="33"/>
      <c r="O1435" s="33"/>
      <c r="P1435" s="33"/>
      <c r="Q1435" s="33"/>
      <c r="R1435" s="33"/>
      <c r="S1435" s="33"/>
      <c r="T1435" s="33"/>
      <c r="U1435" s="33"/>
      <c r="V1435" s="33"/>
      <c r="W1435" s="33"/>
      <c r="X1435" s="33"/>
      <c r="Y1435" s="33"/>
      <c r="Z1435" s="33"/>
      <c r="AA1435" s="33"/>
      <c r="AB1435" s="33"/>
      <c r="AC1435" s="33"/>
    </row>
    <row r="1436" ht="15.75" customHeight="1">
      <c r="A1436" s="27"/>
      <c r="B1436" s="16" t="str">
        <f t="shared" si="6"/>
        <v/>
      </c>
      <c r="C1436" s="28"/>
      <c r="D1436" s="89"/>
      <c r="E1436" s="90"/>
      <c r="F1436" s="20"/>
      <c r="G1436" s="37"/>
      <c r="H1436" s="37"/>
      <c r="I1436" s="32"/>
      <c r="J1436" s="32"/>
      <c r="K1436" s="53"/>
      <c r="L1436" s="32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33"/>
      <c r="X1436" s="33"/>
      <c r="Y1436" s="33"/>
      <c r="Z1436" s="33"/>
      <c r="AA1436" s="33"/>
      <c r="AB1436" s="33"/>
      <c r="AC1436" s="33"/>
    </row>
    <row r="1437" ht="15.75" customHeight="1">
      <c r="A1437" s="27"/>
      <c r="B1437" s="16" t="str">
        <f t="shared" si="6"/>
        <v/>
      </c>
      <c r="C1437" s="28"/>
      <c r="D1437" s="89"/>
      <c r="E1437" s="90"/>
      <c r="F1437" s="20"/>
      <c r="G1437" s="37"/>
      <c r="H1437" s="37"/>
      <c r="I1437" s="32"/>
      <c r="J1437" s="32"/>
      <c r="K1437" s="53"/>
      <c r="L1437" s="32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</row>
    <row r="1438" ht="15.75" customHeight="1">
      <c r="A1438" s="27"/>
      <c r="B1438" s="16" t="str">
        <f t="shared" si="6"/>
        <v/>
      </c>
      <c r="C1438" s="28"/>
      <c r="D1438" s="89"/>
      <c r="E1438" s="90"/>
      <c r="F1438" s="20"/>
      <c r="G1438" s="37"/>
      <c r="H1438" s="37"/>
      <c r="I1438" s="32"/>
      <c r="J1438" s="32"/>
      <c r="K1438" s="53"/>
      <c r="L1438" s="32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</row>
    <row r="1439" ht="15.75" customHeight="1">
      <c r="A1439" s="27"/>
      <c r="B1439" s="16" t="str">
        <f t="shared" si="6"/>
        <v/>
      </c>
      <c r="C1439" s="28"/>
      <c r="D1439" s="89"/>
      <c r="E1439" s="90"/>
      <c r="F1439" s="20"/>
      <c r="G1439" s="37"/>
      <c r="H1439" s="37"/>
      <c r="I1439" s="32"/>
      <c r="J1439" s="32"/>
      <c r="K1439" s="53"/>
      <c r="L1439" s="32"/>
      <c r="M1439" s="33"/>
      <c r="N1439" s="33"/>
      <c r="O1439" s="33"/>
      <c r="P1439" s="33"/>
      <c r="Q1439" s="33"/>
      <c r="R1439" s="33"/>
      <c r="S1439" s="33"/>
      <c r="T1439" s="33"/>
      <c r="U1439" s="33"/>
      <c r="V1439" s="33"/>
      <c r="W1439" s="33"/>
      <c r="X1439" s="33"/>
      <c r="Y1439" s="33"/>
      <c r="Z1439" s="33"/>
      <c r="AA1439" s="33"/>
      <c r="AB1439" s="33"/>
      <c r="AC1439" s="33"/>
    </row>
    <row r="1440" ht="15.75" customHeight="1">
      <c r="A1440" s="27"/>
      <c r="B1440" s="16" t="str">
        <f t="shared" si="6"/>
        <v/>
      </c>
      <c r="C1440" s="28"/>
      <c r="D1440" s="89"/>
      <c r="E1440" s="90"/>
      <c r="F1440" s="20"/>
      <c r="G1440" s="37"/>
      <c r="H1440" s="37"/>
      <c r="I1440" s="32"/>
      <c r="J1440" s="32"/>
      <c r="K1440" s="53"/>
      <c r="L1440" s="32"/>
      <c r="M1440" s="33"/>
      <c r="N1440" s="33"/>
      <c r="O1440" s="33"/>
      <c r="P1440" s="33"/>
      <c r="Q1440" s="33"/>
      <c r="R1440" s="33"/>
      <c r="S1440" s="33"/>
      <c r="T1440" s="33"/>
      <c r="U1440" s="33"/>
      <c r="V1440" s="33"/>
      <c r="W1440" s="33"/>
      <c r="X1440" s="33"/>
      <c r="Y1440" s="33"/>
      <c r="Z1440" s="33"/>
      <c r="AA1440" s="33"/>
      <c r="AB1440" s="33"/>
      <c r="AC1440" s="33"/>
    </row>
    <row r="1441" ht="15.75" customHeight="1">
      <c r="A1441" s="27"/>
      <c r="B1441" s="16" t="str">
        <f t="shared" si="6"/>
        <v/>
      </c>
      <c r="C1441" s="28"/>
      <c r="D1441" s="89"/>
      <c r="E1441" s="90"/>
      <c r="F1441" s="20"/>
      <c r="G1441" s="37"/>
      <c r="H1441" s="37"/>
      <c r="I1441" s="32"/>
      <c r="J1441" s="32"/>
      <c r="K1441" s="53"/>
      <c r="L1441" s="32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</row>
    <row r="1442" ht="15.75" customHeight="1">
      <c r="A1442" s="27"/>
      <c r="B1442" s="16" t="str">
        <f t="shared" si="6"/>
        <v/>
      </c>
      <c r="C1442" s="28"/>
      <c r="D1442" s="89"/>
      <c r="E1442" s="90"/>
      <c r="F1442" s="20"/>
      <c r="G1442" s="37"/>
      <c r="H1442" s="37"/>
      <c r="I1442" s="32"/>
      <c r="J1442" s="32"/>
      <c r="K1442" s="53"/>
      <c r="L1442" s="32"/>
      <c r="M1442" s="33"/>
      <c r="N1442" s="33"/>
      <c r="O1442" s="33"/>
      <c r="P1442" s="33"/>
      <c r="Q1442" s="33"/>
      <c r="R1442" s="33"/>
      <c r="S1442" s="33"/>
      <c r="T1442" s="33"/>
      <c r="U1442" s="33"/>
      <c r="V1442" s="33"/>
      <c r="W1442" s="33"/>
      <c r="X1442" s="33"/>
      <c r="Y1442" s="33"/>
      <c r="Z1442" s="33"/>
      <c r="AA1442" s="33"/>
      <c r="AB1442" s="33"/>
      <c r="AC1442" s="33"/>
    </row>
    <row r="1443" ht="15.75" customHeight="1">
      <c r="A1443" s="27"/>
      <c r="B1443" s="16" t="str">
        <f t="shared" si="6"/>
        <v/>
      </c>
      <c r="C1443" s="28"/>
      <c r="D1443" s="89"/>
      <c r="E1443" s="90"/>
      <c r="F1443" s="20"/>
      <c r="G1443" s="37"/>
      <c r="H1443" s="37"/>
      <c r="I1443" s="32"/>
      <c r="J1443" s="32"/>
      <c r="K1443" s="53"/>
      <c r="L1443" s="32"/>
      <c r="M1443" s="33"/>
      <c r="N1443" s="33"/>
      <c r="O1443" s="33"/>
      <c r="P1443" s="33"/>
      <c r="Q1443" s="33"/>
      <c r="R1443" s="33"/>
      <c r="S1443" s="33"/>
      <c r="T1443" s="33"/>
      <c r="U1443" s="33"/>
      <c r="V1443" s="33"/>
      <c r="W1443" s="33"/>
      <c r="X1443" s="33"/>
      <c r="Y1443" s="33"/>
      <c r="Z1443" s="33"/>
      <c r="AA1443" s="33"/>
      <c r="AB1443" s="33"/>
      <c r="AC1443" s="33"/>
    </row>
    <row r="1444" ht="15.75" customHeight="1">
      <c r="A1444" s="27"/>
      <c r="B1444" s="16" t="str">
        <f t="shared" si="6"/>
        <v/>
      </c>
      <c r="C1444" s="28"/>
      <c r="D1444" s="89"/>
      <c r="E1444" s="90"/>
      <c r="F1444" s="20"/>
      <c r="G1444" s="37"/>
      <c r="H1444" s="37"/>
      <c r="I1444" s="32"/>
      <c r="J1444" s="32"/>
      <c r="K1444" s="53"/>
      <c r="L1444" s="32"/>
      <c r="M1444" s="33"/>
      <c r="N1444" s="33"/>
      <c r="O1444" s="33"/>
      <c r="P1444" s="33"/>
      <c r="Q1444" s="33"/>
      <c r="R1444" s="33"/>
      <c r="S1444" s="33"/>
      <c r="T1444" s="33"/>
      <c r="U1444" s="33"/>
      <c r="V1444" s="33"/>
      <c r="W1444" s="33"/>
      <c r="X1444" s="33"/>
      <c r="Y1444" s="33"/>
      <c r="Z1444" s="33"/>
      <c r="AA1444" s="33"/>
      <c r="AB1444" s="33"/>
      <c r="AC1444" s="33"/>
    </row>
    <row r="1445" ht="15.75" customHeight="1">
      <c r="A1445" s="27"/>
      <c r="B1445" s="16" t="str">
        <f t="shared" si="6"/>
        <v/>
      </c>
      <c r="C1445" s="28"/>
      <c r="D1445" s="89"/>
      <c r="E1445" s="90"/>
      <c r="F1445" s="20"/>
      <c r="G1445" s="37"/>
      <c r="H1445" s="37"/>
      <c r="I1445" s="32"/>
      <c r="J1445" s="32"/>
      <c r="K1445" s="53"/>
      <c r="L1445" s="32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</row>
    <row r="1446" ht="15.75" customHeight="1">
      <c r="A1446" s="27"/>
      <c r="B1446" s="16" t="str">
        <f t="shared" si="6"/>
        <v/>
      </c>
      <c r="C1446" s="28"/>
      <c r="D1446" s="89"/>
      <c r="E1446" s="90"/>
      <c r="F1446" s="20"/>
      <c r="G1446" s="37"/>
      <c r="H1446" s="37"/>
      <c r="I1446" s="32"/>
      <c r="J1446" s="32"/>
      <c r="K1446" s="53"/>
      <c r="L1446" s="32"/>
      <c r="M1446" s="33"/>
      <c r="N1446" s="33"/>
      <c r="O1446" s="33"/>
      <c r="P1446" s="33"/>
      <c r="Q1446" s="33"/>
      <c r="R1446" s="33"/>
      <c r="S1446" s="33"/>
      <c r="T1446" s="33"/>
      <c r="U1446" s="33"/>
      <c r="V1446" s="33"/>
      <c r="W1446" s="33"/>
      <c r="X1446" s="33"/>
      <c r="Y1446" s="33"/>
      <c r="Z1446" s="33"/>
      <c r="AA1446" s="33"/>
      <c r="AB1446" s="33"/>
      <c r="AC1446" s="33"/>
    </row>
    <row r="1447" ht="15.75" customHeight="1">
      <c r="A1447" s="27"/>
      <c r="B1447" s="16" t="str">
        <f t="shared" si="6"/>
        <v/>
      </c>
      <c r="C1447" s="28"/>
      <c r="D1447" s="89"/>
      <c r="E1447" s="90"/>
      <c r="F1447" s="20"/>
      <c r="G1447" s="37"/>
      <c r="H1447" s="37"/>
      <c r="I1447" s="32"/>
      <c r="J1447" s="32"/>
      <c r="K1447" s="53"/>
      <c r="L1447" s="32"/>
      <c r="M1447" s="33"/>
      <c r="N1447" s="33"/>
      <c r="O1447" s="33"/>
      <c r="P1447" s="33"/>
      <c r="Q1447" s="33"/>
      <c r="R1447" s="33"/>
      <c r="S1447" s="33"/>
      <c r="T1447" s="33"/>
      <c r="U1447" s="33"/>
      <c r="V1447" s="33"/>
      <c r="W1447" s="33"/>
      <c r="X1447" s="33"/>
      <c r="Y1447" s="33"/>
      <c r="Z1447" s="33"/>
      <c r="AA1447" s="33"/>
      <c r="AB1447" s="33"/>
      <c r="AC1447" s="33"/>
    </row>
    <row r="1448" ht="15.75" customHeight="1">
      <c r="A1448" s="27"/>
      <c r="B1448" s="16" t="str">
        <f t="shared" si="6"/>
        <v/>
      </c>
      <c r="C1448" s="28"/>
      <c r="D1448" s="89"/>
      <c r="E1448" s="90"/>
      <c r="F1448" s="20"/>
      <c r="G1448" s="37"/>
      <c r="H1448" s="37"/>
      <c r="I1448" s="32"/>
      <c r="J1448" s="32"/>
      <c r="K1448" s="53"/>
      <c r="L1448" s="32"/>
      <c r="M1448" s="33"/>
      <c r="N1448" s="33"/>
      <c r="O1448" s="33"/>
      <c r="P1448" s="33"/>
      <c r="Q1448" s="33"/>
      <c r="R1448" s="33"/>
      <c r="S1448" s="33"/>
      <c r="T1448" s="33"/>
      <c r="U1448" s="33"/>
      <c r="V1448" s="33"/>
      <c r="W1448" s="33"/>
      <c r="X1448" s="33"/>
      <c r="Y1448" s="33"/>
      <c r="Z1448" s="33"/>
      <c r="AA1448" s="33"/>
      <c r="AB1448" s="33"/>
      <c r="AC1448" s="33"/>
    </row>
    <row r="1449" ht="15.75" customHeight="1">
      <c r="A1449" s="27"/>
      <c r="B1449" s="16" t="str">
        <f t="shared" si="6"/>
        <v/>
      </c>
      <c r="C1449" s="28"/>
      <c r="D1449" s="89"/>
      <c r="E1449" s="90"/>
      <c r="F1449" s="20"/>
      <c r="G1449" s="37"/>
      <c r="H1449" s="37"/>
      <c r="I1449" s="32"/>
      <c r="J1449" s="32"/>
      <c r="K1449" s="53"/>
      <c r="L1449" s="32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</row>
    <row r="1450" ht="15.75" customHeight="1">
      <c r="A1450" s="27"/>
      <c r="B1450" s="16" t="str">
        <f t="shared" si="6"/>
        <v/>
      </c>
      <c r="C1450" s="28"/>
      <c r="D1450" s="89"/>
      <c r="E1450" s="90"/>
      <c r="F1450" s="20"/>
      <c r="G1450" s="37"/>
      <c r="H1450" s="37"/>
      <c r="I1450" s="32"/>
      <c r="J1450" s="32"/>
      <c r="K1450" s="53"/>
      <c r="L1450" s="32"/>
      <c r="M1450" s="33"/>
      <c r="N1450" s="33"/>
      <c r="O1450" s="33"/>
      <c r="P1450" s="33"/>
      <c r="Q1450" s="33"/>
      <c r="R1450" s="33"/>
      <c r="S1450" s="33"/>
      <c r="T1450" s="33"/>
      <c r="U1450" s="33"/>
      <c r="V1450" s="33"/>
      <c r="W1450" s="33"/>
      <c r="X1450" s="33"/>
      <c r="Y1450" s="33"/>
      <c r="Z1450" s="33"/>
      <c r="AA1450" s="33"/>
      <c r="AB1450" s="33"/>
      <c r="AC1450" s="33"/>
    </row>
    <row r="1451" ht="15.75" customHeight="1">
      <c r="A1451" s="27"/>
      <c r="B1451" s="16" t="str">
        <f t="shared" si="6"/>
        <v/>
      </c>
      <c r="C1451" s="28"/>
      <c r="D1451" s="89"/>
      <c r="E1451" s="90"/>
      <c r="F1451" s="20"/>
      <c r="G1451" s="37"/>
      <c r="H1451" s="37"/>
      <c r="I1451" s="32"/>
      <c r="J1451" s="32"/>
      <c r="K1451" s="53"/>
      <c r="L1451" s="32"/>
      <c r="M1451" s="33"/>
      <c r="N1451" s="33"/>
      <c r="O1451" s="33"/>
      <c r="P1451" s="33"/>
      <c r="Q1451" s="33"/>
      <c r="R1451" s="33"/>
      <c r="S1451" s="33"/>
      <c r="T1451" s="33"/>
      <c r="U1451" s="33"/>
      <c r="V1451" s="33"/>
      <c r="W1451" s="33"/>
      <c r="X1451" s="33"/>
      <c r="Y1451" s="33"/>
      <c r="Z1451" s="33"/>
      <c r="AA1451" s="33"/>
      <c r="AB1451" s="33"/>
      <c r="AC1451" s="33"/>
    </row>
    <row r="1452" ht="15.75" customHeight="1">
      <c r="A1452" s="27"/>
      <c r="B1452" s="16" t="str">
        <f t="shared" si="6"/>
        <v/>
      </c>
      <c r="C1452" s="28"/>
      <c r="D1452" s="89"/>
      <c r="E1452" s="90"/>
      <c r="F1452" s="20"/>
      <c r="G1452" s="37"/>
      <c r="H1452" s="37"/>
      <c r="I1452" s="32"/>
      <c r="J1452" s="32"/>
      <c r="K1452" s="53"/>
      <c r="L1452" s="32"/>
      <c r="M1452" s="33"/>
      <c r="N1452" s="33"/>
      <c r="O1452" s="33"/>
      <c r="P1452" s="33"/>
      <c r="Q1452" s="33"/>
      <c r="R1452" s="33"/>
      <c r="S1452" s="33"/>
      <c r="T1452" s="33"/>
      <c r="U1452" s="33"/>
      <c r="V1452" s="33"/>
      <c r="W1452" s="33"/>
      <c r="X1452" s="33"/>
      <c r="Y1452" s="33"/>
      <c r="Z1452" s="33"/>
      <c r="AA1452" s="33"/>
      <c r="AB1452" s="33"/>
      <c r="AC1452" s="33"/>
    </row>
    <row r="1453" ht="15.75" customHeight="1">
      <c r="A1453" s="27"/>
      <c r="B1453" s="16" t="str">
        <f t="shared" si="6"/>
        <v/>
      </c>
      <c r="C1453" s="28"/>
      <c r="D1453" s="89"/>
      <c r="E1453" s="90"/>
      <c r="F1453" s="20"/>
      <c r="G1453" s="37"/>
      <c r="H1453" s="37"/>
      <c r="I1453" s="32"/>
      <c r="J1453" s="32"/>
      <c r="K1453" s="53"/>
      <c r="L1453" s="32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</row>
    <row r="1454" ht="15.75" customHeight="1">
      <c r="A1454" s="27"/>
      <c r="B1454" s="16" t="str">
        <f t="shared" si="6"/>
        <v/>
      </c>
      <c r="C1454" s="28"/>
      <c r="D1454" s="89"/>
      <c r="E1454" s="90"/>
      <c r="F1454" s="20"/>
      <c r="G1454" s="37"/>
      <c r="H1454" s="37"/>
      <c r="I1454" s="32"/>
      <c r="J1454" s="32"/>
      <c r="K1454" s="53"/>
      <c r="L1454" s="32"/>
      <c r="M1454" s="33"/>
      <c r="N1454" s="33"/>
      <c r="O1454" s="33"/>
      <c r="P1454" s="33"/>
      <c r="Q1454" s="33"/>
      <c r="R1454" s="33"/>
      <c r="S1454" s="33"/>
      <c r="T1454" s="33"/>
      <c r="U1454" s="33"/>
      <c r="V1454" s="33"/>
      <c r="W1454" s="33"/>
      <c r="X1454" s="33"/>
      <c r="Y1454" s="33"/>
      <c r="Z1454" s="33"/>
      <c r="AA1454" s="33"/>
      <c r="AB1454" s="33"/>
      <c r="AC1454" s="33"/>
    </row>
    <row r="1455" ht="15.75" customHeight="1">
      <c r="A1455" s="27"/>
      <c r="B1455" s="16" t="str">
        <f t="shared" si="6"/>
        <v/>
      </c>
      <c r="C1455" s="28"/>
      <c r="D1455" s="89"/>
      <c r="E1455" s="90"/>
      <c r="F1455" s="20"/>
      <c r="G1455" s="37"/>
      <c r="H1455" s="37"/>
      <c r="I1455" s="32"/>
      <c r="J1455" s="32"/>
      <c r="K1455" s="53"/>
      <c r="L1455" s="32"/>
      <c r="M1455" s="33"/>
      <c r="N1455" s="33"/>
      <c r="O1455" s="33"/>
      <c r="P1455" s="33"/>
      <c r="Q1455" s="33"/>
      <c r="R1455" s="33"/>
      <c r="S1455" s="33"/>
      <c r="T1455" s="33"/>
      <c r="U1455" s="33"/>
      <c r="V1455" s="33"/>
      <c r="W1455" s="33"/>
      <c r="X1455" s="33"/>
      <c r="Y1455" s="33"/>
      <c r="Z1455" s="33"/>
      <c r="AA1455" s="33"/>
      <c r="AB1455" s="33"/>
      <c r="AC1455" s="33"/>
    </row>
    <row r="1456" ht="15.75" customHeight="1">
      <c r="A1456" s="27"/>
      <c r="B1456" s="16" t="str">
        <f t="shared" si="6"/>
        <v/>
      </c>
      <c r="C1456" s="28"/>
      <c r="D1456" s="89"/>
      <c r="E1456" s="90"/>
      <c r="F1456" s="20"/>
      <c r="G1456" s="37"/>
      <c r="H1456" s="37"/>
      <c r="I1456" s="32"/>
      <c r="J1456" s="32"/>
      <c r="K1456" s="53"/>
      <c r="L1456" s="32"/>
      <c r="M1456" s="33"/>
      <c r="N1456" s="33"/>
      <c r="O1456" s="33"/>
      <c r="P1456" s="33"/>
      <c r="Q1456" s="33"/>
      <c r="R1456" s="33"/>
      <c r="S1456" s="33"/>
      <c r="T1456" s="33"/>
      <c r="U1456" s="33"/>
      <c r="V1456" s="33"/>
      <c r="W1456" s="33"/>
      <c r="X1456" s="33"/>
      <c r="Y1456" s="33"/>
      <c r="Z1456" s="33"/>
      <c r="AA1456" s="33"/>
      <c r="AB1456" s="33"/>
      <c r="AC1456" s="33"/>
    </row>
    <row r="1457" ht="15.75" customHeight="1">
      <c r="A1457" s="27"/>
      <c r="B1457" s="16" t="str">
        <f t="shared" si="6"/>
        <v/>
      </c>
      <c r="C1457" s="28"/>
      <c r="D1457" s="89"/>
      <c r="E1457" s="90"/>
      <c r="F1457" s="20"/>
      <c r="G1457" s="37"/>
      <c r="H1457" s="37"/>
      <c r="I1457" s="32"/>
      <c r="J1457" s="32"/>
      <c r="K1457" s="53"/>
      <c r="L1457" s="32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</row>
    <row r="1458" ht="15.75" customHeight="1">
      <c r="A1458" s="27"/>
      <c r="B1458" s="16" t="str">
        <f t="shared" si="6"/>
        <v/>
      </c>
      <c r="C1458" s="28"/>
      <c r="D1458" s="89"/>
      <c r="E1458" s="90"/>
      <c r="F1458" s="20"/>
      <c r="G1458" s="37"/>
      <c r="H1458" s="37"/>
      <c r="I1458" s="32"/>
      <c r="J1458" s="32"/>
      <c r="K1458" s="53"/>
      <c r="L1458" s="32"/>
      <c r="M1458" s="33"/>
      <c r="N1458" s="33"/>
      <c r="O1458" s="33"/>
      <c r="P1458" s="33"/>
      <c r="Q1458" s="33"/>
      <c r="R1458" s="33"/>
      <c r="S1458" s="33"/>
      <c r="T1458" s="33"/>
      <c r="U1458" s="33"/>
      <c r="V1458" s="33"/>
      <c r="W1458" s="33"/>
      <c r="X1458" s="33"/>
      <c r="Y1458" s="33"/>
      <c r="Z1458" s="33"/>
      <c r="AA1458" s="33"/>
      <c r="AB1458" s="33"/>
      <c r="AC1458" s="33"/>
    </row>
    <row r="1459" ht="15.75" customHeight="1">
      <c r="A1459" s="27"/>
      <c r="B1459" s="16" t="str">
        <f t="shared" si="6"/>
        <v/>
      </c>
      <c r="C1459" s="28"/>
      <c r="D1459" s="89"/>
      <c r="E1459" s="90"/>
      <c r="F1459" s="20"/>
      <c r="G1459" s="37"/>
      <c r="H1459" s="37"/>
      <c r="I1459" s="32"/>
      <c r="J1459" s="32"/>
      <c r="K1459" s="53"/>
      <c r="L1459" s="32"/>
      <c r="M1459" s="33"/>
      <c r="N1459" s="33"/>
      <c r="O1459" s="33"/>
      <c r="P1459" s="33"/>
      <c r="Q1459" s="33"/>
      <c r="R1459" s="33"/>
      <c r="S1459" s="33"/>
      <c r="T1459" s="33"/>
      <c r="U1459" s="33"/>
      <c r="V1459" s="33"/>
      <c r="W1459" s="33"/>
      <c r="X1459" s="33"/>
      <c r="Y1459" s="33"/>
      <c r="Z1459" s="33"/>
      <c r="AA1459" s="33"/>
      <c r="AB1459" s="33"/>
      <c r="AC1459" s="33"/>
    </row>
    <row r="1460" ht="15.75" customHeight="1">
      <c r="A1460" s="27"/>
      <c r="B1460" s="16" t="str">
        <f t="shared" si="6"/>
        <v/>
      </c>
      <c r="C1460" s="28"/>
      <c r="D1460" s="89"/>
      <c r="E1460" s="90"/>
      <c r="F1460" s="20"/>
      <c r="G1460" s="37"/>
      <c r="H1460" s="37"/>
      <c r="I1460" s="32"/>
      <c r="J1460" s="32"/>
      <c r="K1460" s="53"/>
      <c r="L1460" s="32"/>
      <c r="M1460" s="33"/>
      <c r="N1460" s="33"/>
      <c r="O1460" s="33"/>
      <c r="P1460" s="33"/>
      <c r="Q1460" s="33"/>
      <c r="R1460" s="33"/>
      <c r="S1460" s="33"/>
      <c r="T1460" s="33"/>
      <c r="U1460" s="33"/>
      <c r="V1460" s="33"/>
      <c r="W1460" s="33"/>
      <c r="X1460" s="33"/>
      <c r="Y1460" s="33"/>
      <c r="Z1460" s="33"/>
      <c r="AA1460" s="33"/>
      <c r="AB1460" s="33"/>
      <c r="AC1460" s="33"/>
    </row>
    <row r="1461" ht="15.75" customHeight="1">
      <c r="A1461" s="27"/>
      <c r="B1461" s="16" t="str">
        <f t="shared" si="6"/>
        <v/>
      </c>
      <c r="C1461" s="28"/>
      <c r="D1461" s="89"/>
      <c r="E1461" s="90"/>
      <c r="F1461" s="20"/>
      <c r="G1461" s="37"/>
      <c r="H1461" s="37"/>
      <c r="I1461" s="32"/>
      <c r="J1461" s="32"/>
      <c r="K1461" s="53"/>
      <c r="L1461" s="32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</row>
    <row r="1462" ht="15.75" customHeight="1">
      <c r="A1462" s="27"/>
      <c r="B1462" s="16" t="str">
        <f t="shared" si="6"/>
        <v/>
      </c>
      <c r="C1462" s="28"/>
      <c r="D1462" s="89"/>
      <c r="E1462" s="90"/>
      <c r="F1462" s="20"/>
      <c r="G1462" s="37"/>
      <c r="H1462" s="37"/>
      <c r="I1462" s="32"/>
      <c r="J1462" s="32"/>
      <c r="K1462" s="53"/>
      <c r="L1462" s="32"/>
      <c r="M1462" s="33"/>
      <c r="N1462" s="33"/>
      <c r="O1462" s="33"/>
      <c r="P1462" s="33"/>
      <c r="Q1462" s="33"/>
      <c r="R1462" s="33"/>
      <c r="S1462" s="33"/>
      <c r="T1462" s="33"/>
      <c r="U1462" s="33"/>
      <c r="V1462" s="33"/>
      <c r="W1462" s="33"/>
      <c r="X1462" s="33"/>
      <c r="Y1462" s="33"/>
      <c r="Z1462" s="33"/>
      <c r="AA1462" s="33"/>
      <c r="AB1462" s="33"/>
      <c r="AC1462" s="33"/>
    </row>
    <row r="1463" ht="15.75" customHeight="1">
      <c r="A1463" s="27"/>
      <c r="B1463" s="16" t="str">
        <f t="shared" si="6"/>
        <v/>
      </c>
      <c r="C1463" s="28"/>
      <c r="D1463" s="89"/>
      <c r="E1463" s="90"/>
      <c r="F1463" s="20"/>
      <c r="G1463" s="37"/>
      <c r="H1463" s="37"/>
      <c r="I1463" s="32"/>
      <c r="J1463" s="32"/>
      <c r="K1463" s="53"/>
      <c r="L1463" s="32"/>
      <c r="M1463" s="33"/>
      <c r="N1463" s="33"/>
      <c r="O1463" s="33"/>
      <c r="P1463" s="33"/>
      <c r="Q1463" s="33"/>
      <c r="R1463" s="33"/>
      <c r="S1463" s="33"/>
      <c r="T1463" s="33"/>
      <c r="U1463" s="33"/>
      <c r="V1463" s="33"/>
      <c r="W1463" s="33"/>
      <c r="X1463" s="33"/>
      <c r="Y1463" s="33"/>
      <c r="Z1463" s="33"/>
      <c r="AA1463" s="33"/>
      <c r="AB1463" s="33"/>
      <c r="AC1463" s="33"/>
    </row>
    <row r="1464" ht="15.75" customHeight="1">
      <c r="A1464" s="27"/>
      <c r="B1464" s="16" t="str">
        <f t="shared" si="6"/>
        <v/>
      </c>
      <c r="C1464" s="28"/>
      <c r="D1464" s="89"/>
      <c r="E1464" s="90"/>
      <c r="F1464" s="20"/>
      <c r="G1464" s="37"/>
      <c r="H1464" s="37"/>
      <c r="I1464" s="32"/>
      <c r="J1464" s="32"/>
      <c r="K1464" s="53"/>
      <c r="L1464" s="32"/>
      <c r="M1464" s="33"/>
      <c r="N1464" s="33"/>
      <c r="O1464" s="33"/>
      <c r="P1464" s="33"/>
      <c r="Q1464" s="33"/>
      <c r="R1464" s="33"/>
      <c r="S1464" s="33"/>
      <c r="T1464" s="33"/>
      <c r="U1464" s="33"/>
      <c r="V1464" s="33"/>
      <c r="W1464" s="33"/>
      <c r="X1464" s="33"/>
      <c r="Y1464" s="33"/>
      <c r="Z1464" s="33"/>
      <c r="AA1464" s="33"/>
      <c r="AB1464" s="33"/>
      <c r="AC1464" s="33"/>
    </row>
    <row r="1465" ht="15.75" customHeight="1">
      <c r="A1465" s="27"/>
      <c r="B1465" s="16" t="str">
        <f t="shared" si="6"/>
        <v/>
      </c>
      <c r="C1465" s="28"/>
      <c r="D1465" s="89"/>
      <c r="E1465" s="90"/>
      <c r="F1465" s="20"/>
      <c r="G1465" s="37"/>
      <c r="H1465" s="37"/>
      <c r="I1465" s="32"/>
      <c r="J1465" s="32"/>
      <c r="K1465" s="53"/>
      <c r="L1465" s="32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</row>
    <row r="1466" ht="15.75" customHeight="1">
      <c r="A1466" s="27"/>
      <c r="B1466" s="16" t="str">
        <f t="shared" si="6"/>
        <v/>
      </c>
      <c r="C1466" s="28"/>
      <c r="D1466" s="89"/>
      <c r="E1466" s="90"/>
      <c r="F1466" s="20"/>
      <c r="G1466" s="37"/>
      <c r="H1466" s="37"/>
      <c r="I1466" s="32"/>
      <c r="J1466" s="32"/>
      <c r="K1466" s="53"/>
      <c r="L1466" s="32"/>
      <c r="M1466" s="33"/>
      <c r="N1466" s="33"/>
      <c r="O1466" s="33"/>
      <c r="P1466" s="33"/>
      <c r="Q1466" s="33"/>
      <c r="R1466" s="33"/>
      <c r="S1466" s="33"/>
      <c r="T1466" s="33"/>
      <c r="U1466" s="33"/>
      <c r="V1466" s="33"/>
      <c r="W1466" s="33"/>
      <c r="X1466" s="33"/>
      <c r="Y1466" s="33"/>
      <c r="Z1466" s="33"/>
      <c r="AA1466" s="33"/>
      <c r="AB1466" s="33"/>
      <c r="AC1466" s="33"/>
    </row>
    <row r="1467" ht="15.75" customHeight="1">
      <c r="A1467" s="27"/>
      <c r="B1467" s="16" t="str">
        <f t="shared" si="6"/>
        <v/>
      </c>
      <c r="C1467" s="28"/>
      <c r="D1467" s="89"/>
      <c r="E1467" s="90"/>
      <c r="F1467" s="20"/>
      <c r="G1467" s="37"/>
      <c r="H1467" s="37"/>
      <c r="I1467" s="32"/>
      <c r="J1467" s="32"/>
      <c r="K1467" s="53"/>
      <c r="L1467" s="32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33"/>
    </row>
    <row r="1468" ht="15.75" customHeight="1">
      <c r="A1468" s="27"/>
      <c r="B1468" s="16" t="str">
        <f t="shared" si="6"/>
        <v/>
      </c>
      <c r="C1468" s="28"/>
      <c r="D1468" s="89"/>
      <c r="E1468" s="90"/>
      <c r="F1468" s="20"/>
      <c r="G1468" s="37"/>
      <c r="H1468" s="37"/>
      <c r="I1468" s="32"/>
      <c r="J1468" s="32"/>
      <c r="K1468" s="53"/>
      <c r="L1468" s="32"/>
      <c r="M1468" s="33"/>
      <c r="N1468" s="33"/>
      <c r="O1468" s="33"/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/>
      <c r="AB1468" s="33"/>
      <c r="AC1468" s="33"/>
    </row>
    <row r="1469" ht="15.75" customHeight="1">
      <c r="A1469" s="27"/>
      <c r="B1469" s="16" t="str">
        <f t="shared" si="6"/>
        <v/>
      </c>
      <c r="C1469" s="28"/>
      <c r="D1469" s="89"/>
      <c r="E1469" s="90"/>
      <c r="F1469" s="20"/>
      <c r="G1469" s="37"/>
      <c r="H1469" s="37"/>
      <c r="I1469" s="32"/>
      <c r="J1469" s="32"/>
      <c r="K1469" s="53"/>
      <c r="L1469" s="32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</row>
    <row r="1470" ht="15.75" customHeight="1">
      <c r="A1470" s="27"/>
      <c r="B1470" s="16" t="str">
        <f t="shared" si="6"/>
        <v/>
      </c>
      <c r="C1470" s="28"/>
      <c r="D1470" s="89"/>
      <c r="E1470" s="90"/>
      <c r="F1470" s="20"/>
      <c r="G1470" s="37"/>
      <c r="H1470" s="37"/>
      <c r="I1470" s="32"/>
      <c r="J1470" s="32"/>
      <c r="K1470" s="53"/>
      <c r="L1470" s="32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</row>
    <row r="1471" ht="15.75" customHeight="1">
      <c r="A1471" s="27"/>
      <c r="B1471" s="16" t="str">
        <f t="shared" si="6"/>
        <v/>
      </c>
      <c r="C1471" s="28"/>
      <c r="D1471" s="89"/>
      <c r="E1471" s="90"/>
      <c r="F1471" s="20"/>
      <c r="G1471" s="37"/>
      <c r="H1471" s="37"/>
      <c r="I1471" s="32"/>
      <c r="J1471" s="32"/>
      <c r="K1471" s="53"/>
      <c r="L1471" s="32"/>
      <c r="M1471" s="33"/>
      <c r="N1471" s="33"/>
      <c r="O1471" s="33"/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/>
      <c r="AB1471" s="33"/>
      <c r="AC1471" s="33"/>
    </row>
    <row r="1472" ht="15.75" customHeight="1">
      <c r="A1472" s="27"/>
      <c r="B1472" s="16" t="str">
        <f t="shared" si="6"/>
        <v/>
      </c>
      <c r="C1472" s="28"/>
      <c r="D1472" s="89"/>
      <c r="E1472" s="90"/>
      <c r="F1472" s="20"/>
      <c r="G1472" s="37"/>
      <c r="H1472" s="37"/>
      <c r="I1472" s="32"/>
      <c r="J1472" s="32"/>
      <c r="K1472" s="53"/>
      <c r="L1472" s="32"/>
      <c r="M1472" s="33"/>
      <c r="N1472" s="33"/>
      <c r="O1472" s="33"/>
      <c r="P1472" s="33"/>
      <c r="Q1472" s="33"/>
      <c r="R1472" s="33"/>
      <c r="S1472" s="33"/>
      <c r="T1472" s="33"/>
      <c r="U1472" s="33"/>
      <c r="V1472" s="33"/>
      <c r="W1472" s="33"/>
      <c r="X1472" s="33"/>
      <c r="Y1472" s="33"/>
      <c r="Z1472" s="33"/>
      <c r="AA1472" s="33"/>
      <c r="AB1472" s="33"/>
      <c r="AC1472" s="33"/>
    </row>
    <row r="1473" ht="15.75" customHeight="1">
      <c r="A1473" s="27"/>
      <c r="B1473" s="16" t="str">
        <f t="shared" si="6"/>
        <v/>
      </c>
      <c r="C1473" s="28"/>
      <c r="D1473" s="89"/>
      <c r="E1473" s="90"/>
      <c r="F1473" s="20"/>
      <c r="G1473" s="37"/>
      <c r="H1473" s="37"/>
      <c r="I1473" s="32"/>
      <c r="J1473" s="32"/>
      <c r="K1473" s="53"/>
      <c r="L1473" s="32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</row>
    <row r="1474" ht="15.75" customHeight="1">
      <c r="A1474" s="27"/>
      <c r="B1474" s="16" t="str">
        <f t="shared" si="6"/>
        <v/>
      </c>
      <c r="C1474" s="28"/>
      <c r="D1474" s="89"/>
      <c r="E1474" s="90"/>
      <c r="F1474" s="20"/>
      <c r="G1474" s="37"/>
      <c r="H1474" s="37"/>
      <c r="I1474" s="32"/>
      <c r="J1474" s="32"/>
      <c r="K1474" s="53"/>
      <c r="L1474" s="32"/>
      <c r="M1474" s="33"/>
      <c r="N1474" s="33"/>
      <c r="O1474" s="33"/>
      <c r="P1474" s="33"/>
      <c r="Q1474" s="33"/>
      <c r="R1474" s="33"/>
      <c r="S1474" s="33"/>
      <c r="T1474" s="33"/>
      <c r="U1474" s="33"/>
      <c r="V1474" s="33"/>
      <c r="W1474" s="33"/>
      <c r="X1474" s="33"/>
      <c r="Y1474" s="33"/>
      <c r="Z1474" s="33"/>
      <c r="AA1474" s="33"/>
      <c r="AB1474" s="33"/>
      <c r="AC1474" s="33"/>
    </row>
    <row r="1475" ht="15.75" customHeight="1">
      <c r="A1475" s="27"/>
      <c r="B1475" s="16" t="str">
        <f t="shared" si="6"/>
        <v/>
      </c>
      <c r="C1475" s="28"/>
      <c r="D1475" s="89"/>
      <c r="E1475" s="90"/>
      <c r="F1475" s="20"/>
      <c r="G1475" s="37"/>
      <c r="H1475" s="37"/>
      <c r="I1475" s="32"/>
      <c r="J1475" s="32"/>
      <c r="K1475" s="53"/>
      <c r="L1475" s="32"/>
      <c r="M1475" s="33"/>
      <c r="N1475" s="33"/>
      <c r="O1475" s="33"/>
      <c r="P1475" s="33"/>
      <c r="Q1475" s="33"/>
      <c r="R1475" s="33"/>
      <c r="S1475" s="33"/>
      <c r="T1475" s="33"/>
      <c r="U1475" s="33"/>
      <c r="V1475" s="33"/>
      <c r="W1475" s="33"/>
      <c r="X1475" s="33"/>
      <c r="Y1475" s="33"/>
      <c r="Z1475" s="33"/>
      <c r="AA1475" s="33"/>
      <c r="AB1475" s="33"/>
      <c r="AC1475" s="33"/>
    </row>
    <row r="1476" ht="15.75" customHeight="1">
      <c r="A1476" s="27"/>
      <c r="B1476" s="16" t="str">
        <f t="shared" si="6"/>
        <v/>
      </c>
      <c r="C1476" s="28"/>
      <c r="D1476" s="89"/>
      <c r="E1476" s="90"/>
      <c r="F1476" s="20"/>
      <c r="G1476" s="37"/>
      <c r="H1476" s="37"/>
      <c r="I1476" s="32"/>
      <c r="J1476" s="32"/>
      <c r="K1476" s="53"/>
      <c r="L1476" s="32"/>
      <c r="M1476" s="33"/>
      <c r="N1476" s="33"/>
      <c r="O1476" s="33"/>
      <c r="P1476" s="33"/>
      <c r="Q1476" s="33"/>
      <c r="R1476" s="33"/>
      <c r="S1476" s="33"/>
      <c r="T1476" s="33"/>
      <c r="U1476" s="33"/>
      <c r="V1476" s="33"/>
      <c r="W1476" s="33"/>
      <c r="X1476" s="33"/>
      <c r="Y1476" s="33"/>
      <c r="Z1476" s="33"/>
      <c r="AA1476" s="33"/>
      <c r="AB1476" s="33"/>
      <c r="AC1476" s="33"/>
    </row>
    <row r="1477" ht="15.75" customHeight="1">
      <c r="A1477" s="27"/>
      <c r="B1477" s="16" t="str">
        <f t="shared" si="6"/>
        <v/>
      </c>
      <c r="C1477" s="28"/>
      <c r="D1477" s="89"/>
      <c r="E1477" s="90"/>
      <c r="F1477" s="20"/>
      <c r="G1477" s="37"/>
      <c r="H1477" s="37"/>
      <c r="I1477" s="32"/>
      <c r="J1477" s="32"/>
      <c r="K1477" s="53"/>
      <c r="L1477" s="32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</row>
    <row r="1478" ht="15.75" customHeight="1">
      <c r="A1478" s="27"/>
      <c r="B1478" s="16" t="str">
        <f t="shared" si="6"/>
        <v/>
      </c>
      <c r="C1478" s="28"/>
      <c r="D1478" s="89"/>
      <c r="E1478" s="90"/>
      <c r="F1478" s="20"/>
      <c r="G1478" s="37"/>
      <c r="H1478" s="37"/>
      <c r="I1478" s="32"/>
      <c r="J1478" s="32"/>
      <c r="K1478" s="53"/>
      <c r="L1478" s="32"/>
      <c r="M1478" s="33"/>
      <c r="N1478" s="33"/>
      <c r="O1478" s="33"/>
      <c r="P1478" s="33"/>
      <c r="Q1478" s="33"/>
      <c r="R1478" s="33"/>
      <c r="S1478" s="33"/>
      <c r="T1478" s="33"/>
      <c r="U1478" s="33"/>
      <c r="V1478" s="33"/>
      <c r="W1478" s="33"/>
      <c r="X1478" s="33"/>
      <c r="Y1478" s="33"/>
      <c r="Z1478" s="33"/>
      <c r="AA1478" s="33"/>
      <c r="AB1478" s="33"/>
      <c r="AC1478" s="33"/>
    </row>
    <row r="1479" ht="15.75" customHeight="1">
      <c r="A1479" s="27"/>
      <c r="B1479" s="16" t="str">
        <f t="shared" si="6"/>
        <v/>
      </c>
      <c r="C1479" s="28"/>
      <c r="D1479" s="89"/>
      <c r="E1479" s="90"/>
      <c r="F1479" s="20"/>
      <c r="G1479" s="37"/>
      <c r="H1479" s="37"/>
      <c r="I1479" s="32"/>
      <c r="J1479" s="32"/>
      <c r="K1479" s="53"/>
      <c r="L1479" s="32"/>
      <c r="M1479" s="33"/>
      <c r="N1479" s="33"/>
      <c r="O1479" s="33"/>
      <c r="P1479" s="33"/>
      <c r="Q1479" s="33"/>
      <c r="R1479" s="33"/>
      <c r="S1479" s="33"/>
      <c r="T1479" s="33"/>
      <c r="U1479" s="33"/>
      <c r="V1479" s="33"/>
      <c r="W1479" s="33"/>
      <c r="X1479" s="33"/>
      <c r="Y1479" s="33"/>
      <c r="Z1479" s="33"/>
      <c r="AA1479" s="33"/>
      <c r="AB1479" s="33"/>
      <c r="AC1479" s="33"/>
    </row>
    <row r="1480" ht="15.75" customHeight="1">
      <c r="A1480" s="27"/>
      <c r="B1480" s="16" t="str">
        <f t="shared" si="6"/>
        <v/>
      </c>
      <c r="C1480" s="28"/>
      <c r="D1480" s="89"/>
      <c r="E1480" s="90"/>
      <c r="F1480" s="20"/>
      <c r="G1480" s="37"/>
      <c r="H1480" s="37"/>
      <c r="I1480" s="32"/>
      <c r="J1480" s="32"/>
      <c r="K1480" s="53"/>
      <c r="L1480" s="32"/>
      <c r="M1480" s="33"/>
      <c r="N1480" s="33"/>
      <c r="O1480" s="33"/>
      <c r="P1480" s="33"/>
      <c r="Q1480" s="33"/>
      <c r="R1480" s="33"/>
      <c r="S1480" s="33"/>
      <c r="T1480" s="33"/>
      <c r="U1480" s="33"/>
      <c r="V1480" s="33"/>
      <c r="W1480" s="33"/>
      <c r="X1480" s="33"/>
      <c r="Y1480" s="33"/>
      <c r="Z1480" s="33"/>
      <c r="AA1480" s="33"/>
      <c r="AB1480" s="33"/>
      <c r="AC1480" s="33"/>
    </row>
    <row r="1481" ht="15.75" customHeight="1">
      <c r="A1481" s="27"/>
      <c r="B1481" s="16" t="str">
        <f t="shared" si="6"/>
        <v/>
      </c>
      <c r="C1481" s="28"/>
      <c r="D1481" s="89"/>
      <c r="E1481" s="90"/>
      <c r="F1481" s="20"/>
      <c r="G1481" s="37"/>
      <c r="H1481" s="37"/>
      <c r="I1481" s="32"/>
      <c r="J1481" s="32"/>
      <c r="K1481" s="53"/>
      <c r="L1481" s="32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</row>
    <row r="1482" ht="15.75" customHeight="1">
      <c r="A1482" s="27"/>
      <c r="B1482" s="16" t="str">
        <f t="shared" si="6"/>
        <v/>
      </c>
      <c r="C1482" s="28"/>
      <c r="D1482" s="89"/>
      <c r="E1482" s="90"/>
      <c r="F1482" s="20"/>
      <c r="G1482" s="37"/>
      <c r="H1482" s="37"/>
      <c r="I1482" s="32"/>
      <c r="J1482" s="32"/>
      <c r="K1482" s="53"/>
      <c r="L1482" s="32"/>
      <c r="M1482" s="33"/>
      <c r="N1482" s="33"/>
      <c r="O1482" s="33"/>
      <c r="P1482" s="33"/>
      <c r="Q1482" s="33"/>
      <c r="R1482" s="33"/>
      <c r="S1482" s="33"/>
      <c r="T1482" s="33"/>
      <c r="U1482" s="33"/>
      <c r="V1482" s="33"/>
      <c r="W1482" s="33"/>
      <c r="X1482" s="33"/>
      <c r="Y1482" s="33"/>
      <c r="Z1482" s="33"/>
      <c r="AA1482" s="33"/>
      <c r="AB1482" s="33"/>
      <c r="AC1482" s="33"/>
    </row>
    <row r="1483" ht="15.75" customHeight="1">
      <c r="A1483" s="27"/>
      <c r="B1483" s="16" t="str">
        <f t="shared" si="6"/>
        <v/>
      </c>
      <c r="C1483" s="28"/>
      <c r="D1483" s="89"/>
      <c r="E1483" s="90"/>
      <c r="F1483" s="20"/>
      <c r="G1483" s="37"/>
      <c r="H1483" s="37"/>
      <c r="I1483" s="32"/>
      <c r="J1483" s="32"/>
      <c r="K1483" s="53"/>
      <c r="L1483" s="32"/>
      <c r="M1483" s="33"/>
      <c r="N1483" s="33"/>
      <c r="O1483" s="33"/>
      <c r="P1483" s="33"/>
      <c r="Q1483" s="33"/>
      <c r="R1483" s="33"/>
      <c r="S1483" s="33"/>
      <c r="T1483" s="33"/>
      <c r="U1483" s="33"/>
      <c r="V1483" s="33"/>
      <c r="W1483" s="33"/>
      <c r="X1483" s="33"/>
      <c r="Y1483" s="33"/>
      <c r="Z1483" s="33"/>
      <c r="AA1483" s="33"/>
      <c r="AB1483" s="33"/>
      <c r="AC1483" s="33"/>
    </row>
    <row r="1484" ht="15.75" customHeight="1">
      <c r="A1484" s="27"/>
      <c r="B1484" s="16" t="str">
        <f t="shared" si="6"/>
        <v/>
      </c>
      <c r="C1484" s="28"/>
      <c r="D1484" s="89"/>
      <c r="E1484" s="90"/>
      <c r="F1484" s="20"/>
      <c r="G1484" s="37"/>
      <c r="H1484" s="37"/>
      <c r="I1484" s="32"/>
      <c r="J1484" s="32"/>
      <c r="K1484" s="53"/>
      <c r="L1484" s="32"/>
      <c r="M1484" s="33"/>
      <c r="N1484" s="33"/>
      <c r="O1484" s="33"/>
      <c r="P1484" s="33"/>
      <c r="Q1484" s="33"/>
      <c r="R1484" s="33"/>
      <c r="S1484" s="33"/>
      <c r="T1484" s="33"/>
      <c r="U1484" s="33"/>
      <c r="V1484" s="33"/>
      <c r="W1484" s="33"/>
      <c r="X1484" s="33"/>
      <c r="Y1484" s="33"/>
      <c r="Z1484" s="33"/>
      <c r="AA1484" s="33"/>
      <c r="AB1484" s="33"/>
      <c r="AC1484" s="33"/>
    </row>
    <row r="1485" ht="15.75" customHeight="1">
      <c r="A1485" s="27"/>
      <c r="B1485" s="16" t="str">
        <f t="shared" si="6"/>
        <v/>
      </c>
      <c r="C1485" s="28"/>
      <c r="D1485" s="89"/>
      <c r="E1485" s="90"/>
      <c r="F1485" s="20"/>
      <c r="G1485" s="37"/>
      <c r="H1485" s="37"/>
      <c r="I1485" s="32"/>
      <c r="J1485" s="32"/>
      <c r="K1485" s="53"/>
      <c r="L1485" s="32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</row>
    <row r="1486" ht="15.75" customHeight="1">
      <c r="A1486" s="27"/>
      <c r="B1486" s="16" t="str">
        <f t="shared" si="6"/>
        <v/>
      </c>
      <c r="C1486" s="28"/>
      <c r="D1486" s="89"/>
      <c r="E1486" s="90"/>
      <c r="F1486" s="20"/>
      <c r="G1486" s="37"/>
      <c r="H1486" s="37"/>
      <c r="I1486" s="32"/>
      <c r="J1486" s="32"/>
      <c r="K1486" s="53"/>
      <c r="L1486" s="32"/>
      <c r="M1486" s="33"/>
      <c r="N1486" s="33"/>
      <c r="O1486" s="33"/>
      <c r="P1486" s="33"/>
      <c r="Q1486" s="33"/>
      <c r="R1486" s="33"/>
      <c r="S1486" s="33"/>
      <c r="T1486" s="33"/>
      <c r="U1486" s="33"/>
      <c r="V1486" s="33"/>
      <c r="W1486" s="33"/>
      <c r="X1486" s="33"/>
      <c r="Y1486" s="33"/>
      <c r="Z1486" s="33"/>
      <c r="AA1486" s="33"/>
      <c r="AB1486" s="33"/>
      <c r="AC1486" s="33"/>
    </row>
    <row r="1487" ht="15.75" customHeight="1">
      <c r="A1487" s="27"/>
      <c r="B1487" s="16" t="str">
        <f t="shared" si="6"/>
        <v/>
      </c>
      <c r="C1487" s="28"/>
      <c r="D1487" s="89"/>
      <c r="E1487" s="90"/>
      <c r="F1487" s="20"/>
      <c r="G1487" s="37"/>
      <c r="H1487" s="37"/>
      <c r="I1487" s="32"/>
      <c r="J1487" s="32"/>
      <c r="K1487" s="53"/>
      <c r="L1487" s="32"/>
      <c r="M1487" s="33"/>
      <c r="N1487" s="33"/>
      <c r="O1487" s="33"/>
      <c r="P1487" s="33"/>
      <c r="Q1487" s="33"/>
      <c r="R1487" s="33"/>
      <c r="S1487" s="33"/>
      <c r="T1487" s="33"/>
      <c r="U1487" s="33"/>
      <c r="V1487" s="33"/>
      <c r="W1487" s="33"/>
      <c r="X1487" s="33"/>
      <c r="Y1487" s="33"/>
      <c r="Z1487" s="33"/>
      <c r="AA1487" s="33"/>
      <c r="AB1487" s="33"/>
      <c r="AC1487" s="33"/>
    </row>
    <row r="1488" ht="15.75" customHeight="1">
      <c r="A1488" s="27"/>
      <c r="B1488" s="16" t="str">
        <f t="shared" si="6"/>
        <v/>
      </c>
      <c r="C1488" s="28"/>
      <c r="D1488" s="89"/>
      <c r="E1488" s="90"/>
      <c r="F1488" s="20"/>
      <c r="G1488" s="37"/>
      <c r="H1488" s="37"/>
      <c r="I1488" s="32"/>
      <c r="J1488" s="32"/>
      <c r="K1488" s="53"/>
      <c r="L1488" s="32"/>
      <c r="M1488" s="33"/>
      <c r="N1488" s="33"/>
      <c r="O1488" s="33"/>
      <c r="P1488" s="33"/>
      <c r="Q1488" s="33"/>
      <c r="R1488" s="33"/>
      <c r="S1488" s="33"/>
      <c r="T1488" s="33"/>
      <c r="U1488" s="33"/>
      <c r="V1488" s="33"/>
      <c r="W1488" s="33"/>
      <c r="X1488" s="33"/>
      <c r="Y1488" s="33"/>
      <c r="Z1488" s="33"/>
      <c r="AA1488" s="33"/>
      <c r="AB1488" s="33"/>
      <c r="AC1488" s="33"/>
    </row>
    <row r="1489" ht="15.75" customHeight="1">
      <c r="A1489" s="27"/>
      <c r="B1489" s="16" t="str">
        <f t="shared" si="6"/>
        <v/>
      </c>
      <c r="C1489" s="28"/>
      <c r="D1489" s="89"/>
      <c r="E1489" s="90"/>
      <c r="F1489" s="20"/>
      <c r="G1489" s="37"/>
      <c r="H1489" s="37"/>
      <c r="I1489" s="32"/>
      <c r="J1489" s="32"/>
      <c r="K1489" s="53"/>
      <c r="L1489" s="32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</row>
    <row r="1490" ht="15.75" customHeight="1">
      <c r="A1490" s="27"/>
      <c r="B1490" s="16" t="str">
        <f t="shared" si="6"/>
        <v/>
      </c>
      <c r="C1490" s="28"/>
      <c r="D1490" s="89"/>
      <c r="E1490" s="90"/>
      <c r="F1490" s="20"/>
      <c r="G1490" s="37"/>
      <c r="H1490" s="37"/>
      <c r="I1490" s="32"/>
      <c r="J1490" s="32"/>
      <c r="K1490" s="53"/>
      <c r="L1490" s="32"/>
      <c r="M1490" s="33"/>
      <c r="N1490" s="33"/>
      <c r="O1490" s="33"/>
      <c r="P1490" s="33"/>
      <c r="Q1490" s="33"/>
      <c r="R1490" s="33"/>
      <c r="S1490" s="33"/>
      <c r="T1490" s="33"/>
      <c r="U1490" s="33"/>
      <c r="V1490" s="33"/>
      <c r="W1490" s="33"/>
      <c r="X1490" s="33"/>
      <c r="Y1490" s="33"/>
      <c r="Z1490" s="33"/>
      <c r="AA1490" s="33"/>
      <c r="AB1490" s="33"/>
      <c r="AC1490" s="33"/>
    </row>
    <row r="1491" ht="15.75" customHeight="1">
      <c r="A1491" s="27"/>
      <c r="B1491" s="16" t="str">
        <f t="shared" si="6"/>
        <v/>
      </c>
      <c r="C1491" s="28"/>
      <c r="D1491" s="89"/>
      <c r="E1491" s="90"/>
      <c r="F1491" s="20"/>
      <c r="G1491" s="37"/>
      <c r="H1491" s="37"/>
      <c r="I1491" s="32"/>
      <c r="J1491" s="32"/>
      <c r="K1491" s="53"/>
      <c r="L1491" s="32"/>
      <c r="M1491" s="33"/>
      <c r="N1491" s="33"/>
      <c r="O1491" s="33"/>
      <c r="P1491" s="33"/>
      <c r="Q1491" s="33"/>
      <c r="R1491" s="33"/>
      <c r="S1491" s="33"/>
      <c r="T1491" s="33"/>
      <c r="U1491" s="33"/>
      <c r="V1491" s="33"/>
      <c r="W1491" s="33"/>
      <c r="X1491" s="33"/>
      <c r="Y1491" s="33"/>
      <c r="Z1491" s="33"/>
      <c r="AA1491" s="33"/>
      <c r="AB1491" s="33"/>
      <c r="AC1491" s="33"/>
    </row>
    <row r="1492" ht="15.75" customHeight="1">
      <c r="A1492" s="27"/>
      <c r="B1492" s="16" t="str">
        <f t="shared" si="6"/>
        <v/>
      </c>
      <c r="C1492" s="28"/>
      <c r="D1492" s="89"/>
      <c r="E1492" s="90"/>
      <c r="F1492" s="20"/>
      <c r="G1492" s="37"/>
      <c r="H1492" s="37"/>
      <c r="I1492" s="32"/>
      <c r="J1492" s="32"/>
      <c r="K1492" s="53"/>
      <c r="L1492" s="32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</row>
    <row r="1493" ht="15.75" customHeight="1">
      <c r="A1493" s="27"/>
      <c r="B1493" s="16" t="str">
        <f t="shared" si="6"/>
        <v/>
      </c>
      <c r="C1493" s="28"/>
      <c r="D1493" s="89"/>
      <c r="E1493" s="90"/>
      <c r="F1493" s="20"/>
      <c r="G1493" s="37"/>
      <c r="H1493" s="37"/>
      <c r="I1493" s="32"/>
      <c r="J1493" s="32"/>
      <c r="K1493" s="53"/>
      <c r="L1493" s="32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</row>
    <row r="1494" ht="15.75" customHeight="1">
      <c r="A1494" s="27"/>
      <c r="B1494" s="16" t="str">
        <f t="shared" si="6"/>
        <v/>
      </c>
      <c r="C1494" s="28"/>
      <c r="D1494" s="89"/>
      <c r="E1494" s="90"/>
      <c r="F1494" s="20"/>
      <c r="G1494" s="37"/>
      <c r="H1494" s="37"/>
      <c r="I1494" s="32"/>
      <c r="J1494" s="32"/>
      <c r="K1494" s="53"/>
      <c r="L1494" s="32"/>
      <c r="M1494" s="33"/>
      <c r="N1494" s="33"/>
      <c r="O1494" s="33"/>
      <c r="P1494" s="33"/>
      <c r="Q1494" s="33"/>
      <c r="R1494" s="33"/>
      <c r="S1494" s="33"/>
      <c r="T1494" s="33"/>
      <c r="U1494" s="33"/>
      <c r="V1494" s="33"/>
      <c r="W1494" s="33"/>
      <c r="X1494" s="33"/>
      <c r="Y1494" s="33"/>
      <c r="Z1494" s="33"/>
      <c r="AA1494" s="33"/>
      <c r="AB1494" s="33"/>
      <c r="AC1494" s="33"/>
    </row>
    <row r="1495" ht="15.75" customHeight="1">
      <c r="A1495" s="27"/>
      <c r="B1495" s="16" t="str">
        <f t="shared" si="6"/>
        <v/>
      </c>
      <c r="C1495" s="28"/>
      <c r="D1495" s="89"/>
      <c r="E1495" s="90"/>
      <c r="F1495" s="20"/>
      <c r="G1495" s="37"/>
      <c r="H1495" s="37"/>
      <c r="I1495" s="32"/>
      <c r="J1495" s="32"/>
      <c r="K1495" s="53"/>
      <c r="L1495" s="32"/>
      <c r="M1495" s="33"/>
      <c r="N1495" s="33"/>
      <c r="O1495" s="33"/>
      <c r="P1495" s="33"/>
      <c r="Q1495" s="33"/>
      <c r="R1495" s="33"/>
      <c r="S1495" s="33"/>
      <c r="T1495" s="33"/>
      <c r="U1495" s="33"/>
      <c r="V1495" s="33"/>
      <c r="W1495" s="33"/>
      <c r="X1495" s="33"/>
      <c r="Y1495" s="33"/>
      <c r="Z1495" s="33"/>
      <c r="AA1495" s="33"/>
      <c r="AB1495" s="33"/>
      <c r="AC1495" s="33"/>
    </row>
    <row r="1496" ht="15.75" customHeight="1">
      <c r="A1496" s="27"/>
      <c r="B1496" s="16" t="str">
        <f t="shared" si="6"/>
        <v/>
      </c>
      <c r="C1496" s="28"/>
      <c r="D1496" s="89"/>
      <c r="E1496" s="90"/>
      <c r="F1496" s="20"/>
      <c r="G1496" s="37"/>
      <c r="H1496" s="37"/>
      <c r="I1496" s="32"/>
      <c r="J1496" s="32"/>
      <c r="K1496" s="53"/>
      <c r="L1496" s="32"/>
      <c r="M1496" s="33"/>
      <c r="N1496" s="33"/>
      <c r="O1496" s="33"/>
      <c r="P1496" s="33"/>
      <c r="Q1496" s="33"/>
      <c r="R1496" s="33"/>
      <c r="S1496" s="33"/>
      <c r="T1496" s="33"/>
      <c r="U1496" s="33"/>
      <c r="V1496" s="33"/>
      <c r="W1496" s="33"/>
      <c r="X1496" s="33"/>
      <c r="Y1496" s="33"/>
      <c r="Z1496" s="33"/>
      <c r="AA1496" s="33"/>
      <c r="AB1496" s="33"/>
      <c r="AC1496" s="33"/>
    </row>
    <row r="1497" ht="15.75" customHeight="1">
      <c r="A1497" s="27"/>
      <c r="B1497" s="16" t="str">
        <f t="shared" si="6"/>
        <v/>
      </c>
      <c r="C1497" s="28"/>
      <c r="D1497" s="89"/>
      <c r="E1497" s="90"/>
      <c r="F1497" s="20"/>
      <c r="G1497" s="37"/>
      <c r="H1497" s="37"/>
      <c r="I1497" s="32"/>
      <c r="J1497" s="32"/>
      <c r="K1497" s="53"/>
      <c r="L1497" s="32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</row>
    <row r="1498" ht="15.75" customHeight="1">
      <c r="A1498" s="27"/>
      <c r="B1498" s="16" t="str">
        <f t="shared" si="6"/>
        <v/>
      </c>
      <c r="C1498" s="28"/>
      <c r="D1498" s="89"/>
      <c r="E1498" s="90"/>
      <c r="F1498" s="20"/>
      <c r="G1498" s="37"/>
      <c r="H1498" s="37"/>
      <c r="I1498" s="32"/>
      <c r="J1498" s="32"/>
      <c r="K1498" s="53"/>
      <c r="L1498" s="32"/>
      <c r="M1498" s="33"/>
      <c r="N1498" s="33"/>
      <c r="O1498" s="33"/>
      <c r="P1498" s="33"/>
      <c r="Q1498" s="33"/>
      <c r="R1498" s="33"/>
      <c r="S1498" s="33"/>
      <c r="T1498" s="33"/>
      <c r="U1498" s="33"/>
      <c r="V1498" s="33"/>
      <c r="W1498" s="33"/>
      <c r="X1498" s="33"/>
      <c r="Y1498" s="33"/>
      <c r="Z1498" s="33"/>
      <c r="AA1498" s="33"/>
      <c r="AB1498" s="33"/>
      <c r="AC1498" s="33"/>
    </row>
    <row r="1499" ht="15.75" customHeight="1">
      <c r="A1499" s="27"/>
      <c r="B1499" s="16" t="str">
        <f t="shared" si="6"/>
        <v/>
      </c>
      <c r="C1499" s="28"/>
      <c r="D1499" s="89"/>
      <c r="E1499" s="90"/>
      <c r="F1499" s="20"/>
      <c r="G1499" s="37"/>
      <c r="H1499" s="37"/>
      <c r="I1499" s="32"/>
      <c r="J1499" s="32"/>
      <c r="K1499" s="53"/>
      <c r="L1499" s="32"/>
      <c r="M1499" s="33"/>
      <c r="N1499" s="33"/>
      <c r="O1499" s="33"/>
      <c r="P1499" s="33"/>
      <c r="Q1499" s="33"/>
      <c r="R1499" s="33"/>
      <c r="S1499" s="33"/>
      <c r="T1499" s="33"/>
      <c r="U1499" s="33"/>
      <c r="V1499" s="33"/>
      <c r="W1499" s="33"/>
      <c r="X1499" s="33"/>
      <c r="Y1499" s="33"/>
      <c r="Z1499" s="33"/>
      <c r="AA1499" s="33"/>
      <c r="AB1499" s="33"/>
      <c r="AC1499" s="33"/>
    </row>
    <row r="1500" ht="15.75" customHeight="1">
      <c r="A1500" s="27"/>
      <c r="B1500" s="16" t="str">
        <f t="shared" si="6"/>
        <v/>
      </c>
      <c r="C1500" s="28"/>
      <c r="D1500" s="89"/>
      <c r="E1500" s="90"/>
      <c r="F1500" s="20"/>
      <c r="G1500" s="37"/>
      <c r="H1500" s="37"/>
      <c r="I1500" s="32"/>
      <c r="J1500" s="32"/>
      <c r="K1500" s="53"/>
      <c r="L1500" s="32"/>
      <c r="M1500" s="33"/>
      <c r="N1500" s="33"/>
      <c r="O1500" s="33"/>
      <c r="P1500" s="33"/>
      <c r="Q1500" s="33"/>
      <c r="R1500" s="33"/>
      <c r="S1500" s="33"/>
      <c r="T1500" s="33"/>
      <c r="U1500" s="33"/>
      <c r="V1500" s="33"/>
      <c r="W1500" s="33"/>
      <c r="X1500" s="33"/>
      <c r="Y1500" s="33"/>
      <c r="Z1500" s="33"/>
      <c r="AA1500" s="33"/>
      <c r="AB1500" s="33"/>
      <c r="AC1500" s="33"/>
    </row>
    <row r="1501" ht="15.75" customHeight="1">
      <c r="A1501" s="27"/>
      <c r="B1501" s="16" t="str">
        <f t="shared" si="6"/>
        <v/>
      </c>
      <c r="C1501" s="28"/>
      <c r="D1501" s="89"/>
      <c r="E1501" s="90"/>
      <c r="F1501" s="20"/>
      <c r="G1501" s="37"/>
      <c r="H1501" s="37"/>
      <c r="I1501" s="32"/>
      <c r="J1501" s="32"/>
      <c r="K1501" s="53"/>
      <c r="L1501" s="32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</row>
    <row r="1502" ht="15.75" customHeight="1">
      <c r="A1502" s="27"/>
      <c r="B1502" s="16" t="str">
        <f t="shared" si="6"/>
        <v/>
      </c>
      <c r="C1502" s="28"/>
      <c r="D1502" s="89"/>
      <c r="E1502" s="90"/>
      <c r="F1502" s="20"/>
      <c r="G1502" s="37"/>
      <c r="H1502" s="37"/>
      <c r="I1502" s="32"/>
      <c r="J1502" s="32"/>
      <c r="K1502" s="53"/>
      <c r="L1502" s="32"/>
      <c r="M1502" s="33"/>
      <c r="N1502" s="33"/>
      <c r="O1502" s="33"/>
      <c r="P1502" s="33"/>
      <c r="Q1502" s="33"/>
      <c r="R1502" s="33"/>
      <c r="S1502" s="33"/>
      <c r="T1502" s="33"/>
      <c r="U1502" s="33"/>
      <c r="V1502" s="33"/>
      <c r="W1502" s="33"/>
      <c r="X1502" s="33"/>
      <c r="Y1502" s="33"/>
      <c r="Z1502" s="33"/>
      <c r="AA1502" s="33"/>
      <c r="AB1502" s="33"/>
      <c r="AC1502" s="33"/>
    </row>
    <row r="1503" ht="15.75" customHeight="1">
      <c r="A1503" s="27"/>
      <c r="B1503" s="16" t="str">
        <f t="shared" si="6"/>
        <v/>
      </c>
      <c r="C1503" s="28"/>
      <c r="D1503" s="89"/>
      <c r="E1503" s="90"/>
      <c r="F1503" s="20"/>
      <c r="G1503" s="37"/>
      <c r="H1503" s="37"/>
      <c r="I1503" s="32"/>
      <c r="J1503" s="32"/>
      <c r="K1503" s="53"/>
      <c r="L1503" s="32"/>
      <c r="M1503" s="33"/>
      <c r="N1503" s="33"/>
      <c r="O1503" s="33"/>
      <c r="P1503" s="33"/>
      <c r="Q1503" s="33"/>
      <c r="R1503" s="33"/>
      <c r="S1503" s="33"/>
      <c r="T1503" s="33"/>
      <c r="U1503" s="33"/>
      <c r="V1503" s="33"/>
      <c r="W1503" s="33"/>
      <c r="X1503" s="33"/>
      <c r="Y1503" s="33"/>
      <c r="Z1503" s="33"/>
      <c r="AA1503" s="33"/>
      <c r="AB1503" s="33"/>
      <c r="AC1503" s="33"/>
    </row>
    <row r="1504" ht="15.75" customHeight="1">
      <c r="A1504" s="27"/>
      <c r="B1504" s="16" t="str">
        <f t="shared" si="6"/>
        <v/>
      </c>
      <c r="C1504" s="28"/>
      <c r="D1504" s="89"/>
      <c r="E1504" s="90"/>
      <c r="F1504" s="20"/>
      <c r="G1504" s="37"/>
      <c r="H1504" s="37"/>
      <c r="I1504" s="32"/>
      <c r="J1504" s="32"/>
      <c r="K1504" s="53"/>
      <c r="L1504" s="32"/>
      <c r="M1504" s="33"/>
      <c r="N1504" s="33"/>
      <c r="O1504" s="33"/>
      <c r="P1504" s="33"/>
      <c r="Q1504" s="33"/>
      <c r="R1504" s="33"/>
      <c r="S1504" s="33"/>
      <c r="T1504" s="33"/>
      <c r="U1504" s="33"/>
      <c r="V1504" s="33"/>
      <c r="W1504" s="33"/>
      <c r="X1504" s="33"/>
      <c r="Y1504" s="33"/>
      <c r="Z1504" s="33"/>
      <c r="AA1504" s="33"/>
      <c r="AB1504" s="33"/>
      <c r="AC1504" s="33"/>
    </row>
    <row r="1505" ht="15.75" customHeight="1">
      <c r="A1505" s="27"/>
      <c r="B1505" s="16" t="str">
        <f t="shared" si="6"/>
        <v/>
      </c>
      <c r="C1505" s="28"/>
      <c r="D1505" s="89"/>
      <c r="E1505" s="90"/>
      <c r="F1505" s="20"/>
      <c r="G1505" s="37"/>
      <c r="H1505" s="37"/>
      <c r="I1505" s="32"/>
      <c r="J1505" s="32"/>
      <c r="K1505" s="53"/>
      <c r="L1505" s="32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</row>
    <row r="1506" ht="15.75" customHeight="1">
      <c r="A1506" s="27"/>
      <c r="B1506" s="16" t="str">
        <f t="shared" si="6"/>
        <v/>
      </c>
      <c r="C1506" s="28"/>
      <c r="D1506" s="89"/>
      <c r="E1506" s="90"/>
      <c r="F1506" s="20"/>
      <c r="G1506" s="37"/>
      <c r="H1506" s="37"/>
      <c r="I1506" s="32"/>
      <c r="J1506" s="32"/>
      <c r="K1506" s="53"/>
      <c r="L1506" s="32"/>
      <c r="M1506" s="33"/>
      <c r="N1506" s="33"/>
      <c r="O1506" s="33"/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/>
      <c r="AB1506" s="33"/>
      <c r="AC1506" s="33"/>
    </row>
    <row r="1507" ht="15.75" customHeight="1">
      <c r="A1507" s="27"/>
      <c r="B1507" s="16" t="str">
        <f t="shared" si="6"/>
        <v/>
      </c>
      <c r="C1507" s="28"/>
      <c r="D1507" s="89"/>
      <c r="E1507" s="90"/>
      <c r="F1507" s="20"/>
      <c r="G1507" s="37"/>
      <c r="H1507" s="37"/>
      <c r="I1507" s="32"/>
      <c r="J1507" s="32"/>
      <c r="K1507" s="53"/>
      <c r="L1507" s="32"/>
      <c r="M1507" s="33"/>
      <c r="N1507" s="33"/>
      <c r="O1507" s="33"/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/>
      <c r="AB1507" s="33"/>
      <c r="AC1507" s="33"/>
    </row>
    <row r="1508" ht="15.75" customHeight="1">
      <c r="A1508" s="27"/>
      <c r="B1508" s="16" t="str">
        <f t="shared" si="6"/>
        <v/>
      </c>
      <c r="C1508" s="28"/>
      <c r="D1508" s="89"/>
      <c r="E1508" s="90"/>
      <c r="F1508" s="20"/>
      <c r="G1508" s="37"/>
      <c r="H1508" s="37"/>
      <c r="I1508" s="32"/>
      <c r="J1508" s="32"/>
      <c r="K1508" s="53"/>
      <c r="L1508" s="32"/>
      <c r="M1508" s="33"/>
      <c r="N1508" s="33"/>
      <c r="O1508" s="33"/>
      <c r="P1508" s="33"/>
      <c r="Q1508" s="33"/>
      <c r="R1508" s="33"/>
      <c r="S1508" s="33"/>
      <c r="T1508" s="33"/>
      <c r="U1508" s="33"/>
      <c r="V1508" s="33"/>
      <c r="W1508" s="33"/>
      <c r="X1508" s="33"/>
      <c r="Y1508" s="33"/>
      <c r="Z1508" s="33"/>
      <c r="AA1508" s="33"/>
      <c r="AB1508" s="33"/>
      <c r="AC1508" s="33"/>
    </row>
    <row r="1509" ht="15.75" customHeight="1">
      <c r="A1509" s="27"/>
      <c r="B1509" s="16" t="str">
        <f t="shared" si="6"/>
        <v/>
      </c>
      <c r="C1509" s="28"/>
      <c r="D1509" s="89"/>
      <c r="E1509" s="90"/>
      <c r="F1509" s="20"/>
      <c r="G1509" s="37"/>
      <c r="H1509" s="37"/>
      <c r="I1509" s="32"/>
      <c r="J1509" s="32"/>
      <c r="K1509" s="53"/>
      <c r="L1509" s="32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</row>
    <row r="1510" ht="15.75" customHeight="1">
      <c r="A1510" s="27"/>
      <c r="B1510" s="16" t="str">
        <f t="shared" si="6"/>
        <v/>
      </c>
      <c r="C1510" s="28"/>
      <c r="D1510" s="89"/>
      <c r="E1510" s="90"/>
      <c r="F1510" s="20"/>
      <c r="G1510" s="37"/>
      <c r="H1510" s="37"/>
      <c r="I1510" s="32"/>
      <c r="J1510" s="32"/>
      <c r="K1510" s="53"/>
      <c r="L1510" s="32"/>
      <c r="M1510" s="33"/>
      <c r="N1510" s="33"/>
      <c r="O1510" s="33"/>
      <c r="P1510" s="33"/>
      <c r="Q1510" s="33"/>
      <c r="R1510" s="33"/>
      <c r="S1510" s="33"/>
      <c r="T1510" s="33"/>
      <c r="U1510" s="33"/>
      <c r="V1510" s="33"/>
      <c r="W1510" s="33"/>
      <c r="X1510" s="33"/>
      <c r="Y1510" s="33"/>
      <c r="Z1510" s="33"/>
      <c r="AA1510" s="33"/>
      <c r="AB1510" s="33"/>
      <c r="AC1510" s="33"/>
    </row>
    <row r="1511" ht="15.75" customHeight="1">
      <c r="A1511" s="27"/>
      <c r="B1511" s="16" t="str">
        <f t="shared" si="6"/>
        <v/>
      </c>
      <c r="C1511" s="28"/>
      <c r="D1511" s="89"/>
      <c r="E1511" s="90"/>
      <c r="F1511" s="20"/>
      <c r="G1511" s="37"/>
      <c r="H1511" s="37"/>
      <c r="I1511" s="32"/>
      <c r="J1511" s="32"/>
      <c r="K1511" s="53"/>
      <c r="L1511" s="32"/>
      <c r="M1511" s="33"/>
      <c r="N1511" s="33"/>
      <c r="O1511" s="33"/>
      <c r="P1511" s="33"/>
      <c r="Q1511" s="33"/>
      <c r="R1511" s="33"/>
      <c r="S1511" s="33"/>
      <c r="T1511" s="33"/>
      <c r="U1511" s="33"/>
      <c r="V1511" s="33"/>
      <c r="W1511" s="33"/>
      <c r="X1511" s="33"/>
      <c r="Y1511" s="33"/>
      <c r="Z1511" s="33"/>
      <c r="AA1511" s="33"/>
      <c r="AB1511" s="33"/>
      <c r="AC1511" s="33"/>
    </row>
    <row r="1512" ht="15.75" customHeight="1">
      <c r="A1512" s="27"/>
      <c r="B1512" s="16" t="str">
        <f t="shared" si="6"/>
        <v/>
      </c>
      <c r="C1512" s="28"/>
      <c r="D1512" s="89"/>
      <c r="E1512" s="90"/>
      <c r="F1512" s="20"/>
      <c r="G1512" s="37"/>
      <c r="H1512" s="37"/>
      <c r="I1512" s="32"/>
      <c r="J1512" s="32"/>
      <c r="K1512" s="53"/>
      <c r="L1512" s="32"/>
      <c r="M1512" s="33"/>
      <c r="N1512" s="33"/>
      <c r="O1512" s="33"/>
      <c r="P1512" s="33"/>
      <c r="Q1512" s="33"/>
      <c r="R1512" s="33"/>
      <c r="S1512" s="33"/>
      <c r="T1512" s="33"/>
      <c r="U1512" s="33"/>
      <c r="V1512" s="33"/>
      <c r="W1512" s="33"/>
      <c r="X1512" s="33"/>
      <c r="Y1512" s="33"/>
      <c r="Z1512" s="33"/>
      <c r="AA1512" s="33"/>
      <c r="AB1512" s="33"/>
      <c r="AC1512" s="33"/>
    </row>
    <row r="1513" ht="15.75" customHeight="1">
      <c r="A1513" s="27"/>
      <c r="B1513" s="16" t="str">
        <f t="shared" si="6"/>
        <v/>
      </c>
      <c r="C1513" s="28"/>
      <c r="D1513" s="89"/>
      <c r="E1513" s="90"/>
      <c r="F1513" s="20"/>
      <c r="G1513" s="37"/>
      <c r="H1513" s="37"/>
      <c r="I1513" s="32"/>
      <c r="J1513" s="32"/>
      <c r="K1513" s="53"/>
      <c r="L1513" s="32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</row>
    <row r="1514" ht="15.75" customHeight="1">
      <c r="A1514" s="27"/>
      <c r="B1514" s="16" t="str">
        <f t="shared" si="6"/>
        <v/>
      </c>
      <c r="C1514" s="28"/>
      <c r="D1514" s="89"/>
      <c r="E1514" s="90"/>
      <c r="F1514" s="20"/>
      <c r="G1514" s="37"/>
      <c r="H1514" s="37"/>
      <c r="I1514" s="32"/>
      <c r="J1514" s="32"/>
      <c r="K1514" s="53"/>
      <c r="L1514" s="32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</row>
    <row r="1515" ht="15.75" customHeight="1">
      <c r="A1515" s="27"/>
      <c r="B1515" s="16" t="str">
        <f t="shared" si="6"/>
        <v/>
      </c>
      <c r="C1515" s="28"/>
      <c r="D1515" s="89"/>
      <c r="E1515" s="90"/>
      <c r="F1515" s="20"/>
      <c r="G1515" s="37"/>
      <c r="H1515" s="37"/>
      <c r="I1515" s="32"/>
      <c r="J1515" s="32"/>
      <c r="K1515" s="53"/>
      <c r="L1515" s="32"/>
      <c r="M1515" s="33"/>
      <c r="N1515" s="33"/>
      <c r="O1515" s="33"/>
      <c r="P1515" s="33"/>
      <c r="Q1515" s="33"/>
      <c r="R1515" s="33"/>
      <c r="S1515" s="33"/>
      <c r="T1515" s="33"/>
      <c r="U1515" s="33"/>
      <c r="V1515" s="33"/>
      <c r="W1515" s="33"/>
      <c r="X1515" s="33"/>
      <c r="Y1515" s="33"/>
      <c r="Z1515" s="33"/>
      <c r="AA1515" s="33"/>
      <c r="AB1515" s="33"/>
      <c r="AC1515" s="33"/>
    </row>
    <row r="1516" ht="15.75" customHeight="1">
      <c r="A1516" s="27"/>
      <c r="B1516" s="16" t="str">
        <f t="shared" si="6"/>
        <v/>
      </c>
      <c r="C1516" s="28"/>
      <c r="D1516" s="89"/>
      <c r="E1516" s="90"/>
      <c r="F1516" s="20"/>
      <c r="G1516" s="37"/>
      <c r="H1516" s="37"/>
      <c r="I1516" s="32"/>
      <c r="J1516" s="32"/>
      <c r="K1516" s="53"/>
      <c r="L1516" s="32"/>
      <c r="M1516" s="33"/>
      <c r="N1516" s="33"/>
      <c r="O1516" s="33"/>
      <c r="P1516" s="33"/>
      <c r="Q1516" s="33"/>
      <c r="R1516" s="33"/>
      <c r="S1516" s="33"/>
      <c r="T1516" s="33"/>
      <c r="U1516" s="33"/>
      <c r="V1516" s="33"/>
      <c r="W1516" s="33"/>
      <c r="X1516" s="33"/>
      <c r="Y1516" s="33"/>
      <c r="Z1516" s="33"/>
      <c r="AA1516" s="33"/>
      <c r="AB1516" s="33"/>
      <c r="AC1516" s="33"/>
    </row>
    <row r="1517" ht="15.75" customHeight="1">
      <c r="A1517" s="27"/>
      <c r="B1517" s="16" t="str">
        <f t="shared" si="6"/>
        <v/>
      </c>
      <c r="C1517" s="28"/>
      <c r="D1517" s="89"/>
      <c r="E1517" s="90"/>
      <c r="F1517" s="20"/>
      <c r="G1517" s="37"/>
      <c r="H1517" s="37"/>
      <c r="I1517" s="32"/>
      <c r="J1517" s="32"/>
      <c r="K1517" s="53"/>
      <c r="L1517" s="32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</row>
    <row r="1518" ht="15.75" customHeight="1">
      <c r="A1518" s="27"/>
      <c r="B1518" s="16" t="str">
        <f t="shared" si="6"/>
        <v/>
      </c>
      <c r="C1518" s="28"/>
      <c r="D1518" s="89"/>
      <c r="E1518" s="90"/>
      <c r="F1518" s="20"/>
      <c r="G1518" s="37"/>
      <c r="H1518" s="37"/>
      <c r="I1518" s="32"/>
      <c r="J1518" s="32"/>
      <c r="K1518" s="53"/>
      <c r="L1518" s="32"/>
      <c r="M1518" s="33"/>
      <c r="N1518" s="33"/>
      <c r="O1518" s="33"/>
      <c r="P1518" s="33"/>
      <c r="Q1518" s="33"/>
      <c r="R1518" s="33"/>
      <c r="S1518" s="33"/>
      <c r="T1518" s="33"/>
      <c r="U1518" s="33"/>
      <c r="V1518" s="33"/>
      <c r="W1518" s="33"/>
      <c r="X1518" s="33"/>
      <c r="Y1518" s="33"/>
      <c r="Z1518" s="33"/>
      <c r="AA1518" s="33"/>
      <c r="AB1518" s="33"/>
      <c r="AC1518" s="33"/>
    </row>
    <row r="1519" ht="15.75" customHeight="1">
      <c r="A1519" s="27"/>
      <c r="B1519" s="16" t="str">
        <f t="shared" si="6"/>
        <v/>
      </c>
      <c r="C1519" s="28"/>
      <c r="D1519" s="89"/>
      <c r="E1519" s="90"/>
      <c r="F1519" s="20"/>
      <c r="G1519" s="37"/>
      <c r="H1519" s="37"/>
      <c r="I1519" s="32"/>
      <c r="J1519" s="32"/>
      <c r="K1519" s="53"/>
      <c r="L1519" s="32"/>
      <c r="M1519" s="33"/>
      <c r="N1519" s="33"/>
      <c r="O1519" s="33"/>
      <c r="P1519" s="33"/>
      <c r="Q1519" s="33"/>
      <c r="R1519" s="33"/>
      <c r="S1519" s="33"/>
      <c r="T1519" s="33"/>
      <c r="U1519" s="33"/>
      <c r="V1519" s="33"/>
      <c r="W1519" s="33"/>
      <c r="X1519" s="33"/>
      <c r="Y1519" s="33"/>
      <c r="Z1519" s="33"/>
      <c r="AA1519" s="33"/>
      <c r="AB1519" s="33"/>
      <c r="AC1519" s="33"/>
    </row>
    <row r="1520" ht="15.75" customHeight="1">
      <c r="A1520" s="27"/>
      <c r="B1520" s="16" t="str">
        <f t="shared" si="6"/>
        <v/>
      </c>
      <c r="C1520" s="28"/>
      <c r="D1520" s="89"/>
      <c r="E1520" s="90"/>
      <c r="F1520" s="20"/>
      <c r="G1520" s="37"/>
      <c r="H1520" s="37"/>
      <c r="I1520" s="32"/>
      <c r="J1520" s="32"/>
      <c r="K1520" s="53"/>
      <c r="L1520" s="32"/>
      <c r="M1520" s="33"/>
      <c r="N1520" s="33"/>
      <c r="O1520" s="33"/>
      <c r="P1520" s="33"/>
      <c r="Q1520" s="33"/>
      <c r="R1520" s="33"/>
      <c r="S1520" s="33"/>
      <c r="T1520" s="33"/>
      <c r="U1520" s="33"/>
      <c r="V1520" s="33"/>
      <c r="W1520" s="33"/>
      <c r="X1520" s="33"/>
      <c r="Y1520" s="33"/>
      <c r="Z1520" s="33"/>
      <c r="AA1520" s="33"/>
      <c r="AB1520" s="33"/>
      <c r="AC1520" s="33"/>
    </row>
    <row r="1521" ht="15.75" customHeight="1">
      <c r="A1521" s="27"/>
      <c r="B1521" s="16" t="str">
        <f t="shared" si="6"/>
        <v/>
      </c>
      <c r="C1521" s="28"/>
      <c r="D1521" s="89"/>
      <c r="E1521" s="90"/>
      <c r="F1521" s="20"/>
      <c r="G1521" s="37"/>
      <c r="H1521" s="37"/>
      <c r="I1521" s="32"/>
      <c r="J1521" s="32"/>
      <c r="K1521" s="53"/>
      <c r="L1521" s="32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</row>
    <row r="1522" ht="15.75" customHeight="1">
      <c r="A1522" s="27"/>
      <c r="B1522" s="16" t="str">
        <f t="shared" si="6"/>
        <v/>
      </c>
      <c r="C1522" s="28"/>
      <c r="D1522" s="89"/>
      <c r="E1522" s="90"/>
      <c r="F1522" s="20"/>
      <c r="G1522" s="37"/>
      <c r="H1522" s="37"/>
      <c r="I1522" s="32"/>
      <c r="J1522" s="32"/>
      <c r="K1522" s="53"/>
      <c r="L1522" s="32"/>
      <c r="M1522" s="33"/>
      <c r="N1522" s="33"/>
      <c r="O1522" s="33"/>
      <c r="P1522" s="33"/>
      <c r="Q1522" s="33"/>
      <c r="R1522" s="33"/>
      <c r="S1522" s="33"/>
      <c r="T1522" s="33"/>
      <c r="U1522" s="33"/>
      <c r="V1522" s="33"/>
      <c r="W1522" s="33"/>
      <c r="X1522" s="33"/>
      <c r="Y1522" s="33"/>
      <c r="Z1522" s="33"/>
      <c r="AA1522" s="33"/>
      <c r="AB1522" s="33"/>
      <c r="AC1522" s="33"/>
    </row>
    <row r="1523" ht="15.75" customHeight="1">
      <c r="A1523" s="27"/>
      <c r="B1523" s="16"/>
      <c r="C1523" s="28"/>
      <c r="D1523" s="89"/>
      <c r="E1523" s="90"/>
      <c r="F1523" s="20"/>
      <c r="G1523" s="37"/>
      <c r="H1523" s="37"/>
      <c r="I1523" s="32"/>
      <c r="J1523" s="32"/>
      <c r="K1523" s="53"/>
      <c r="L1523" s="32"/>
      <c r="M1523" s="33"/>
      <c r="N1523" s="33"/>
      <c r="O1523" s="33"/>
      <c r="P1523" s="33"/>
      <c r="Q1523" s="33"/>
      <c r="R1523" s="33"/>
      <c r="S1523" s="33"/>
      <c r="T1523" s="33"/>
      <c r="U1523" s="33"/>
      <c r="V1523" s="33"/>
      <c r="W1523" s="33"/>
      <c r="X1523" s="33"/>
      <c r="Y1523" s="33"/>
      <c r="Z1523" s="33"/>
      <c r="AA1523" s="33"/>
      <c r="AB1523" s="33"/>
      <c r="AC1523" s="33"/>
    </row>
    <row r="1524" ht="15.75" customHeight="1">
      <c r="A1524" s="27"/>
      <c r="B1524" s="16"/>
      <c r="C1524" s="28"/>
      <c r="D1524" s="89"/>
      <c r="E1524" s="90"/>
      <c r="F1524" s="20"/>
      <c r="G1524" s="37"/>
      <c r="H1524" s="37"/>
      <c r="I1524" s="32"/>
      <c r="J1524" s="32"/>
      <c r="K1524" s="53"/>
      <c r="L1524" s="32"/>
      <c r="M1524" s="33"/>
      <c r="N1524" s="33"/>
      <c r="O1524" s="33"/>
      <c r="P1524" s="33"/>
      <c r="Q1524" s="33"/>
      <c r="R1524" s="33"/>
      <c r="S1524" s="33"/>
      <c r="T1524" s="33"/>
      <c r="U1524" s="33"/>
      <c r="V1524" s="33"/>
      <c r="W1524" s="33"/>
      <c r="X1524" s="33"/>
      <c r="Y1524" s="33"/>
      <c r="Z1524" s="33"/>
      <c r="AA1524" s="33"/>
      <c r="AB1524" s="33"/>
      <c r="AC1524" s="33"/>
    </row>
    <row r="1525" ht="15.75" customHeight="1">
      <c r="A1525" s="27"/>
      <c r="B1525" s="16"/>
      <c r="C1525" s="28"/>
      <c r="D1525" s="89"/>
      <c r="E1525" s="90"/>
      <c r="F1525" s="20"/>
      <c r="G1525" s="37"/>
      <c r="H1525" s="37"/>
      <c r="I1525" s="32"/>
      <c r="J1525" s="32"/>
      <c r="K1525" s="53"/>
      <c r="L1525" s="32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</row>
    <row r="1526" ht="15.75" customHeight="1">
      <c r="A1526" s="27"/>
      <c r="B1526" s="16"/>
      <c r="C1526" s="28"/>
      <c r="D1526" s="89"/>
      <c r="E1526" s="90"/>
      <c r="F1526" s="20"/>
      <c r="G1526" s="37"/>
      <c r="H1526" s="37"/>
      <c r="I1526" s="32"/>
      <c r="J1526" s="32"/>
      <c r="K1526" s="53"/>
      <c r="L1526" s="32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</row>
    <row r="1527" ht="15.75" customHeight="1">
      <c r="A1527" s="27"/>
      <c r="B1527" s="16"/>
      <c r="C1527" s="28"/>
      <c r="D1527" s="89"/>
      <c r="E1527" s="90"/>
      <c r="F1527" s="20"/>
      <c r="G1527" s="37"/>
      <c r="H1527" s="37"/>
      <c r="I1527" s="32"/>
      <c r="J1527" s="32"/>
      <c r="K1527" s="53"/>
      <c r="L1527" s="32"/>
      <c r="M1527" s="33"/>
      <c r="N1527" s="33"/>
      <c r="O1527" s="33"/>
      <c r="P1527" s="33"/>
      <c r="Q1527" s="33"/>
      <c r="R1527" s="33"/>
      <c r="S1527" s="33"/>
      <c r="T1527" s="33"/>
      <c r="U1527" s="33"/>
      <c r="V1527" s="33"/>
      <c r="W1527" s="33"/>
      <c r="X1527" s="33"/>
      <c r="Y1527" s="33"/>
      <c r="Z1527" s="33"/>
      <c r="AA1527" s="33"/>
      <c r="AB1527" s="33"/>
      <c r="AC1527" s="33"/>
    </row>
    <row r="1528" ht="15.75" customHeight="1">
      <c r="A1528" s="27"/>
      <c r="B1528" s="16"/>
      <c r="C1528" s="28"/>
      <c r="D1528" s="89"/>
      <c r="E1528" s="90"/>
      <c r="F1528" s="20"/>
      <c r="G1528" s="37"/>
      <c r="H1528" s="37"/>
      <c r="I1528" s="32"/>
      <c r="J1528" s="32"/>
      <c r="K1528" s="53"/>
      <c r="L1528" s="32"/>
      <c r="M1528" s="33"/>
      <c r="N1528" s="33"/>
      <c r="O1528" s="33"/>
      <c r="P1528" s="33"/>
      <c r="Q1528" s="33"/>
      <c r="R1528" s="33"/>
      <c r="S1528" s="33"/>
      <c r="T1528" s="33"/>
      <c r="U1528" s="33"/>
      <c r="V1528" s="33"/>
      <c r="W1528" s="33"/>
      <c r="X1528" s="33"/>
      <c r="Y1528" s="33"/>
      <c r="Z1528" s="33"/>
      <c r="AA1528" s="33"/>
      <c r="AB1528" s="33"/>
      <c r="AC1528" s="33"/>
    </row>
    <row r="1529" ht="15.75" customHeight="1">
      <c r="A1529" s="27"/>
      <c r="B1529" s="16"/>
      <c r="C1529" s="28"/>
      <c r="D1529" s="89"/>
      <c r="E1529" s="90"/>
      <c r="F1529" s="20"/>
      <c r="G1529" s="37"/>
      <c r="H1529" s="37"/>
      <c r="I1529" s="32"/>
      <c r="J1529" s="32"/>
      <c r="K1529" s="53"/>
      <c r="L1529" s="32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</row>
    <row r="1530" ht="15.75" customHeight="1">
      <c r="A1530" s="27"/>
      <c r="B1530" s="16"/>
      <c r="C1530" s="28"/>
      <c r="D1530" s="89"/>
      <c r="E1530" s="90"/>
      <c r="F1530" s="20"/>
      <c r="G1530" s="37"/>
      <c r="H1530" s="37"/>
      <c r="I1530" s="32"/>
      <c r="J1530" s="32"/>
      <c r="K1530" s="53"/>
      <c r="L1530" s="32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</row>
    <row r="1531" ht="15.75" customHeight="1">
      <c r="A1531" s="27"/>
      <c r="B1531" s="16"/>
      <c r="C1531" s="28"/>
      <c r="D1531" s="89"/>
      <c r="E1531" s="90"/>
      <c r="F1531" s="20"/>
      <c r="G1531" s="37"/>
      <c r="H1531" s="37"/>
      <c r="I1531" s="32"/>
      <c r="J1531" s="32"/>
      <c r="K1531" s="53"/>
      <c r="L1531" s="32"/>
      <c r="M1531" s="33"/>
      <c r="N1531" s="33"/>
      <c r="O1531" s="33"/>
      <c r="P1531" s="33"/>
      <c r="Q1531" s="33"/>
      <c r="R1531" s="33"/>
      <c r="S1531" s="33"/>
      <c r="T1531" s="33"/>
      <c r="U1531" s="33"/>
      <c r="V1531" s="33"/>
      <c r="W1531" s="33"/>
      <c r="X1531" s="33"/>
      <c r="Y1531" s="33"/>
      <c r="Z1531" s="33"/>
      <c r="AA1531" s="33"/>
      <c r="AB1531" s="33"/>
      <c r="AC1531" s="33"/>
    </row>
    <row r="1532" ht="15.75" customHeight="1">
      <c r="A1532" s="27"/>
      <c r="B1532" s="16"/>
      <c r="C1532" s="28"/>
      <c r="D1532" s="89"/>
      <c r="E1532" s="90"/>
      <c r="F1532" s="20"/>
      <c r="G1532" s="37"/>
      <c r="H1532" s="37"/>
      <c r="I1532" s="32"/>
      <c r="J1532" s="32"/>
      <c r="K1532" s="53"/>
      <c r="L1532" s="32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33"/>
    </row>
    <row r="1533" ht="15.75" customHeight="1">
      <c r="A1533" s="27"/>
      <c r="B1533" s="16"/>
      <c r="C1533" s="28"/>
      <c r="D1533" s="89"/>
      <c r="E1533" s="90"/>
      <c r="F1533" s="20"/>
      <c r="G1533" s="37"/>
      <c r="H1533" s="37"/>
      <c r="I1533" s="32"/>
      <c r="J1533" s="32"/>
      <c r="K1533" s="53"/>
      <c r="L1533" s="32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</row>
    <row r="1534" ht="15.75" customHeight="1">
      <c r="A1534" s="27"/>
      <c r="B1534" s="16"/>
      <c r="C1534" s="28"/>
      <c r="D1534" s="89"/>
      <c r="E1534" s="90"/>
      <c r="F1534" s="20"/>
      <c r="G1534" s="37"/>
      <c r="H1534" s="37"/>
      <c r="I1534" s="32"/>
      <c r="J1534" s="32"/>
      <c r="K1534" s="53"/>
      <c r="L1534" s="32"/>
      <c r="M1534" s="33"/>
      <c r="N1534" s="33"/>
      <c r="O1534" s="33"/>
      <c r="P1534" s="33"/>
      <c r="Q1534" s="33"/>
      <c r="R1534" s="33"/>
      <c r="S1534" s="33"/>
      <c r="T1534" s="33"/>
      <c r="U1534" s="33"/>
      <c r="V1534" s="33"/>
      <c r="W1534" s="33"/>
      <c r="X1534" s="33"/>
      <c r="Y1534" s="33"/>
      <c r="Z1534" s="33"/>
      <c r="AA1534" s="33"/>
      <c r="AB1534" s="33"/>
      <c r="AC1534" s="33"/>
    </row>
    <row r="1535" ht="15.75" customHeight="1">
      <c r="A1535" s="27"/>
      <c r="B1535" s="16"/>
      <c r="C1535" s="28"/>
      <c r="D1535" s="89"/>
      <c r="E1535" s="90"/>
      <c r="F1535" s="20"/>
      <c r="G1535" s="37"/>
      <c r="H1535" s="37"/>
      <c r="I1535" s="32"/>
      <c r="J1535" s="32"/>
      <c r="K1535" s="53"/>
      <c r="L1535" s="32"/>
      <c r="M1535" s="33"/>
      <c r="N1535" s="33"/>
      <c r="O1535" s="33"/>
      <c r="P1535" s="33"/>
      <c r="Q1535" s="33"/>
      <c r="R1535" s="33"/>
      <c r="S1535" s="33"/>
      <c r="T1535" s="33"/>
      <c r="U1535" s="33"/>
      <c r="V1535" s="33"/>
      <c r="W1535" s="33"/>
      <c r="X1535" s="33"/>
      <c r="Y1535" s="33"/>
      <c r="Z1535" s="33"/>
      <c r="AA1535" s="33"/>
      <c r="AB1535" s="33"/>
      <c r="AC1535" s="33"/>
    </row>
    <row r="1536" ht="15.75" customHeight="1">
      <c r="A1536" s="27"/>
      <c r="B1536" s="16"/>
      <c r="C1536" s="28"/>
      <c r="D1536" s="89"/>
      <c r="E1536" s="90"/>
      <c r="F1536" s="20"/>
      <c r="G1536" s="37"/>
      <c r="H1536" s="37"/>
      <c r="I1536" s="32"/>
      <c r="J1536" s="32"/>
      <c r="K1536" s="53"/>
      <c r="L1536" s="32"/>
      <c r="M1536" s="33"/>
      <c r="N1536" s="33"/>
      <c r="O1536" s="33"/>
      <c r="P1536" s="33"/>
      <c r="Q1536" s="33"/>
      <c r="R1536" s="33"/>
      <c r="S1536" s="33"/>
      <c r="T1536" s="33"/>
      <c r="U1536" s="33"/>
      <c r="V1536" s="33"/>
      <c r="W1536" s="33"/>
      <c r="X1536" s="33"/>
      <c r="Y1536" s="33"/>
      <c r="Z1536" s="33"/>
      <c r="AA1536" s="33"/>
      <c r="AB1536" s="33"/>
      <c r="AC1536" s="33"/>
    </row>
    <row r="1537" ht="15.75" customHeight="1">
      <c r="A1537" s="27"/>
      <c r="B1537" s="16"/>
      <c r="C1537" s="28"/>
      <c r="D1537" s="89"/>
      <c r="E1537" s="90"/>
      <c r="F1537" s="20"/>
      <c r="G1537" s="37"/>
      <c r="H1537" s="37"/>
      <c r="I1537" s="32"/>
      <c r="J1537" s="32"/>
      <c r="K1537" s="53"/>
      <c r="L1537" s="32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</row>
    <row r="1538" ht="15.75" customHeight="1">
      <c r="A1538" s="27"/>
      <c r="B1538" s="16"/>
      <c r="C1538" s="28"/>
      <c r="D1538" s="89"/>
      <c r="E1538" s="90"/>
      <c r="F1538" s="20"/>
      <c r="G1538" s="37"/>
      <c r="H1538" s="37"/>
      <c r="I1538" s="32"/>
      <c r="J1538" s="32"/>
      <c r="K1538" s="53"/>
      <c r="L1538" s="32"/>
      <c r="M1538" s="33"/>
      <c r="N1538" s="33"/>
      <c r="O1538" s="33"/>
      <c r="P1538" s="33"/>
      <c r="Q1538" s="33"/>
      <c r="R1538" s="33"/>
      <c r="S1538" s="33"/>
      <c r="T1538" s="33"/>
      <c r="U1538" s="33"/>
      <c r="V1538" s="33"/>
      <c r="W1538" s="33"/>
      <c r="X1538" s="33"/>
      <c r="Y1538" s="33"/>
      <c r="Z1538" s="33"/>
      <c r="AA1538" s="33"/>
      <c r="AB1538" s="33"/>
      <c r="AC1538" s="33"/>
    </row>
    <row r="1539" ht="15.75" customHeight="1">
      <c r="A1539" s="27"/>
      <c r="B1539" s="16"/>
      <c r="C1539" s="28"/>
      <c r="D1539" s="89"/>
      <c r="E1539" s="90"/>
      <c r="F1539" s="20"/>
      <c r="G1539" s="37"/>
      <c r="H1539" s="37"/>
      <c r="I1539" s="32"/>
      <c r="J1539" s="32"/>
      <c r="K1539" s="53"/>
      <c r="L1539" s="32"/>
      <c r="M1539" s="33"/>
      <c r="N1539" s="33"/>
      <c r="O1539" s="33"/>
      <c r="P1539" s="33"/>
      <c r="Q1539" s="33"/>
      <c r="R1539" s="33"/>
      <c r="S1539" s="33"/>
      <c r="T1539" s="33"/>
      <c r="U1539" s="33"/>
      <c r="V1539" s="33"/>
      <c r="W1539" s="33"/>
      <c r="X1539" s="33"/>
      <c r="Y1539" s="33"/>
      <c r="Z1539" s="33"/>
      <c r="AA1539" s="33"/>
      <c r="AB1539" s="33"/>
      <c r="AC1539" s="33"/>
    </row>
    <row r="1540" ht="15.75" customHeight="1">
      <c r="A1540" s="27"/>
      <c r="B1540" s="16"/>
      <c r="C1540" s="28"/>
      <c r="D1540" s="89"/>
      <c r="E1540" s="90"/>
      <c r="F1540" s="20"/>
      <c r="G1540" s="37"/>
      <c r="H1540" s="37"/>
      <c r="I1540" s="32"/>
      <c r="J1540" s="32"/>
      <c r="K1540" s="53"/>
      <c r="L1540" s="32"/>
      <c r="M1540" s="33"/>
      <c r="N1540" s="33"/>
      <c r="O1540" s="33"/>
      <c r="P1540" s="33"/>
      <c r="Q1540" s="33"/>
      <c r="R1540" s="33"/>
      <c r="S1540" s="33"/>
      <c r="T1540" s="33"/>
      <c r="U1540" s="33"/>
      <c r="V1540" s="33"/>
      <c r="W1540" s="33"/>
      <c r="X1540" s="33"/>
      <c r="Y1540" s="33"/>
      <c r="Z1540" s="33"/>
      <c r="AA1540" s="33"/>
      <c r="AB1540" s="33"/>
      <c r="AC1540" s="33"/>
    </row>
    <row r="1541" ht="15.75" customHeight="1">
      <c r="A1541" s="27"/>
      <c r="B1541" s="16"/>
      <c r="C1541" s="28"/>
      <c r="D1541" s="89"/>
      <c r="E1541" s="90"/>
      <c r="F1541" s="20"/>
      <c r="G1541" s="37"/>
      <c r="H1541" s="37"/>
      <c r="I1541" s="32"/>
      <c r="J1541" s="32"/>
      <c r="K1541" s="53"/>
      <c r="L1541" s="32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</row>
    <row r="1542" ht="15.75" customHeight="1">
      <c r="A1542" s="27"/>
      <c r="B1542" s="16"/>
      <c r="C1542" s="28"/>
      <c r="D1542" s="89"/>
      <c r="E1542" s="90"/>
      <c r="F1542" s="20"/>
      <c r="G1542" s="37"/>
      <c r="H1542" s="37"/>
      <c r="I1542" s="32"/>
      <c r="J1542" s="32"/>
      <c r="K1542" s="53"/>
      <c r="L1542" s="32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33"/>
      <c r="Z1542" s="33"/>
      <c r="AA1542" s="33"/>
      <c r="AB1542" s="33"/>
      <c r="AC1542" s="33"/>
    </row>
    <row r="1543" ht="15.75" customHeight="1">
      <c r="A1543" s="27"/>
      <c r="B1543" s="16"/>
      <c r="C1543" s="28"/>
      <c r="D1543" s="89"/>
      <c r="E1543" s="90"/>
      <c r="F1543" s="20"/>
      <c r="G1543" s="37"/>
      <c r="H1543" s="37"/>
      <c r="I1543" s="32"/>
      <c r="J1543" s="32"/>
      <c r="K1543" s="53"/>
      <c r="L1543" s="32"/>
      <c r="M1543" s="33"/>
      <c r="N1543" s="33"/>
      <c r="O1543" s="33"/>
      <c r="P1543" s="33"/>
      <c r="Q1543" s="33"/>
      <c r="R1543" s="33"/>
      <c r="S1543" s="33"/>
      <c r="T1543" s="33"/>
      <c r="U1543" s="33"/>
      <c r="V1543" s="33"/>
      <c r="W1543" s="33"/>
      <c r="X1543" s="33"/>
      <c r="Y1543" s="33"/>
      <c r="Z1543" s="33"/>
      <c r="AA1543" s="33"/>
      <c r="AB1543" s="33"/>
      <c r="AC1543" s="33"/>
    </row>
    <row r="1544" ht="15.75" customHeight="1">
      <c r="A1544" s="27"/>
      <c r="B1544" s="16"/>
      <c r="C1544" s="28"/>
      <c r="D1544" s="89"/>
      <c r="E1544" s="90"/>
      <c r="F1544" s="20"/>
      <c r="G1544" s="37"/>
      <c r="H1544" s="37"/>
      <c r="I1544" s="32"/>
      <c r="J1544" s="32"/>
      <c r="K1544" s="53"/>
      <c r="L1544" s="32"/>
      <c r="M1544" s="33"/>
      <c r="N1544" s="33"/>
      <c r="O1544" s="33"/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/>
      <c r="AB1544" s="33"/>
      <c r="AC1544" s="33"/>
    </row>
    <row r="1545" ht="15.75" customHeight="1">
      <c r="A1545" s="27"/>
      <c r="B1545" s="16"/>
      <c r="C1545" s="28"/>
      <c r="D1545" s="89"/>
      <c r="E1545" s="90"/>
      <c r="F1545" s="20"/>
      <c r="G1545" s="37"/>
      <c r="H1545" s="37"/>
      <c r="I1545" s="32"/>
      <c r="J1545" s="32"/>
      <c r="K1545" s="53"/>
      <c r="L1545" s="32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</row>
    <row r="1546" ht="15.75" customHeight="1">
      <c r="A1546" s="27"/>
      <c r="B1546" s="16"/>
      <c r="C1546" s="28"/>
      <c r="D1546" s="89"/>
      <c r="E1546" s="90"/>
      <c r="F1546" s="20"/>
      <c r="G1546" s="37"/>
      <c r="H1546" s="37"/>
      <c r="I1546" s="32"/>
      <c r="J1546" s="32"/>
      <c r="K1546" s="53"/>
      <c r="L1546" s="32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</row>
    <row r="1547" ht="15.75" customHeight="1">
      <c r="A1547" s="27"/>
      <c r="B1547" s="16"/>
      <c r="C1547" s="28"/>
      <c r="D1547" s="89"/>
      <c r="E1547" s="90"/>
      <c r="F1547" s="20"/>
      <c r="G1547" s="37"/>
      <c r="H1547" s="37"/>
      <c r="I1547" s="32"/>
      <c r="J1547" s="32"/>
      <c r="K1547" s="53"/>
      <c r="L1547" s="32"/>
      <c r="M1547" s="33"/>
      <c r="N1547" s="33"/>
      <c r="O1547" s="33"/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/>
      <c r="AB1547" s="33"/>
      <c r="AC1547" s="33"/>
    </row>
    <row r="1548" ht="15.75" customHeight="1">
      <c r="A1548" s="27"/>
      <c r="B1548" s="16"/>
      <c r="C1548" s="28"/>
      <c r="D1548" s="89"/>
      <c r="E1548" s="90"/>
      <c r="F1548" s="20"/>
      <c r="G1548" s="37"/>
      <c r="H1548" s="37"/>
      <c r="I1548" s="32"/>
      <c r="J1548" s="32"/>
      <c r="K1548" s="53"/>
      <c r="L1548" s="32"/>
      <c r="M1548" s="33"/>
      <c r="N1548" s="33"/>
      <c r="O1548" s="33"/>
      <c r="P1548" s="33"/>
      <c r="Q1548" s="33"/>
      <c r="R1548" s="33"/>
      <c r="S1548" s="33"/>
      <c r="T1548" s="33"/>
      <c r="U1548" s="33"/>
      <c r="V1548" s="33"/>
      <c r="W1548" s="33"/>
      <c r="X1548" s="33"/>
      <c r="Y1548" s="33"/>
      <c r="Z1548" s="33"/>
      <c r="AA1548" s="33"/>
      <c r="AB1548" s="33"/>
      <c r="AC1548" s="33"/>
    </row>
    <row r="1549" ht="15.75" customHeight="1">
      <c r="A1549" s="27"/>
      <c r="B1549" s="16"/>
      <c r="C1549" s="28"/>
      <c r="D1549" s="89"/>
      <c r="E1549" s="90"/>
      <c r="F1549" s="20"/>
      <c r="G1549" s="37"/>
      <c r="H1549" s="37"/>
      <c r="I1549" s="32"/>
      <c r="J1549" s="32"/>
      <c r="K1549" s="53"/>
      <c r="L1549" s="32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</row>
    <row r="1550" ht="15.75" customHeight="1">
      <c r="A1550" s="27"/>
      <c r="B1550" s="16"/>
      <c r="C1550" s="28"/>
      <c r="D1550" s="89"/>
      <c r="E1550" s="90"/>
      <c r="F1550" s="20"/>
      <c r="G1550" s="37"/>
      <c r="H1550" s="37"/>
      <c r="I1550" s="32"/>
      <c r="J1550" s="32"/>
      <c r="K1550" s="53"/>
      <c r="L1550" s="32"/>
      <c r="M1550" s="33"/>
      <c r="N1550" s="33"/>
      <c r="O1550" s="33"/>
      <c r="P1550" s="33"/>
      <c r="Q1550" s="33"/>
      <c r="R1550" s="33"/>
      <c r="S1550" s="33"/>
      <c r="T1550" s="33"/>
      <c r="U1550" s="33"/>
      <c r="V1550" s="33"/>
      <c r="W1550" s="33"/>
      <c r="X1550" s="33"/>
      <c r="Y1550" s="33"/>
      <c r="Z1550" s="33"/>
      <c r="AA1550" s="33"/>
      <c r="AB1550" s="33"/>
      <c r="AC1550" s="33"/>
    </row>
    <row r="1551" ht="15.75" customHeight="1">
      <c r="A1551" s="27"/>
      <c r="B1551" s="16"/>
      <c r="C1551" s="28"/>
      <c r="D1551" s="89"/>
      <c r="E1551" s="90"/>
      <c r="F1551" s="20"/>
      <c r="G1551" s="37"/>
      <c r="H1551" s="37"/>
      <c r="I1551" s="32"/>
      <c r="J1551" s="32"/>
      <c r="K1551" s="53"/>
      <c r="L1551" s="32"/>
      <c r="M1551" s="33"/>
      <c r="N1551" s="33"/>
      <c r="O1551" s="33"/>
      <c r="P1551" s="33"/>
      <c r="Q1551" s="33"/>
      <c r="R1551" s="33"/>
      <c r="S1551" s="33"/>
      <c r="T1551" s="33"/>
      <c r="U1551" s="33"/>
      <c r="V1551" s="33"/>
      <c r="W1551" s="33"/>
      <c r="X1551" s="33"/>
      <c r="Y1551" s="33"/>
      <c r="Z1551" s="33"/>
      <c r="AA1551" s="33"/>
      <c r="AB1551" s="33"/>
      <c r="AC1551" s="33"/>
    </row>
    <row r="1552" ht="15.75" customHeight="1">
      <c r="A1552" s="27"/>
      <c r="B1552" s="16"/>
      <c r="C1552" s="28"/>
      <c r="D1552" s="89"/>
      <c r="E1552" s="90"/>
      <c r="F1552" s="20"/>
      <c r="G1552" s="37"/>
      <c r="H1552" s="37"/>
      <c r="I1552" s="32"/>
      <c r="J1552" s="32"/>
      <c r="K1552" s="53"/>
      <c r="L1552" s="32"/>
      <c r="M1552" s="33"/>
      <c r="N1552" s="33"/>
      <c r="O1552" s="33"/>
      <c r="P1552" s="33"/>
      <c r="Q1552" s="33"/>
      <c r="R1552" s="33"/>
      <c r="S1552" s="33"/>
      <c r="T1552" s="33"/>
      <c r="U1552" s="33"/>
      <c r="V1552" s="33"/>
      <c r="W1552" s="33"/>
      <c r="X1552" s="33"/>
      <c r="Y1552" s="33"/>
      <c r="Z1552" s="33"/>
      <c r="AA1552" s="33"/>
      <c r="AB1552" s="33"/>
      <c r="AC1552" s="33"/>
    </row>
    <row r="1553" ht="15.75" customHeight="1">
      <c r="A1553" s="27"/>
      <c r="B1553" s="16"/>
      <c r="C1553" s="28"/>
      <c r="D1553" s="89"/>
      <c r="E1553" s="90"/>
      <c r="F1553" s="20"/>
      <c r="G1553" s="37"/>
      <c r="H1553" s="37"/>
      <c r="I1553" s="32"/>
      <c r="J1553" s="32"/>
      <c r="K1553" s="53"/>
      <c r="L1553" s="32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</row>
    <row r="1554" ht="15.75" customHeight="1">
      <c r="A1554" s="27"/>
      <c r="B1554" s="16"/>
      <c r="C1554" s="28"/>
      <c r="D1554" s="89"/>
      <c r="E1554" s="90"/>
      <c r="F1554" s="20"/>
      <c r="G1554" s="37"/>
      <c r="H1554" s="37"/>
      <c r="I1554" s="32"/>
      <c r="J1554" s="32"/>
      <c r="K1554" s="53"/>
      <c r="L1554" s="32"/>
      <c r="M1554" s="33"/>
      <c r="N1554" s="33"/>
      <c r="O1554" s="33"/>
      <c r="P1554" s="33"/>
      <c r="Q1554" s="33"/>
      <c r="R1554" s="33"/>
      <c r="S1554" s="33"/>
      <c r="T1554" s="33"/>
      <c r="U1554" s="33"/>
      <c r="V1554" s="33"/>
      <c r="W1554" s="33"/>
      <c r="X1554" s="33"/>
      <c r="Y1554" s="33"/>
      <c r="Z1554" s="33"/>
      <c r="AA1554" s="33"/>
      <c r="AB1554" s="33"/>
      <c r="AC1554" s="33"/>
    </row>
    <row r="1555" ht="15.75" customHeight="1">
      <c r="A1555" s="27"/>
      <c r="B1555" s="16"/>
      <c r="C1555" s="28"/>
      <c r="D1555" s="89"/>
      <c r="E1555" s="90"/>
      <c r="F1555" s="20"/>
      <c r="G1555" s="37"/>
      <c r="H1555" s="37"/>
      <c r="I1555" s="32"/>
      <c r="J1555" s="32"/>
      <c r="K1555" s="53"/>
      <c r="L1555" s="32"/>
      <c r="M1555" s="33"/>
      <c r="N1555" s="33"/>
      <c r="O1555" s="33"/>
      <c r="P1555" s="33"/>
      <c r="Q1555" s="33"/>
      <c r="R1555" s="33"/>
      <c r="S1555" s="33"/>
      <c r="T1555" s="33"/>
      <c r="U1555" s="33"/>
      <c r="V1555" s="33"/>
      <c r="W1555" s="33"/>
      <c r="X1555" s="33"/>
      <c r="Y1555" s="33"/>
      <c r="Z1555" s="33"/>
      <c r="AA1555" s="33"/>
      <c r="AB1555" s="33"/>
      <c r="AC1555" s="33"/>
    </row>
    <row r="1556" ht="15.75" customHeight="1">
      <c r="A1556" s="27"/>
      <c r="B1556" s="16"/>
      <c r="C1556" s="28"/>
      <c r="D1556" s="89"/>
      <c r="E1556" s="90"/>
      <c r="F1556" s="20"/>
      <c r="G1556" s="37"/>
      <c r="H1556" s="37"/>
      <c r="I1556" s="32"/>
      <c r="J1556" s="32"/>
      <c r="K1556" s="53"/>
      <c r="L1556" s="32"/>
      <c r="M1556" s="33"/>
      <c r="N1556" s="33"/>
      <c r="O1556" s="33"/>
      <c r="P1556" s="33"/>
      <c r="Q1556" s="33"/>
      <c r="R1556" s="33"/>
      <c r="S1556" s="33"/>
      <c r="T1556" s="33"/>
      <c r="U1556" s="33"/>
      <c r="V1556" s="33"/>
      <c r="W1556" s="33"/>
      <c r="X1556" s="33"/>
      <c r="Y1556" s="33"/>
      <c r="Z1556" s="33"/>
      <c r="AA1556" s="33"/>
      <c r="AB1556" s="33"/>
      <c r="AC1556" s="33"/>
    </row>
    <row r="1557" ht="15.75" customHeight="1">
      <c r="A1557" s="27"/>
      <c r="B1557" s="16"/>
      <c r="C1557" s="28"/>
      <c r="D1557" s="89"/>
      <c r="E1557" s="90"/>
      <c r="F1557" s="20"/>
      <c r="G1557" s="37"/>
      <c r="H1557" s="37"/>
      <c r="I1557" s="32"/>
      <c r="J1557" s="32"/>
      <c r="K1557" s="53"/>
      <c r="L1557" s="32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</row>
    <row r="1558" ht="15.75" customHeight="1">
      <c r="A1558" s="27"/>
      <c r="B1558" s="16"/>
      <c r="C1558" s="28"/>
      <c r="D1558" s="89"/>
      <c r="E1558" s="90"/>
      <c r="F1558" s="20"/>
      <c r="G1558" s="37"/>
      <c r="H1558" s="37"/>
      <c r="I1558" s="32"/>
      <c r="J1558" s="32"/>
      <c r="K1558" s="53"/>
      <c r="L1558" s="32"/>
      <c r="M1558" s="33"/>
      <c r="N1558" s="33"/>
      <c r="O1558" s="33"/>
      <c r="P1558" s="33"/>
      <c r="Q1558" s="33"/>
      <c r="R1558" s="33"/>
      <c r="S1558" s="33"/>
      <c r="T1558" s="33"/>
      <c r="U1558" s="33"/>
      <c r="V1558" s="33"/>
      <c r="W1558" s="33"/>
      <c r="X1558" s="33"/>
      <c r="Y1558" s="33"/>
      <c r="Z1558" s="33"/>
      <c r="AA1558" s="33"/>
      <c r="AB1558" s="33"/>
      <c r="AC1558" s="33"/>
    </row>
    <row r="1559" ht="15.75" customHeight="1">
      <c r="A1559" s="27"/>
      <c r="B1559" s="16"/>
      <c r="C1559" s="28"/>
      <c r="D1559" s="89"/>
      <c r="E1559" s="90"/>
      <c r="F1559" s="20"/>
      <c r="G1559" s="37"/>
      <c r="H1559" s="37"/>
      <c r="I1559" s="32"/>
      <c r="J1559" s="32"/>
      <c r="K1559" s="53"/>
      <c r="L1559" s="32"/>
      <c r="M1559" s="33"/>
      <c r="N1559" s="33"/>
      <c r="O1559" s="33"/>
      <c r="P1559" s="33"/>
      <c r="Q1559" s="33"/>
      <c r="R1559" s="33"/>
      <c r="S1559" s="33"/>
      <c r="T1559" s="33"/>
      <c r="U1559" s="33"/>
      <c r="V1559" s="33"/>
      <c r="W1559" s="33"/>
      <c r="X1559" s="33"/>
      <c r="Y1559" s="33"/>
      <c r="Z1559" s="33"/>
      <c r="AA1559" s="33"/>
      <c r="AB1559" s="33"/>
      <c r="AC1559" s="33"/>
    </row>
    <row r="1560" ht="15.75" customHeight="1">
      <c r="A1560" s="27"/>
      <c r="B1560" s="16"/>
      <c r="C1560" s="28"/>
      <c r="D1560" s="89"/>
      <c r="E1560" s="90"/>
      <c r="F1560" s="20"/>
      <c r="G1560" s="37"/>
      <c r="H1560" s="37"/>
      <c r="I1560" s="32"/>
      <c r="J1560" s="32"/>
      <c r="K1560" s="53"/>
      <c r="L1560" s="32"/>
      <c r="M1560" s="33"/>
      <c r="N1560" s="33"/>
      <c r="O1560" s="33"/>
      <c r="P1560" s="33"/>
      <c r="Q1560" s="33"/>
      <c r="R1560" s="33"/>
      <c r="S1560" s="33"/>
      <c r="T1560" s="33"/>
      <c r="U1560" s="33"/>
      <c r="V1560" s="33"/>
      <c r="W1560" s="33"/>
      <c r="X1560" s="33"/>
      <c r="Y1560" s="33"/>
      <c r="Z1560" s="33"/>
      <c r="AA1560" s="33"/>
      <c r="AB1560" s="33"/>
      <c r="AC1560" s="33"/>
    </row>
    <row r="1561" ht="15.75" customHeight="1">
      <c r="A1561" s="27"/>
      <c r="B1561" s="16"/>
      <c r="C1561" s="28"/>
      <c r="D1561" s="89"/>
      <c r="E1561" s="90"/>
      <c r="F1561" s="20"/>
      <c r="G1561" s="37"/>
      <c r="H1561" s="37"/>
      <c r="I1561" s="32"/>
      <c r="J1561" s="32"/>
      <c r="K1561" s="53"/>
      <c r="L1561" s="32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</row>
    <row r="1562" ht="15.75" customHeight="1">
      <c r="A1562" s="27"/>
      <c r="B1562" s="16"/>
      <c r="C1562" s="28"/>
      <c r="D1562" s="89"/>
      <c r="E1562" s="90"/>
      <c r="F1562" s="20"/>
      <c r="G1562" s="37"/>
      <c r="H1562" s="37"/>
      <c r="I1562" s="32"/>
      <c r="J1562" s="32"/>
      <c r="K1562" s="53"/>
      <c r="L1562" s="32"/>
      <c r="M1562" s="33"/>
      <c r="N1562" s="33"/>
      <c r="O1562" s="33"/>
      <c r="P1562" s="33"/>
      <c r="Q1562" s="33"/>
      <c r="R1562" s="33"/>
      <c r="S1562" s="33"/>
      <c r="T1562" s="33"/>
      <c r="U1562" s="33"/>
      <c r="V1562" s="33"/>
      <c r="W1562" s="33"/>
      <c r="X1562" s="33"/>
      <c r="Y1562" s="33"/>
      <c r="Z1562" s="33"/>
      <c r="AA1562" s="33"/>
      <c r="AB1562" s="33"/>
      <c r="AC1562" s="33"/>
    </row>
    <row r="1563" ht="15.75" customHeight="1">
      <c r="A1563" s="27"/>
      <c r="B1563" s="16"/>
      <c r="C1563" s="28"/>
      <c r="D1563" s="89"/>
      <c r="E1563" s="90"/>
      <c r="F1563" s="20"/>
      <c r="G1563" s="37"/>
      <c r="H1563" s="37"/>
      <c r="I1563" s="32"/>
      <c r="J1563" s="32"/>
      <c r="K1563" s="53"/>
      <c r="L1563" s="32"/>
      <c r="M1563" s="33"/>
      <c r="N1563" s="33"/>
      <c r="O1563" s="33"/>
      <c r="P1563" s="33"/>
      <c r="Q1563" s="33"/>
      <c r="R1563" s="33"/>
      <c r="S1563" s="33"/>
      <c r="T1563" s="33"/>
      <c r="U1563" s="33"/>
      <c r="V1563" s="33"/>
      <c r="W1563" s="33"/>
      <c r="X1563" s="33"/>
      <c r="Y1563" s="33"/>
      <c r="Z1563" s="33"/>
      <c r="AA1563" s="33"/>
      <c r="AB1563" s="33"/>
      <c r="AC1563" s="33"/>
    </row>
    <row r="1564" ht="15.75" customHeight="1">
      <c r="A1564" s="27"/>
      <c r="B1564" s="16"/>
      <c r="C1564" s="28"/>
      <c r="D1564" s="89"/>
      <c r="E1564" s="90"/>
      <c r="F1564" s="20"/>
      <c r="G1564" s="37"/>
      <c r="H1564" s="37"/>
      <c r="I1564" s="32"/>
      <c r="J1564" s="32"/>
      <c r="K1564" s="53"/>
      <c r="L1564" s="32"/>
      <c r="M1564" s="33"/>
      <c r="N1564" s="33"/>
      <c r="O1564" s="33"/>
      <c r="P1564" s="33"/>
      <c r="Q1564" s="33"/>
      <c r="R1564" s="33"/>
      <c r="S1564" s="33"/>
      <c r="T1564" s="33"/>
      <c r="U1564" s="33"/>
      <c r="V1564" s="33"/>
      <c r="W1564" s="33"/>
      <c r="X1564" s="33"/>
      <c r="Y1564" s="33"/>
      <c r="Z1564" s="33"/>
      <c r="AA1564" s="33"/>
      <c r="AB1564" s="33"/>
      <c r="AC1564" s="33"/>
    </row>
    <row r="1565" ht="15.75" customHeight="1">
      <c r="A1565" s="27"/>
      <c r="B1565" s="16"/>
      <c r="C1565" s="28"/>
      <c r="D1565" s="89"/>
      <c r="E1565" s="90"/>
      <c r="F1565" s="20"/>
      <c r="G1565" s="37"/>
      <c r="H1565" s="37"/>
      <c r="I1565" s="32"/>
      <c r="J1565" s="32"/>
      <c r="K1565" s="53"/>
      <c r="L1565" s="32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</row>
    <row r="1566" ht="15.75" customHeight="1">
      <c r="A1566" s="27"/>
      <c r="B1566" s="16"/>
      <c r="C1566" s="28"/>
      <c r="D1566" s="89"/>
      <c r="E1566" s="90"/>
      <c r="F1566" s="20"/>
      <c r="G1566" s="37"/>
      <c r="H1566" s="37"/>
      <c r="I1566" s="32"/>
      <c r="J1566" s="32"/>
      <c r="K1566" s="53"/>
      <c r="L1566" s="32"/>
      <c r="M1566" s="33"/>
      <c r="N1566" s="33"/>
      <c r="O1566" s="33"/>
      <c r="P1566" s="33"/>
      <c r="Q1566" s="33"/>
      <c r="R1566" s="33"/>
      <c r="S1566" s="33"/>
      <c r="T1566" s="33"/>
      <c r="U1566" s="33"/>
      <c r="V1566" s="33"/>
      <c r="W1566" s="33"/>
      <c r="X1566" s="33"/>
      <c r="Y1566" s="33"/>
      <c r="Z1566" s="33"/>
      <c r="AA1566" s="33"/>
      <c r="AB1566" s="33"/>
      <c r="AC1566" s="33"/>
    </row>
    <row r="1567" ht="15.75" customHeight="1">
      <c r="A1567" s="27"/>
      <c r="B1567" s="16"/>
      <c r="C1567" s="28"/>
      <c r="D1567" s="89"/>
      <c r="E1567" s="90"/>
      <c r="F1567" s="20"/>
      <c r="G1567" s="37"/>
      <c r="H1567" s="37"/>
      <c r="I1567" s="32"/>
      <c r="J1567" s="32"/>
      <c r="K1567" s="53"/>
      <c r="L1567" s="32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33"/>
      <c r="Y1567" s="33"/>
      <c r="Z1567" s="33"/>
      <c r="AA1567" s="33"/>
      <c r="AB1567" s="33"/>
      <c r="AC1567" s="33"/>
    </row>
    <row r="1568" ht="15.75" customHeight="1">
      <c r="A1568" s="27"/>
      <c r="B1568" s="16"/>
      <c r="C1568" s="28"/>
      <c r="D1568" s="89"/>
      <c r="E1568" s="90"/>
      <c r="F1568" s="20"/>
      <c r="G1568" s="37"/>
      <c r="H1568" s="37"/>
      <c r="I1568" s="32"/>
      <c r="J1568" s="32"/>
      <c r="K1568" s="53"/>
      <c r="L1568" s="32"/>
      <c r="M1568" s="33"/>
      <c r="N1568" s="33"/>
      <c r="O1568" s="33"/>
      <c r="P1568" s="33"/>
      <c r="Q1568" s="33"/>
      <c r="R1568" s="33"/>
      <c r="S1568" s="33"/>
      <c r="T1568" s="33"/>
      <c r="U1568" s="33"/>
      <c r="V1568" s="33"/>
      <c r="W1568" s="33"/>
      <c r="X1568" s="33"/>
      <c r="Y1568" s="33"/>
      <c r="Z1568" s="33"/>
      <c r="AA1568" s="33"/>
      <c r="AB1568" s="33"/>
      <c r="AC1568" s="33"/>
    </row>
    <row r="1569" ht="15.75" customHeight="1">
      <c r="A1569" s="27"/>
      <c r="B1569" s="16"/>
      <c r="C1569" s="28"/>
      <c r="D1569" s="89"/>
      <c r="E1569" s="90"/>
      <c r="F1569" s="20"/>
      <c r="G1569" s="37"/>
      <c r="H1569" s="37"/>
      <c r="I1569" s="32"/>
      <c r="J1569" s="32"/>
      <c r="K1569" s="53"/>
      <c r="L1569" s="32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</row>
    <row r="1570" ht="15.75" customHeight="1">
      <c r="A1570" s="27"/>
      <c r="B1570" s="16"/>
      <c r="C1570" s="28"/>
      <c r="D1570" s="89"/>
      <c r="E1570" s="90"/>
      <c r="F1570" s="20"/>
      <c r="G1570" s="37"/>
      <c r="H1570" s="37"/>
      <c r="I1570" s="32"/>
      <c r="J1570" s="32"/>
      <c r="K1570" s="53"/>
      <c r="L1570" s="32"/>
      <c r="M1570" s="33"/>
      <c r="N1570" s="33"/>
      <c r="O1570" s="33"/>
      <c r="P1570" s="33"/>
      <c r="Q1570" s="33"/>
      <c r="R1570" s="33"/>
      <c r="S1570" s="33"/>
      <c r="T1570" s="33"/>
      <c r="U1570" s="33"/>
      <c r="V1570" s="33"/>
      <c r="W1570" s="33"/>
      <c r="X1570" s="33"/>
      <c r="Y1570" s="33"/>
      <c r="Z1570" s="33"/>
      <c r="AA1570" s="33"/>
      <c r="AB1570" s="33"/>
      <c r="AC1570" s="33"/>
    </row>
    <row r="1571" ht="15.75" customHeight="1">
      <c r="A1571" s="27"/>
      <c r="B1571" s="16"/>
      <c r="C1571" s="28"/>
      <c r="D1571" s="89"/>
      <c r="E1571" s="90"/>
      <c r="F1571" s="20"/>
      <c r="G1571" s="37"/>
      <c r="H1571" s="37"/>
      <c r="I1571" s="32"/>
      <c r="J1571" s="32"/>
      <c r="K1571" s="53"/>
      <c r="L1571" s="32"/>
      <c r="M1571" s="33"/>
      <c r="N1571" s="33"/>
      <c r="O1571" s="33"/>
      <c r="P1571" s="33"/>
      <c r="Q1571" s="33"/>
      <c r="R1571" s="33"/>
      <c r="S1571" s="33"/>
      <c r="T1571" s="33"/>
      <c r="U1571" s="33"/>
      <c r="V1571" s="33"/>
      <c r="W1571" s="33"/>
      <c r="X1571" s="33"/>
      <c r="Y1571" s="33"/>
      <c r="Z1571" s="33"/>
      <c r="AA1571" s="33"/>
      <c r="AB1571" s="33"/>
      <c r="AC1571" s="33"/>
    </row>
    <row r="1572" ht="15.75" customHeight="1">
      <c r="A1572" s="27"/>
      <c r="B1572" s="16"/>
      <c r="C1572" s="28"/>
      <c r="D1572" s="89"/>
      <c r="E1572" s="90"/>
      <c r="F1572" s="20"/>
      <c r="G1572" s="37"/>
      <c r="H1572" s="37"/>
      <c r="I1572" s="32"/>
      <c r="J1572" s="32"/>
      <c r="K1572" s="53"/>
      <c r="L1572" s="32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33"/>
      <c r="Y1572" s="33"/>
      <c r="Z1572" s="33"/>
      <c r="AA1572" s="33"/>
      <c r="AB1572" s="33"/>
      <c r="AC1572" s="33"/>
    </row>
    <row r="1573" ht="15.75" customHeight="1">
      <c r="A1573" s="27"/>
      <c r="B1573" s="16"/>
      <c r="C1573" s="28"/>
      <c r="D1573" s="89"/>
      <c r="E1573" s="90"/>
      <c r="F1573" s="20"/>
      <c r="G1573" s="37"/>
      <c r="H1573" s="37"/>
      <c r="I1573" s="32"/>
      <c r="J1573" s="32"/>
      <c r="K1573" s="53"/>
      <c r="L1573" s="32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</row>
    <row r="1574" ht="15.75" customHeight="1">
      <c r="A1574" s="27"/>
      <c r="B1574" s="16"/>
      <c r="C1574" s="28"/>
      <c r="D1574" s="89"/>
      <c r="E1574" s="90"/>
      <c r="F1574" s="20"/>
      <c r="G1574" s="37"/>
      <c r="H1574" s="37"/>
      <c r="I1574" s="32"/>
      <c r="J1574" s="32"/>
      <c r="K1574" s="53"/>
      <c r="L1574" s="32"/>
      <c r="M1574" s="33"/>
      <c r="N1574" s="33"/>
      <c r="O1574" s="33"/>
      <c r="P1574" s="33"/>
      <c r="Q1574" s="33"/>
      <c r="R1574" s="33"/>
      <c r="S1574" s="33"/>
      <c r="T1574" s="33"/>
      <c r="U1574" s="33"/>
      <c r="V1574" s="33"/>
      <c r="W1574" s="33"/>
      <c r="X1574" s="33"/>
      <c r="Y1574" s="33"/>
      <c r="Z1574" s="33"/>
      <c r="AA1574" s="33"/>
      <c r="AB1574" s="33"/>
      <c r="AC1574" s="33"/>
    </row>
    <row r="1575" ht="15.75" customHeight="1">
      <c r="A1575" s="27"/>
      <c r="B1575" s="16"/>
      <c r="C1575" s="28"/>
      <c r="D1575" s="89"/>
      <c r="E1575" s="90"/>
      <c r="F1575" s="20"/>
      <c r="G1575" s="37"/>
      <c r="H1575" s="37"/>
      <c r="I1575" s="32"/>
      <c r="J1575" s="32"/>
      <c r="K1575" s="53"/>
      <c r="L1575" s="32"/>
      <c r="M1575" s="33"/>
      <c r="N1575" s="33"/>
      <c r="O1575" s="33"/>
      <c r="P1575" s="33"/>
      <c r="Q1575" s="33"/>
      <c r="R1575" s="33"/>
      <c r="S1575" s="33"/>
      <c r="T1575" s="33"/>
      <c r="U1575" s="33"/>
      <c r="V1575" s="33"/>
      <c r="W1575" s="33"/>
      <c r="X1575" s="33"/>
      <c r="Y1575" s="33"/>
      <c r="Z1575" s="33"/>
      <c r="AA1575" s="33"/>
      <c r="AB1575" s="33"/>
      <c r="AC1575" s="33"/>
    </row>
    <row r="1576" ht="15.75" customHeight="1">
      <c r="A1576" s="27"/>
      <c r="B1576" s="16"/>
      <c r="C1576" s="28"/>
      <c r="D1576" s="89"/>
      <c r="E1576" s="90"/>
      <c r="F1576" s="20"/>
      <c r="G1576" s="37"/>
      <c r="H1576" s="37"/>
      <c r="I1576" s="32"/>
      <c r="J1576" s="32"/>
      <c r="K1576" s="53"/>
      <c r="L1576" s="32"/>
      <c r="M1576" s="33"/>
      <c r="N1576" s="33"/>
      <c r="O1576" s="33"/>
      <c r="P1576" s="33"/>
      <c r="Q1576" s="33"/>
      <c r="R1576" s="33"/>
      <c r="S1576" s="33"/>
      <c r="T1576" s="33"/>
      <c r="U1576" s="33"/>
      <c r="V1576" s="33"/>
      <c r="W1576" s="33"/>
      <c r="X1576" s="33"/>
      <c r="Y1576" s="33"/>
      <c r="Z1576" s="33"/>
      <c r="AA1576" s="33"/>
      <c r="AB1576" s="33"/>
      <c r="AC1576" s="33"/>
    </row>
    <row r="1577" ht="15.75" customHeight="1">
      <c r="A1577" s="27"/>
      <c r="B1577" s="16"/>
      <c r="C1577" s="28"/>
      <c r="D1577" s="89"/>
      <c r="E1577" s="90"/>
      <c r="F1577" s="20"/>
      <c r="G1577" s="37"/>
      <c r="H1577" s="37"/>
      <c r="I1577" s="32"/>
      <c r="J1577" s="32"/>
      <c r="K1577" s="53"/>
      <c r="L1577" s="32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</row>
    <row r="1578" ht="15.75" customHeight="1">
      <c r="A1578" s="27"/>
      <c r="B1578" s="16"/>
      <c r="C1578" s="28"/>
      <c r="D1578" s="89"/>
      <c r="E1578" s="90"/>
      <c r="F1578" s="20"/>
      <c r="G1578" s="37"/>
      <c r="H1578" s="37"/>
      <c r="I1578" s="32"/>
      <c r="J1578" s="32"/>
      <c r="K1578" s="53"/>
      <c r="L1578" s="32"/>
      <c r="M1578" s="33"/>
      <c r="N1578" s="33"/>
      <c r="O1578" s="33"/>
      <c r="P1578" s="33"/>
      <c r="Q1578" s="33"/>
      <c r="R1578" s="33"/>
      <c r="S1578" s="33"/>
      <c r="T1578" s="33"/>
      <c r="U1578" s="33"/>
      <c r="V1578" s="33"/>
      <c r="W1578" s="33"/>
      <c r="X1578" s="33"/>
      <c r="Y1578" s="33"/>
      <c r="Z1578" s="33"/>
      <c r="AA1578" s="33"/>
      <c r="AB1578" s="33"/>
      <c r="AC1578" s="33"/>
    </row>
  </sheetData>
  <autoFilter ref="$A$1:$AC$1578"/>
  <dataValidations>
    <dataValidation type="list" allowBlank="1" showErrorMessage="1" sqref="F1:F4 F7:F9 F11:F15 F19:F30 F32:F48 F55 F62 F70:F96 J1:J121 J126:J151 F99:F153 F155:F156 F158:F160 F163:F169 F171:F172 F175:F179 F181:F304 F306:F498 F500:F563 J156:J563 F568:F1578 J568:J1578">
      <formula1>'Datos PUNTUALES'!$A$9:$A$90</formula1>
    </dataValidation>
    <dataValidation type="list" allowBlank="1" showErrorMessage="1" sqref="I15:I20 I25 I34:I126 I133:I155 I164:I166 I171:I184 I197:I206 I211:I225 I230:I259 I271:I274 I291:I300 I310:I317 I322:I328 I333:I340 I345:I563 I568:I628 I630:I1578">
      <formula1>'Datos PUNTUALES'!$C$9:$C$30</formula1>
    </dataValidation>
    <dataValidation type="list" allowBlank="1" showErrorMessage="1" sqref="F16:F18 F31 F49:F54 F56:F61 F63:F69 F157 F161:F162 F170 F173 F180">
      <formula1>#REF!</formula1>
    </dataValidation>
  </dataValidations>
  <hyperlinks>
    <hyperlink r:id="rId1" ref="P15"/>
    <hyperlink r:id="rId2" location="gid=0" ref="K48"/>
    <hyperlink r:id="rId3" location="gid=0" ref="K49"/>
    <hyperlink r:id="rId4" location="gid=0" ref="K50"/>
    <hyperlink r:id="rId5" location="gid=0" ref="K51"/>
    <hyperlink r:id="rId6" location="gid=0" ref="K52"/>
    <hyperlink r:id="rId7" location="gid=0" ref="K53"/>
    <hyperlink r:id="rId8" location="gid=0" ref="K55"/>
    <hyperlink r:id="rId9" location="gid=0" ref="K56"/>
    <hyperlink r:id="rId10" location="gid=0" ref="K57"/>
    <hyperlink r:id="rId11" location="gid=0" ref="K58"/>
    <hyperlink r:id="rId12" location="gid=0" ref="K59"/>
    <hyperlink r:id="rId13" location="gid=0" ref="K60"/>
    <hyperlink r:id="rId14" location="gid=0" ref="K61"/>
    <hyperlink r:id="rId15" location="gid=0" ref="K62"/>
    <hyperlink r:id="rId16" location="gid=0" ref="K63"/>
    <hyperlink r:id="rId17" location="gid=0" ref="K64"/>
    <hyperlink r:id="rId18" location="gid=0" ref="K65"/>
    <hyperlink r:id="rId19" location="gid=0" ref="K66"/>
    <hyperlink r:id="rId20" location="gid=0" ref="K67"/>
    <hyperlink r:id="rId21" location="gid=0" ref="K68"/>
    <hyperlink r:id="rId22" location="gid=0" ref="K69"/>
    <hyperlink r:id="rId23" location="gid=0" ref="K70"/>
    <hyperlink r:id="rId24" location="gid=0" ref="K71"/>
    <hyperlink r:id="rId25" location="gid=0" ref="K72"/>
    <hyperlink r:id="rId26" location="gid=0" ref="K73"/>
    <hyperlink r:id="rId27" location="gid=0" ref="K74"/>
    <hyperlink r:id="rId28" location="gid=0" ref="K75"/>
    <hyperlink r:id="rId29" location="gid=0" ref="K76"/>
    <hyperlink r:id="rId30" location="gid=0" ref="K77"/>
    <hyperlink r:id="rId31" location="gid=0" ref="K78"/>
    <hyperlink r:id="rId32" location="gid=0" ref="K79"/>
    <hyperlink r:id="rId33" location="gid=0" ref="K80"/>
    <hyperlink r:id="rId34" location="gid=0" ref="K81"/>
    <hyperlink r:id="rId35" location="gid=0" ref="K82"/>
    <hyperlink r:id="rId36" location="gid=0" ref="K83"/>
    <hyperlink r:id="rId37" location="gid=0" ref="K84"/>
    <hyperlink r:id="rId38" location="gid=0" ref="K85"/>
    <hyperlink r:id="rId39" location="gid=0" ref="K86"/>
    <hyperlink r:id="rId40" location="gid=0" ref="K87"/>
    <hyperlink r:id="rId41" location="gid=0" ref="K88"/>
    <hyperlink r:id="rId42" location="gid=0" ref="K89"/>
    <hyperlink r:id="rId43" location="gid=0" ref="K90"/>
    <hyperlink r:id="rId44" location="gid=0" ref="K91"/>
    <hyperlink r:id="rId45" location="gid=0" ref="K92"/>
    <hyperlink r:id="rId46" location="gid=0" ref="K93"/>
    <hyperlink r:id="rId47" location="gid=0" ref="K94"/>
    <hyperlink r:id="rId48" location="gid=0" ref="K95"/>
    <hyperlink r:id="rId49" location="gid=0" ref="K96"/>
    <hyperlink r:id="rId50" location="gid=0" ref="K97"/>
    <hyperlink r:id="rId51" location="gid=0" ref="K98"/>
    <hyperlink r:id="rId52" location="gid=0" ref="K99"/>
    <hyperlink r:id="rId53" location="gid=0" ref="K100"/>
    <hyperlink r:id="rId54" location="gid=1592941197" ref="K101"/>
    <hyperlink r:id="rId55" location="gid=1592941197" ref="K102"/>
    <hyperlink r:id="rId56" location="gid=1592941197" ref="K103"/>
    <hyperlink r:id="rId57" location="gid=1592941197" ref="K104"/>
    <hyperlink r:id="rId58" location="gid=1592941197" ref="K105"/>
    <hyperlink r:id="rId59" location="gid=1592941197" ref="K106"/>
    <hyperlink r:id="rId60" location="gid=1592941197" ref="K107"/>
    <hyperlink r:id="rId61" location="gid=1592941197" ref="K108"/>
    <hyperlink r:id="rId62" location="gid=1592941197" ref="K109"/>
    <hyperlink r:id="rId63" location="gid=1592941197" ref="K110"/>
    <hyperlink r:id="rId64" location="gid=1592941197" ref="K111"/>
    <hyperlink r:id="rId65" location="gid=1592941197" ref="K112"/>
    <hyperlink r:id="rId66" location="gid=1592941197" ref="K113"/>
    <hyperlink r:id="rId67" location="gid=1592941197" ref="K114"/>
    <hyperlink r:id="rId68" location="gid=1592941197" ref="K115"/>
    <hyperlink r:id="rId69" location="gid=1592941197" ref="K116"/>
    <hyperlink r:id="rId70" location="gid=1592941197" ref="K117"/>
    <hyperlink r:id="rId71" location="gid=1592941197" ref="K118"/>
    <hyperlink r:id="rId72" location="gid=1592941197" ref="K119"/>
    <hyperlink r:id="rId73" location="gid=1592941197" ref="K120"/>
    <hyperlink r:id="rId74" location="gid=1592941197" ref="K121"/>
    <hyperlink r:id="rId75" location="gid=1592941197" ref="K122"/>
    <hyperlink r:id="rId76" location="gid=1592941197" ref="K123"/>
    <hyperlink r:id="rId77" location="gid=1592941197" ref="K124"/>
    <hyperlink r:id="rId78" location="gid=1592941197" ref="K125"/>
    <hyperlink r:id="rId79" location="gid=0" ref="K126"/>
    <hyperlink r:id="rId80" location="gid=0" ref="K127"/>
    <hyperlink r:id="rId81" location="gid=0" ref="K128"/>
    <hyperlink r:id="rId82" location="gid=0" ref="K129"/>
    <hyperlink r:id="rId83" location="gid=0" ref="K130"/>
    <hyperlink r:id="rId84" location="gid=0" ref="K131"/>
    <hyperlink r:id="rId85" location="gid=0" ref="K132"/>
    <hyperlink r:id="rId86" location="gid=0" ref="K133"/>
    <hyperlink r:id="rId87" location="gid=0" ref="K134"/>
    <hyperlink r:id="rId88" location="gid=0" ref="K135"/>
    <hyperlink r:id="rId89" location="gid=0" ref="K136"/>
    <hyperlink r:id="rId90" location="gid=0" ref="K137"/>
    <hyperlink r:id="rId91" location="gid=0" ref="K138"/>
    <hyperlink r:id="rId92" location="gid=0" ref="K139"/>
    <hyperlink r:id="rId93" location="gid=0" ref="K140"/>
    <hyperlink r:id="rId94" location="gid=0" ref="K141"/>
    <hyperlink r:id="rId95" location="gid=1592941197" ref="K142"/>
    <hyperlink r:id="rId96" location="gid=1592941197" ref="K143"/>
    <hyperlink r:id="rId97" location="gid=1592941197" ref="K144"/>
    <hyperlink r:id="rId98" location="gid=1592941197" ref="K145"/>
    <hyperlink r:id="rId99" location="gid=1592941197" ref="K146"/>
    <hyperlink r:id="rId100" location="gid=1592941197" ref="K147"/>
    <hyperlink r:id="rId101" location="gid=1592941197" ref="K148"/>
    <hyperlink r:id="rId102" location="gid=1592941197" ref="K149"/>
    <hyperlink r:id="rId103" location="gid=1592941197" ref="K150"/>
    <hyperlink r:id="rId104" location="gid=1592941197" ref="K151"/>
    <hyperlink r:id="rId105" location="gid=1592941197" ref="K152"/>
    <hyperlink r:id="rId106" location="gid=1592941197" ref="K153"/>
    <hyperlink r:id="rId107" location="gid=1592941197" ref="K154"/>
    <hyperlink r:id="rId108" location="gid=1592941197" ref="K155"/>
    <hyperlink r:id="rId109" location="gid=0" ref="K156"/>
    <hyperlink r:id="rId110" location="gid=0" ref="K157"/>
    <hyperlink r:id="rId111" location="gid=0" ref="K158"/>
    <hyperlink r:id="rId112" location="gid=0" ref="K159"/>
    <hyperlink r:id="rId113" location="gid=0" ref="K160"/>
    <hyperlink r:id="rId114" location="gid=0" ref="K161"/>
    <hyperlink r:id="rId115" location="gid=0" ref="K162"/>
    <hyperlink r:id="rId116" location="gid=0" ref="K163"/>
    <hyperlink r:id="rId117" location="gid=0" ref="K164"/>
    <hyperlink r:id="rId118" location="gid=0" ref="K165"/>
    <hyperlink r:id="rId119" location="gid=0" ref="K166"/>
    <hyperlink r:id="rId120" location="gid=0" ref="K167"/>
    <hyperlink r:id="rId121" location="gid=0" ref="K168"/>
    <hyperlink r:id="rId122" location="gid=0" ref="K169"/>
    <hyperlink r:id="rId123" location="gid=0" ref="K170"/>
    <hyperlink r:id="rId124" location="gid=0" ref="K171"/>
    <hyperlink r:id="rId125" location="gid=0" ref="K172"/>
    <hyperlink r:id="rId126" location="gid=0" ref="K173"/>
    <hyperlink r:id="rId127" location="gid=0" ref="K174"/>
    <hyperlink r:id="rId128" location="gid=0" ref="K175"/>
    <hyperlink r:id="rId129" location="gid=0" ref="K176"/>
    <hyperlink r:id="rId130" location="gid=0" ref="K177"/>
    <hyperlink r:id="rId131" location="gid=0" ref="K178"/>
    <hyperlink r:id="rId132" location="gid=0" ref="K179"/>
    <hyperlink r:id="rId133" location="gid=0" ref="K180"/>
    <hyperlink r:id="rId134" location="gid=0" ref="K181"/>
    <hyperlink r:id="rId135" location="gid=0" ref="K182"/>
    <hyperlink r:id="rId136" location="gid=0" ref="K183"/>
    <hyperlink r:id="rId137" location="gid=0" ref="K184"/>
    <hyperlink r:id="rId138" location="gid=0" ref="K185"/>
    <hyperlink r:id="rId139" location="gid=0" ref="K186"/>
    <hyperlink r:id="rId140" location="gid=0" ref="K187"/>
    <hyperlink r:id="rId141" location="gid=0" ref="K188"/>
    <hyperlink r:id="rId142" ref="K189"/>
    <hyperlink r:id="rId143" ref="K190"/>
    <hyperlink r:id="rId144" ref="K191"/>
    <hyperlink r:id="rId145" ref="K192"/>
    <hyperlink r:id="rId146" ref="K193"/>
    <hyperlink r:id="rId147" ref="K194"/>
    <hyperlink r:id="rId148" ref="K195"/>
    <hyperlink r:id="rId149" ref="K196"/>
    <hyperlink r:id="rId150" ref="K197"/>
    <hyperlink r:id="rId151" ref="K198"/>
    <hyperlink r:id="rId152" ref="K199"/>
    <hyperlink r:id="rId153" ref="K200"/>
    <hyperlink r:id="rId154" ref="K201"/>
    <hyperlink r:id="rId155" ref="K202"/>
    <hyperlink r:id="rId156" ref="K203"/>
    <hyperlink r:id="rId157" ref="K204"/>
    <hyperlink r:id="rId158" ref="K205"/>
    <hyperlink r:id="rId159" ref="K206"/>
    <hyperlink r:id="rId160" ref="K207"/>
    <hyperlink r:id="rId161" ref="K208"/>
    <hyperlink r:id="rId162" ref="K209"/>
    <hyperlink r:id="rId163" ref="K210"/>
    <hyperlink r:id="rId164" ref="K211"/>
    <hyperlink r:id="rId165" ref="K212"/>
    <hyperlink r:id="rId166" ref="K213"/>
    <hyperlink r:id="rId167" ref="K214"/>
    <hyperlink r:id="rId168" ref="K215"/>
    <hyperlink r:id="rId169" ref="K216"/>
    <hyperlink r:id="rId170" ref="K217"/>
    <hyperlink r:id="rId171" ref="K218"/>
    <hyperlink r:id="rId172" ref="K219"/>
    <hyperlink r:id="rId173" ref="K220"/>
    <hyperlink r:id="rId174" ref="K221"/>
    <hyperlink r:id="rId175" ref="K222"/>
    <hyperlink r:id="rId176" ref="K223"/>
    <hyperlink r:id="rId177" ref="K224"/>
    <hyperlink r:id="rId178" ref="K225"/>
    <hyperlink r:id="rId179" ref="K226"/>
    <hyperlink r:id="rId180" ref="K227"/>
    <hyperlink r:id="rId181" ref="K228"/>
    <hyperlink r:id="rId182" ref="K229"/>
    <hyperlink r:id="rId183" ref="K230"/>
    <hyperlink r:id="rId184" ref="K231"/>
    <hyperlink r:id="rId185" ref="K232"/>
    <hyperlink r:id="rId186" ref="K233"/>
    <hyperlink r:id="rId187" ref="K234"/>
    <hyperlink r:id="rId188" ref="K235"/>
    <hyperlink r:id="rId189" ref="K236"/>
    <hyperlink r:id="rId190" ref="K237"/>
    <hyperlink r:id="rId191" ref="K238"/>
    <hyperlink r:id="rId192" ref="K239"/>
    <hyperlink r:id="rId193" ref="K240"/>
    <hyperlink r:id="rId194" ref="K241"/>
    <hyperlink r:id="rId195" ref="K242"/>
    <hyperlink r:id="rId196" ref="K243"/>
    <hyperlink r:id="rId197" ref="K244"/>
    <hyperlink r:id="rId198" ref="K245"/>
    <hyperlink r:id="rId199" ref="K246"/>
    <hyperlink r:id="rId200" ref="K247"/>
    <hyperlink r:id="rId201" ref="K248"/>
    <hyperlink r:id="rId202" ref="K249"/>
    <hyperlink r:id="rId203" ref="K250"/>
    <hyperlink r:id="rId204" ref="K251"/>
    <hyperlink r:id="rId205" ref="K252"/>
    <hyperlink r:id="rId206" ref="K253"/>
    <hyperlink r:id="rId207" ref="K254"/>
    <hyperlink r:id="rId208" ref="K255"/>
    <hyperlink r:id="rId209" ref="K256"/>
    <hyperlink r:id="rId210" ref="K257"/>
    <hyperlink r:id="rId211" ref="K258"/>
    <hyperlink r:id="rId212" ref="K259"/>
    <hyperlink r:id="rId213" ref="K260"/>
    <hyperlink r:id="rId214" ref="K261"/>
    <hyperlink r:id="rId215" ref="K262"/>
    <hyperlink r:id="rId216" ref="K263"/>
    <hyperlink r:id="rId217" ref="K264"/>
    <hyperlink r:id="rId218" ref="K265"/>
    <hyperlink r:id="rId219" ref="K266"/>
    <hyperlink r:id="rId220" ref="K267"/>
    <hyperlink r:id="rId221" ref="K268"/>
    <hyperlink r:id="rId222" ref="K269"/>
    <hyperlink r:id="rId223" ref="K270"/>
    <hyperlink r:id="rId224" ref="K275"/>
    <hyperlink r:id="rId225" ref="K276"/>
    <hyperlink r:id="rId226" ref="K277"/>
    <hyperlink r:id="rId227" ref="K278"/>
    <hyperlink r:id="rId228" ref="K279"/>
    <hyperlink r:id="rId229" ref="K280"/>
    <hyperlink r:id="rId230" ref="K281"/>
    <hyperlink r:id="rId231" ref="K282"/>
    <hyperlink r:id="rId232" ref="K283"/>
    <hyperlink r:id="rId233" ref="K284"/>
    <hyperlink r:id="rId234" ref="K285"/>
    <hyperlink r:id="rId235" ref="K286"/>
    <hyperlink r:id="rId236" ref="K287"/>
    <hyperlink r:id="rId237" ref="K288"/>
    <hyperlink r:id="rId238" ref="K289"/>
    <hyperlink r:id="rId239" ref="K290"/>
    <hyperlink r:id="rId240" ref="K291"/>
    <hyperlink r:id="rId241" ref="K292"/>
    <hyperlink r:id="rId242" ref="K293"/>
    <hyperlink r:id="rId243" ref="K294"/>
    <hyperlink r:id="rId244" ref="K295"/>
    <hyperlink r:id="rId245" ref="K296"/>
    <hyperlink r:id="rId246" ref="K297"/>
    <hyperlink r:id="rId247" ref="K298"/>
    <hyperlink r:id="rId248" ref="K299"/>
    <hyperlink r:id="rId249" ref="K300"/>
    <hyperlink r:id="rId250" location="gid=0" ref="K301"/>
    <hyperlink r:id="rId251" location="gid=0" ref="K302"/>
    <hyperlink r:id="rId252" location="gid=0" ref="K303"/>
    <hyperlink r:id="rId253" location="gid=0" ref="K304"/>
    <hyperlink r:id="rId254" location="gid=0" ref="K305"/>
    <hyperlink r:id="rId255" location="gid=0" ref="K306"/>
    <hyperlink r:id="rId256" location="gid=0" ref="K307"/>
    <hyperlink r:id="rId257" location="gid=0" ref="K308"/>
    <hyperlink r:id="rId258" location="gid=0" ref="K309"/>
    <hyperlink r:id="rId259" location="gid=0" ref="K310"/>
    <hyperlink r:id="rId260" location="gid=0" ref="K311"/>
    <hyperlink r:id="rId261" location="gid=0" ref="K312"/>
    <hyperlink r:id="rId262" location="gid=0" ref="K313"/>
    <hyperlink r:id="rId263" location="gid=0" ref="K314"/>
    <hyperlink r:id="rId264" location="gid=0" ref="K315"/>
    <hyperlink r:id="rId265" location="gid=0" ref="K316"/>
    <hyperlink r:id="rId266" location="gid=0" ref="K317"/>
    <hyperlink r:id="rId267" ref="K318"/>
    <hyperlink r:id="rId268" ref="K319"/>
    <hyperlink r:id="rId269" ref="K320"/>
    <hyperlink r:id="rId270" ref="K321"/>
    <hyperlink r:id="rId271" ref="K322"/>
    <hyperlink r:id="rId272" ref="K323"/>
    <hyperlink r:id="rId273" ref="K324"/>
    <hyperlink r:id="rId274" ref="K325"/>
    <hyperlink r:id="rId275" ref="K326"/>
    <hyperlink r:id="rId276" ref="K329"/>
    <hyperlink r:id="rId277" ref="K330"/>
    <hyperlink r:id="rId278" ref="K331"/>
    <hyperlink r:id="rId279" ref="K332"/>
    <hyperlink r:id="rId280" ref="K333"/>
    <hyperlink r:id="rId281" ref="K334"/>
    <hyperlink r:id="rId282" ref="K335"/>
    <hyperlink r:id="rId283" ref="K336"/>
    <hyperlink r:id="rId284" ref="K337"/>
    <hyperlink r:id="rId285" ref="K338"/>
    <hyperlink r:id="rId286" ref="K339"/>
    <hyperlink r:id="rId287" ref="K340"/>
    <hyperlink r:id="rId288" location="gid=0" ref="K341"/>
    <hyperlink r:id="rId289" location="gid=0" ref="K342"/>
    <hyperlink r:id="rId290" location="gid=0" ref="K343"/>
    <hyperlink r:id="rId291" location="gid=0" ref="K344"/>
    <hyperlink r:id="rId292" location="gid=0" ref="K345"/>
    <hyperlink r:id="rId293" location="gid=0" ref="K346"/>
    <hyperlink r:id="rId294" location="gid=0" ref="K347"/>
    <hyperlink r:id="rId295" location="gid=0" ref="K348"/>
    <hyperlink r:id="rId296" location="gid=0" ref="K349"/>
    <hyperlink r:id="rId297" location="gid=0" ref="K350"/>
    <hyperlink r:id="rId298" location="gid=0" ref="K351"/>
    <hyperlink r:id="rId299" location="gid=0" ref="K352"/>
    <hyperlink r:id="rId300" location="gid=0" ref="K353"/>
    <hyperlink r:id="rId301" location="gid=0" ref="K354"/>
    <hyperlink r:id="rId302" location="gid=0" ref="K355"/>
    <hyperlink r:id="rId303" location="gid=0" ref="K356"/>
    <hyperlink r:id="rId304" location="gid=0" ref="K357"/>
    <hyperlink r:id="rId305" location="gid=0" ref="K358"/>
    <hyperlink r:id="rId306" location="gid=0" ref="K359"/>
    <hyperlink r:id="rId307" location="gid=0" ref="K360"/>
    <hyperlink r:id="rId308" location="gid=0" ref="K361"/>
    <hyperlink r:id="rId309" location="gid=0" ref="K362"/>
    <hyperlink r:id="rId310" location="gid=869132682" ref="K363"/>
    <hyperlink r:id="rId311" location="gid=869132682" ref="K364"/>
    <hyperlink r:id="rId312" location="gid=869132682" ref="K365"/>
    <hyperlink r:id="rId313" location="gid=869132682" ref="K366"/>
    <hyperlink r:id="rId314" location="gid=869132682" ref="K367"/>
    <hyperlink r:id="rId315" location="gid=869132682" ref="K368"/>
    <hyperlink r:id="rId316" location="gid=869132682" ref="K369"/>
    <hyperlink r:id="rId317" location="gid=869132682" ref="K370"/>
    <hyperlink r:id="rId318" location="gid=869132682" ref="K371"/>
    <hyperlink r:id="rId319" location="gid=869132682" ref="K372"/>
    <hyperlink r:id="rId320" location="gid=869132682" ref="K373"/>
    <hyperlink r:id="rId321" location="gid=869132682" ref="K374"/>
    <hyperlink r:id="rId322" location="gid=869132682" ref="K375"/>
    <hyperlink r:id="rId323" location="gid=869132682" ref="K376"/>
    <hyperlink r:id="rId324" location="gid=869132682" ref="K377"/>
    <hyperlink r:id="rId325" location="gid=869132682" ref="K378"/>
    <hyperlink r:id="rId326" location="gid=869132682" ref="K379"/>
    <hyperlink r:id="rId327" location="gid=869132682" ref="K380"/>
    <hyperlink r:id="rId328" location="gid=869132682" ref="K381"/>
    <hyperlink r:id="rId329" location="gid=869132682" ref="K382"/>
    <hyperlink r:id="rId330" location="gid=869132682" ref="K383"/>
    <hyperlink r:id="rId331" location="gid=0" ref="K384"/>
    <hyperlink r:id="rId332" location="gid=0" ref="K385"/>
    <hyperlink r:id="rId333" location="gid=0" ref="K386"/>
    <hyperlink r:id="rId334" location="gid=0" ref="K387"/>
    <hyperlink r:id="rId335" location="gid=0" ref="K388"/>
    <hyperlink r:id="rId336" location="gid=0" ref="K389"/>
    <hyperlink r:id="rId337" location="gid=0" ref="K390"/>
    <hyperlink r:id="rId338" location="gid=0" ref="K391"/>
    <hyperlink r:id="rId339" ref="K392"/>
    <hyperlink r:id="rId340" ref="K393"/>
    <hyperlink r:id="rId341" ref="K394"/>
    <hyperlink r:id="rId342" ref="K395"/>
    <hyperlink r:id="rId343" ref="K396"/>
    <hyperlink r:id="rId344" ref="K397"/>
    <hyperlink r:id="rId345" ref="K398"/>
    <hyperlink r:id="rId346" ref="K399"/>
    <hyperlink r:id="rId347" ref="K400"/>
    <hyperlink r:id="rId348" ref="K401"/>
    <hyperlink r:id="rId349" ref="K402"/>
    <hyperlink r:id="rId350" ref="K403"/>
    <hyperlink r:id="rId351" ref="K404"/>
    <hyperlink r:id="rId352" ref="K405"/>
    <hyperlink r:id="rId353" ref="K406"/>
    <hyperlink r:id="rId354" ref="K407"/>
    <hyperlink r:id="rId355" ref="K408"/>
    <hyperlink r:id="rId356" ref="K409"/>
    <hyperlink r:id="rId357" ref="K410"/>
    <hyperlink r:id="rId358" ref="K411"/>
    <hyperlink r:id="rId359" ref="K412"/>
    <hyperlink r:id="rId360" ref="K413"/>
    <hyperlink r:id="rId361" ref="K414"/>
    <hyperlink r:id="rId362" ref="K415"/>
    <hyperlink r:id="rId363" ref="K416"/>
    <hyperlink r:id="rId364" ref="K417"/>
    <hyperlink r:id="rId365" ref="K418"/>
    <hyperlink r:id="rId366" ref="K419"/>
    <hyperlink r:id="rId367" ref="K420"/>
    <hyperlink r:id="rId368" ref="K421"/>
    <hyperlink r:id="rId369" ref="K422"/>
    <hyperlink r:id="rId370" ref="K423"/>
    <hyperlink r:id="rId371" ref="K424"/>
    <hyperlink r:id="rId372" ref="K425"/>
    <hyperlink r:id="rId373" ref="K427"/>
    <hyperlink r:id="rId374" ref="K428"/>
    <hyperlink r:id="rId375" ref="K429"/>
    <hyperlink r:id="rId376" ref="K430"/>
    <hyperlink r:id="rId377" ref="K431"/>
    <hyperlink r:id="rId378" ref="K432"/>
    <hyperlink r:id="rId379" ref="K433"/>
    <hyperlink r:id="rId380" ref="K434"/>
    <hyperlink r:id="rId381" ref="K435"/>
    <hyperlink r:id="rId382" ref="K436"/>
    <hyperlink r:id="rId383" ref="K437"/>
    <hyperlink r:id="rId384" ref="K438"/>
    <hyperlink r:id="rId385" ref="K439"/>
    <hyperlink r:id="rId386" ref="K440"/>
    <hyperlink r:id="rId387" ref="K441"/>
    <hyperlink r:id="rId388" ref="K442"/>
    <hyperlink r:id="rId389" ref="K443"/>
    <hyperlink r:id="rId390" ref="K444"/>
    <hyperlink r:id="rId391" ref="K445"/>
    <hyperlink r:id="rId392" ref="K446"/>
    <hyperlink r:id="rId393" ref="K447"/>
    <hyperlink r:id="rId394" ref="K448"/>
    <hyperlink r:id="rId395" ref="K449"/>
    <hyperlink r:id="rId396" ref="K450"/>
    <hyperlink r:id="rId397" ref="K451"/>
    <hyperlink r:id="rId398" ref="K452"/>
    <hyperlink r:id="rId399" ref="K453"/>
    <hyperlink r:id="rId400" ref="K454"/>
    <hyperlink r:id="rId401" ref="K455"/>
    <hyperlink r:id="rId402" ref="K456"/>
    <hyperlink r:id="rId403" ref="K457"/>
    <hyperlink r:id="rId404" location="gid=0" ref="K458"/>
    <hyperlink r:id="rId405" location="gid=0" ref="K459"/>
    <hyperlink r:id="rId406" location="gid=0" ref="K460"/>
    <hyperlink r:id="rId407" location="gid=0" ref="K461"/>
    <hyperlink r:id="rId408" location="gid=0" ref="K462"/>
    <hyperlink r:id="rId409" location="gid=0" ref="K463"/>
    <hyperlink r:id="rId410" location="gid=0" ref="K464"/>
    <hyperlink r:id="rId411" location="gid=0" ref="K465"/>
    <hyperlink r:id="rId412" location="gid=372291483" ref="K466"/>
    <hyperlink r:id="rId413" location="gid=372291483" ref="K467"/>
    <hyperlink r:id="rId414" location="gid=372291483" ref="K468"/>
    <hyperlink r:id="rId415" location="gid=372291483" ref="K469"/>
    <hyperlink r:id="rId416" location="gid=372291483" ref="K470"/>
    <hyperlink r:id="rId417" location="gid=372291483" ref="K471"/>
    <hyperlink r:id="rId418" location="gid=372291483" ref="K472"/>
    <hyperlink r:id="rId419" location="gid=372291483" ref="K473"/>
    <hyperlink r:id="rId420" location="gid=372291483" ref="K474"/>
    <hyperlink r:id="rId421" location="gid=372291483" ref="K475"/>
    <hyperlink r:id="rId422" location="gid=372291483" ref="K476"/>
    <hyperlink r:id="rId423" location="gid=372291483" ref="K477"/>
    <hyperlink r:id="rId424" location="gid=372291483" ref="K478"/>
    <hyperlink r:id="rId425" location="gid=0" ref="K479"/>
    <hyperlink r:id="rId426" location="gid=0" ref="K480"/>
    <hyperlink r:id="rId427" location="gid=0" ref="K481"/>
    <hyperlink r:id="rId428" location="gid=0" ref="K482"/>
    <hyperlink r:id="rId429" location="gid=0" ref="K483"/>
    <hyperlink r:id="rId430" location="gid=0" ref="K484"/>
    <hyperlink r:id="rId431" location="gid=0" ref="K485"/>
    <hyperlink r:id="rId432" location="gid=0" ref="K486"/>
    <hyperlink r:id="rId433" location="gid=0" ref="K487"/>
    <hyperlink r:id="rId434" location="gid=0" ref="K488"/>
    <hyperlink r:id="rId435" location="gid=0" ref="K489"/>
    <hyperlink r:id="rId436" location="gid=0" ref="K490"/>
    <hyperlink r:id="rId437" location="gid=0" ref="K491"/>
    <hyperlink r:id="rId438" location="gid=0" ref="K492"/>
    <hyperlink r:id="rId439" location="gid=0" ref="K493"/>
    <hyperlink r:id="rId440" location="gid=0" ref="K494"/>
    <hyperlink r:id="rId441" location="gid=0" ref="K495"/>
    <hyperlink r:id="rId442" location="gid=0" ref="K496"/>
    <hyperlink r:id="rId443" location="gid=0" ref="K497"/>
    <hyperlink r:id="rId444" location="gid=0" ref="K498"/>
    <hyperlink r:id="rId445" location="gid=0" ref="K500"/>
    <hyperlink r:id="rId446" location="gid=0" ref="K501"/>
    <hyperlink r:id="rId447" location="gid=0" ref="K502"/>
    <hyperlink r:id="rId448" location="gid=0" ref="K503"/>
    <hyperlink r:id="rId449" location="gid=0" ref="K504"/>
    <hyperlink r:id="rId450" location="gid=0" ref="K505"/>
    <hyperlink r:id="rId451" location="gid=0" ref="K506"/>
    <hyperlink r:id="rId452" location="gid=0" ref="K507"/>
    <hyperlink r:id="rId453" location="gid=0" ref="K508"/>
    <hyperlink r:id="rId454" location="gid=0" ref="K509"/>
    <hyperlink r:id="rId455" location="gid=0" ref="K510"/>
    <hyperlink r:id="rId456" location="gid=0" ref="K511"/>
    <hyperlink r:id="rId457" location="gid=0" ref="K512"/>
    <hyperlink r:id="rId458" location="gid=0" ref="K513"/>
    <hyperlink r:id="rId459" location="gid=0" ref="K514"/>
    <hyperlink r:id="rId460" location="gid=0" ref="K515"/>
    <hyperlink r:id="rId461" location="gid=0" ref="K516"/>
    <hyperlink r:id="rId462" location="gid=0" ref="K517"/>
    <hyperlink r:id="rId463" location="gid=0" ref="K518"/>
    <hyperlink r:id="rId464" location="gid=0" ref="K519"/>
    <hyperlink r:id="rId465" location="gid=0" ref="K520"/>
    <hyperlink r:id="rId466" location="gid=0" ref="K521"/>
    <hyperlink r:id="rId467" location="gid=0" ref="K522"/>
    <hyperlink r:id="rId468" location="gid=0" ref="K523"/>
    <hyperlink r:id="rId469" location="gid=0" ref="K524"/>
    <hyperlink r:id="rId470" location="gid=0" ref="K525"/>
    <hyperlink r:id="rId471" location="gid=0" ref="K526"/>
    <hyperlink r:id="rId472" location="gid=0" ref="K527"/>
    <hyperlink r:id="rId473" location="gid=0" ref="K528"/>
    <hyperlink r:id="rId474" location="gid=0" ref="K529"/>
    <hyperlink r:id="rId475" location="gid=0" ref="K530"/>
    <hyperlink r:id="rId476" location="gid=0" ref="K531"/>
    <hyperlink r:id="rId477" location="gid=0" ref="K532"/>
    <hyperlink r:id="rId478" location="gid=0" ref="K533"/>
    <hyperlink r:id="rId479" location="gid=0" ref="K534"/>
    <hyperlink r:id="rId480" location="gid=0" ref="K535"/>
    <hyperlink r:id="rId481" location="gid=0" ref="K536"/>
    <hyperlink r:id="rId482" location="gid=0" ref="K537"/>
    <hyperlink r:id="rId483" location="gid=0" ref="K538"/>
    <hyperlink r:id="rId484" location="gid=0" ref="K539"/>
    <hyperlink r:id="rId485" location="gid=0" ref="K540"/>
    <hyperlink r:id="rId486" location="gid=0" ref="K541"/>
    <hyperlink r:id="rId487" location="gid=0" ref="K542"/>
    <hyperlink r:id="rId488" location="gid=0" ref="K543"/>
    <hyperlink r:id="rId489" location="gid=0" ref="K544"/>
    <hyperlink r:id="rId490" location="gid=0" ref="K545"/>
    <hyperlink r:id="rId491" location="gid=0" ref="K546"/>
    <hyperlink r:id="rId492" location="gid=0" ref="K547"/>
    <hyperlink r:id="rId493" location="gid=0" ref="K548"/>
    <hyperlink r:id="rId494" location="gid=0" ref="K549"/>
    <hyperlink r:id="rId495" location="gid=0" ref="K550"/>
    <hyperlink r:id="rId496" location="gid=0" ref="K551"/>
    <hyperlink r:id="rId497" location="gid=0" ref="K552"/>
    <hyperlink r:id="rId498" location="gid=0" ref="K553"/>
    <hyperlink r:id="rId499" location="gid=0" ref="K554"/>
    <hyperlink r:id="rId500" location="gid=0" ref="K555"/>
    <hyperlink r:id="rId501" location="gid=0" ref="K556"/>
    <hyperlink r:id="rId502" location="gid=0" ref="K557"/>
    <hyperlink r:id="rId503" location="gid=0" ref="K558"/>
    <hyperlink r:id="rId504" location="gid=0" ref="K559"/>
    <hyperlink r:id="rId505" location="gid=0" ref="K560"/>
    <hyperlink r:id="rId506" location="gid=0" ref="K561"/>
    <hyperlink r:id="rId507" location="gid=0" ref="K562"/>
    <hyperlink r:id="rId508" location="gid=0" ref="K563"/>
    <hyperlink r:id="rId509" location="gid=372291483" ref="K568"/>
    <hyperlink r:id="rId510" location="gid=372291483" ref="K569"/>
    <hyperlink r:id="rId511" location="gid=372291483" ref="K570"/>
    <hyperlink r:id="rId512" location="gid=372291483" ref="K571"/>
    <hyperlink r:id="rId513" location="gid=372291483" ref="K572"/>
    <hyperlink r:id="rId514" location="gid=372291483" ref="K573"/>
    <hyperlink r:id="rId515" location="gid=372291483" ref="K574"/>
    <hyperlink r:id="rId516" location="gid=372291483" ref="K575"/>
    <hyperlink r:id="rId517" location="gid=372291483" ref="K576"/>
    <hyperlink r:id="rId518" location="gid=372291483" ref="K577"/>
    <hyperlink r:id="rId519" location="gid=372291483" ref="K578"/>
    <hyperlink r:id="rId520" location="gid=372291483" ref="K579"/>
    <hyperlink r:id="rId521" location="gid=372291483" ref="K580"/>
    <hyperlink r:id="rId522" location="gid=372291483" ref="K581"/>
    <hyperlink r:id="rId523" location="gid=372291483" ref="K582"/>
    <hyperlink r:id="rId524" location="gid=372291483" ref="K583"/>
    <hyperlink r:id="rId525" location="gid=372291483" ref="K584"/>
    <hyperlink r:id="rId526" location="gid=372291483" ref="K585"/>
    <hyperlink r:id="rId527" location="gid=372291483" ref="K586"/>
    <hyperlink r:id="rId528" location="gid=372291483" ref="K587"/>
    <hyperlink r:id="rId529" location="gid=372291483" ref="K588"/>
    <hyperlink r:id="rId530" location="gid=372291483" ref="K589"/>
    <hyperlink r:id="rId531" location="gid=372291483" ref="K590"/>
    <hyperlink r:id="rId532" location="gid=372291483" ref="K591"/>
    <hyperlink r:id="rId533" location="gid=372291483" ref="K592"/>
    <hyperlink r:id="rId534" location="gid=372291483" ref="K593"/>
    <hyperlink r:id="rId535" location="gid=372291483" ref="K594"/>
    <hyperlink r:id="rId536" location="gid=372291483" ref="K595"/>
    <hyperlink r:id="rId537" location="gid=372291483" ref="K596"/>
    <hyperlink r:id="rId538" location="gid=372291483" ref="K597"/>
    <hyperlink r:id="rId539" location="gid=372291483" ref="K598"/>
    <hyperlink r:id="rId540" location="gid=372291483" ref="K599"/>
    <hyperlink r:id="rId541" location="gid=372291483" ref="K600"/>
    <hyperlink r:id="rId542" location="gid=372291483" ref="K601"/>
    <hyperlink r:id="rId543" location="gid=372291483" ref="K602"/>
    <hyperlink r:id="rId544" location="gid=372291483" ref="K603"/>
    <hyperlink r:id="rId545" location="gid=372291483" ref="K604"/>
    <hyperlink r:id="rId546" location="gid=372291483" ref="K605"/>
    <hyperlink r:id="rId547" location="gid=372291483" ref="K606"/>
    <hyperlink r:id="rId548" location="gid=372291483" ref="K607"/>
    <hyperlink r:id="rId549" location="gid=372291483" ref="K608"/>
    <hyperlink r:id="rId550" location="gid=372291483" ref="K609"/>
    <hyperlink r:id="rId551" location="gid=372291483" ref="K610"/>
    <hyperlink r:id="rId552" location="gid=372291483" ref="K611"/>
    <hyperlink r:id="rId553" location="gid=0" ref="K612"/>
    <hyperlink r:id="rId554" location="gid=0" ref="K613"/>
    <hyperlink r:id="rId555" location="gid=0" ref="K614"/>
    <hyperlink r:id="rId556" location="gid=0" ref="K615"/>
    <hyperlink r:id="rId557" location="gid=0" ref="K616"/>
    <hyperlink r:id="rId558" location="gid=0" ref="K617"/>
    <hyperlink r:id="rId559" location="gid=0" ref="K618"/>
    <hyperlink r:id="rId560" location="gid=0" ref="K619"/>
    <hyperlink r:id="rId561" location="gid=0" ref="K620"/>
    <hyperlink r:id="rId562" location="gid=0" ref="K621"/>
    <hyperlink r:id="rId563" location="gid=0" ref="K622"/>
    <hyperlink r:id="rId564" location="gid=0" ref="K623"/>
    <hyperlink r:id="rId565" location="gid=0" ref="K624"/>
    <hyperlink r:id="rId566" location="gid=0" ref="K625"/>
    <hyperlink r:id="rId567" location="gid=0" ref="K626"/>
    <hyperlink r:id="rId568" location="gid=0" ref="K627"/>
    <hyperlink r:id="rId569" location="gid=0" ref="K628"/>
    <hyperlink r:id="rId570" location="gid=0" ref="K629"/>
    <hyperlink r:id="rId571" location="gid=0" ref="K630"/>
    <hyperlink r:id="rId572" location="gid=0" ref="K631"/>
    <hyperlink r:id="rId573" location="gid=0" ref="K632"/>
    <hyperlink r:id="rId574" location="gid=0" ref="K633"/>
    <hyperlink r:id="rId575" location="gid=0" ref="K634"/>
  </hyperlinks>
  <printOptions/>
  <pageMargins bottom="1.0" footer="0.0" header="0.0" left="0.75" right="0.75" top="1.0"/>
  <pageSetup paperSize="9" orientation="portrait"/>
  <drawing r:id="rId57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2.56"/>
    <col customWidth="1" min="2" max="2" width="17.67"/>
    <col customWidth="1" min="3" max="3" width="10.33"/>
  </cols>
  <sheetData>
    <row r="1"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8.22"/>
    <col customWidth="1" min="2" max="3" width="11.0"/>
    <col customWidth="1" min="4" max="4" width="11.56"/>
    <col customWidth="1" min="5" max="5" width="6.22"/>
    <col customWidth="1" min="6" max="27" width="20.44"/>
  </cols>
  <sheetData>
    <row r="1" ht="48.0" customHeight="1">
      <c r="C1" s="144" t="s">
        <v>236</v>
      </c>
      <c r="D1" s="145" t="s">
        <v>237</v>
      </c>
      <c r="E1" s="144"/>
      <c r="F1" s="146" t="s">
        <v>238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ht="15.75" customHeight="1">
      <c r="C2" s="149" t="str">
        <f>VLOOKUP(A2,'horas x profesor'!$A$5:$E$59,5,0)</f>
        <v>#N/A</v>
      </c>
      <c r="D2" s="150" t="str">
        <f t="shared" ref="D2:D42" si="1">G2</f>
        <v>#N/A</v>
      </c>
      <c r="E2" s="151"/>
      <c r="F2" s="152" t="str">
        <f>VLOOKUP(A2,'horas x profesor'!$A$5:$E$59,1,0)</f>
        <v>#N/A</v>
      </c>
      <c r="G2" s="153" t="str">
        <f t="shared" ref="G2:G40" si="2">B2/C2*100</f>
        <v>#N/A</v>
      </c>
      <c r="H2" s="147"/>
      <c r="I2" s="154"/>
      <c r="J2" s="155"/>
      <c r="K2" s="156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</row>
    <row r="3">
      <c r="C3" s="149">
        <f>VLOOKUP(A3,'horas x profesor'!$A$5:$E$59,5,0)</f>
        <v>621.6</v>
      </c>
      <c r="D3" s="150">
        <f t="shared" si="1"/>
        <v>0.6435006435</v>
      </c>
      <c r="E3" s="151"/>
      <c r="F3" s="152" t="str">
        <f>VLOOKUP(A3,'horas x profesor'!$A$5:$E$59,1,0)</f>
        <v>Agustina Bieule</v>
      </c>
      <c r="G3" s="153">
        <f t="shared" si="2"/>
        <v>0.6435006435</v>
      </c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>
      <c r="C4" s="149">
        <f>VLOOKUP(A4,'horas x profesor'!$A$5:$E$59,5,0)</f>
        <v>532.8</v>
      </c>
      <c r="D4" s="150">
        <f t="shared" si="1"/>
        <v>2.064564565</v>
      </c>
      <c r="E4" s="151"/>
      <c r="F4" s="152" t="str">
        <f>VLOOKUP(A4,'horas x profesor'!$A$5:$E$59,1,0)</f>
        <v>Anechina</v>
      </c>
      <c r="G4" s="153">
        <f t="shared" si="2"/>
        <v>2.064564565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>
      <c r="C5" s="149">
        <f>VLOOKUP(A5,'horas x profesor'!$A$5:$E$59,5,0)</f>
        <v>1716.8</v>
      </c>
      <c r="D5" s="150">
        <f t="shared" si="1"/>
        <v>3.087138863</v>
      </c>
      <c r="E5" s="151"/>
      <c r="F5" s="152" t="str">
        <f>VLOOKUP(A5,'horas x profesor'!$A$5:$E$59,1,0)</f>
        <v>Astrid Vanina Santa Maria</v>
      </c>
      <c r="G5" s="153">
        <f t="shared" si="2"/>
        <v>3.087138863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>
      <c r="C6" s="149">
        <f>VLOOKUP(A6,'horas x profesor'!$A$5:$E$59,5,0)</f>
        <v>621.6</v>
      </c>
      <c r="D6" s="150">
        <f t="shared" si="1"/>
        <v>0.6435006435</v>
      </c>
      <c r="E6" s="151"/>
      <c r="F6" s="152" t="str">
        <f>VLOOKUP(A6,'horas x profesor'!$A$5:$E$59,1,0)</f>
        <v>Bentes</v>
      </c>
      <c r="G6" s="153">
        <f t="shared" si="2"/>
        <v>0.6435006435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>
      <c r="C7" s="149">
        <f>VLOOKUP(A7,'horas x profesor'!$A$5:$E$59,5,0)</f>
        <v>370</v>
      </c>
      <c r="D7" s="150">
        <f t="shared" si="1"/>
        <v>6.216216216</v>
      </c>
      <c r="E7" s="151"/>
      <c r="F7" s="152" t="str">
        <f>VLOOKUP(A7,'horas x profesor'!$A$5:$E$59,1,0)</f>
        <v>Catalina Novo</v>
      </c>
      <c r="G7" s="153">
        <f t="shared" si="2"/>
        <v>6.216216216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>
      <c r="C8" s="149">
        <f>VLOOKUP(A8,'horas x profesor'!$A$5:$E$59,5,0)</f>
        <v>1124.8</v>
      </c>
      <c r="D8" s="150">
        <f t="shared" si="1"/>
        <v>2.578236131</v>
      </c>
      <c r="E8" s="151"/>
      <c r="F8" s="152" t="str">
        <f>VLOOKUP(A8,'horas x profesor'!$A$5:$E$59,1,0)</f>
        <v>Cecilia Lund Petersen</v>
      </c>
      <c r="G8" s="153">
        <f t="shared" si="2"/>
        <v>2.578236131</v>
      </c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>
      <c r="C9" s="149">
        <f>VLOOKUP(A9,'horas x profesor'!$A$5:$E$59,5,0)</f>
        <v>1184</v>
      </c>
      <c r="D9" s="150">
        <f t="shared" si="1"/>
        <v>0.9290540541</v>
      </c>
      <c r="E9" s="151"/>
      <c r="F9" s="152" t="str">
        <f>VLOOKUP(A9,'horas x profesor'!$A$5:$E$59,1,0)</f>
        <v>Cecilia Moirano</v>
      </c>
      <c r="G9" s="153">
        <f t="shared" si="2"/>
        <v>0.9290540541</v>
      </c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>
      <c r="C10" s="149">
        <f>VLOOKUP(A10,'horas x profesor'!$A$5:$E$59,5,0)</f>
        <v>414.4</v>
      </c>
      <c r="D10" s="150">
        <f t="shared" si="1"/>
        <v>0.9652509653</v>
      </c>
      <c r="E10" s="151"/>
      <c r="F10" s="152" t="str">
        <f>VLOOKUP(A10,'horas x profesor'!$A$5:$E$59,1,0)</f>
        <v>Clara Gobbée</v>
      </c>
      <c r="G10" s="153">
        <f t="shared" si="2"/>
        <v>0.9652509653</v>
      </c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>
      <c r="C11" s="149">
        <f>VLOOKUP(A11,'horas x profesor'!$A$5:$E$59,5,0)</f>
        <v>236.8</v>
      </c>
      <c r="D11" s="150">
        <f t="shared" si="1"/>
        <v>3.378378378</v>
      </c>
      <c r="E11" s="151"/>
      <c r="F11" s="152" t="str">
        <f>VLOOKUP(A11,'horas x profesor'!$A$5:$E$59,1,0)</f>
        <v>Ezequiel Beccar Varela</v>
      </c>
      <c r="G11" s="153">
        <f t="shared" si="2"/>
        <v>3.378378378</v>
      </c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>
      <c r="C12" s="149">
        <f>VLOOKUP(A12,'horas x profesor'!$A$5:$E$59,5,0)</f>
        <v>266.4</v>
      </c>
      <c r="D12" s="150">
        <f t="shared" si="1"/>
        <v>1.501501502</v>
      </c>
      <c r="E12" s="151"/>
      <c r="F12" s="152" t="str">
        <f>VLOOKUP(A12,'horas x profesor'!$A$5:$E$59,1,0)</f>
        <v>Facundo Laborde</v>
      </c>
      <c r="G12" s="153">
        <f t="shared" si="2"/>
        <v>1.501501502</v>
      </c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>
      <c r="C13" s="149">
        <f>VLOOKUP(A13,'horas x profesor'!$A$5:$E$59,5,0)</f>
        <v>1302.4</v>
      </c>
      <c r="D13" s="150">
        <f t="shared" si="1"/>
        <v>3.378378378</v>
      </c>
      <c r="E13" s="151"/>
      <c r="F13" s="152" t="str">
        <f>VLOOKUP(A13,'horas x profesor'!$A$5:$E$59,1,0)</f>
        <v>Facundo Terrana</v>
      </c>
      <c r="G13" s="153">
        <f t="shared" si="2"/>
        <v>3.378378378</v>
      </c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>
      <c r="C14" s="149">
        <f>VLOOKUP(A14,'horas x profesor'!$A$5:$E$59,5,0)</f>
        <v>1124.8</v>
      </c>
      <c r="D14" s="150">
        <f t="shared" si="1"/>
        <v>0.4445234708</v>
      </c>
      <c r="E14" s="151"/>
      <c r="F14" s="152" t="str">
        <f>VLOOKUP(A14,'horas x profesor'!$A$5:$E$59,1,0)</f>
        <v>Gabriel Aluzzo</v>
      </c>
      <c r="G14" s="153">
        <f t="shared" si="2"/>
        <v>0.4445234708</v>
      </c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>
      <c r="C15" s="149">
        <f>VLOOKUP(A15,'horas x profesor'!$A$5:$E$59,5,0)</f>
        <v>1124.8</v>
      </c>
      <c r="D15" s="150">
        <f t="shared" si="1"/>
        <v>1.422475107</v>
      </c>
      <c r="E15" s="151"/>
      <c r="F15" s="152" t="str">
        <f>VLOOKUP(A15,'horas x profesor'!$A$5:$E$59,1,0)</f>
        <v>Luciana Natalia Cabrera</v>
      </c>
      <c r="G15" s="153">
        <f t="shared" si="2"/>
        <v>1.422475107</v>
      </c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>
      <c r="C16" s="149">
        <f>VLOOKUP(A16,'horas x profesor'!$A$5:$E$59,5,0)</f>
        <v>1065.6</v>
      </c>
      <c r="D16" s="150">
        <f t="shared" si="1"/>
        <v>0.7507507508</v>
      </c>
      <c r="E16" s="151"/>
      <c r="F16" s="152" t="str">
        <f>VLOOKUP(A16,'horas x profesor'!$A$5:$E$59,1,0)</f>
        <v>Lucila Lago</v>
      </c>
      <c r="G16" s="153">
        <f t="shared" si="2"/>
        <v>0.7507507508</v>
      </c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>
      <c r="C17" s="149">
        <f>VLOOKUP(A17,'horas x profesor'!$A$5:$E$59,5,0)</f>
        <v>414.4</v>
      </c>
      <c r="D17" s="150">
        <f t="shared" si="1"/>
        <v>3.378378378</v>
      </c>
      <c r="E17" s="151"/>
      <c r="F17" s="152" t="str">
        <f>VLOOKUP(A17,'horas x profesor'!$A$5:$E$59,1,0)</f>
        <v>Manuela Freire</v>
      </c>
      <c r="G17" s="153">
        <f t="shared" si="2"/>
        <v>3.378378378</v>
      </c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</row>
    <row r="18">
      <c r="C18" s="149">
        <f>VLOOKUP(A18,'horas x profesor'!$A$5:$E$59,5,0)</f>
        <v>1065.6</v>
      </c>
      <c r="D18" s="150">
        <f t="shared" si="1"/>
        <v>0.7507507508</v>
      </c>
      <c r="E18" s="151"/>
      <c r="F18" s="152" t="str">
        <f>VLOOKUP(A18,'horas x profesor'!$A$5:$E$59,1,0)</f>
        <v>María Candelaria Roca González Del Solar</v>
      </c>
      <c r="G18" s="153">
        <f t="shared" si="2"/>
        <v>0.7507507508</v>
      </c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>
      <c r="C19" s="149">
        <f>VLOOKUP(A19,'horas x profesor'!$A$5:$E$59,5,0)</f>
        <v>532.8</v>
      </c>
      <c r="D19" s="150">
        <f t="shared" si="1"/>
        <v>0.7507507508</v>
      </c>
      <c r="E19" s="151"/>
      <c r="F19" s="152" t="str">
        <f>VLOOKUP(A19,'horas x profesor'!$A$5:$E$59,1,0)</f>
        <v>María De Las Mercedes Pesado Riccardi</v>
      </c>
      <c r="G19" s="153">
        <f t="shared" si="2"/>
        <v>0.7507507508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>
      <c r="C20" s="149">
        <f>VLOOKUP(A20,'horas x profesor'!$A$5:$E$59,5,0)</f>
        <v>769.6</v>
      </c>
      <c r="D20" s="150">
        <f t="shared" si="1"/>
        <v>0.6496881497</v>
      </c>
      <c r="E20" s="151"/>
      <c r="F20" s="152" t="str">
        <f>VLOOKUP(A20,'horas x profesor'!$A$5:$E$59,1,0)</f>
        <v>Maria del PIlar Fernandez</v>
      </c>
      <c r="G20" s="153">
        <f t="shared" si="2"/>
        <v>0.6496881497</v>
      </c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>
      <c r="C21" s="149">
        <f>VLOOKUP(A21,'horas x profesor'!$A$5:$E$59,5,0)</f>
        <v>1184</v>
      </c>
      <c r="D21" s="150">
        <f t="shared" si="1"/>
        <v>0.5912162162</v>
      </c>
      <c r="E21" s="151"/>
      <c r="F21" s="152" t="str">
        <f>VLOOKUP(A21,'horas x profesor'!$A$5:$E$59,1,0)</f>
        <v>María Gabriela Redolfi</v>
      </c>
      <c r="G21" s="153">
        <f t="shared" si="2"/>
        <v>0.5912162162</v>
      </c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>
      <c r="C22" s="149">
        <f>VLOOKUP(A22,'horas x profesor'!$A$5:$E$59,5,0)</f>
        <v>1243.2</v>
      </c>
      <c r="D22" s="150">
        <f t="shared" si="1"/>
        <v>0.08043758044</v>
      </c>
      <c r="E22" s="151"/>
      <c r="F22" s="152" t="str">
        <f>VLOOKUP(A22,'horas x profesor'!$A$5:$E$59,1,0)</f>
        <v>Maria Guadalupe Reyes</v>
      </c>
      <c r="G22" s="153">
        <f t="shared" si="2"/>
        <v>0.08043758044</v>
      </c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>
      <c r="C23" s="149">
        <f>VLOOKUP(A23,'horas x profesor'!$A$5:$E$59,5,0)</f>
        <v>1184</v>
      </c>
      <c r="D23" s="150">
        <f t="shared" si="1"/>
        <v>0.8445945946</v>
      </c>
      <c r="E23" s="151"/>
      <c r="F23" s="152" t="str">
        <f>VLOOKUP(A23,'horas x profesor'!$A$5:$E$59,1,0)</f>
        <v>María Laura Loyola</v>
      </c>
      <c r="G23" s="153">
        <f t="shared" si="2"/>
        <v>0.8445945946</v>
      </c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>
      <c r="C24" s="149">
        <f>VLOOKUP(A24,'horas x profesor'!$A$5:$E$59,5,0)</f>
        <v>2664</v>
      </c>
      <c r="D24" s="150">
        <f t="shared" si="1"/>
        <v>0.7882882883</v>
      </c>
      <c r="E24" s="151"/>
      <c r="F24" s="152" t="str">
        <f>VLOOKUP(A24,'horas x profesor'!$A$5:$E$59,1,0)</f>
        <v>Maria Soledad Arrambide</v>
      </c>
      <c r="G24" s="153">
        <f t="shared" si="2"/>
        <v>0.7882882883</v>
      </c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>
      <c r="C25" s="149">
        <f>VLOOKUP(A25,'horas x profesor'!$A$5:$E$59,5,0)</f>
        <v>769.6</v>
      </c>
      <c r="D25" s="150">
        <f t="shared" si="1"/>
        <v>2.208939709</v>
      </c>
      <c r="E25" s="151"/>
      <c r="F25" s="152" t="str">
        <f>VLOOKUP(A25,'horas x profesor'!$A$5:$E$59,1,0)</f>
        <v>Marina Aberg Cobo</v>
      </c>
      <c r="G25" s="153">
        <f t="shared" si="2"/>
        <v>2.208939709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>
      <c r="C26" s="149">
        <f>VLOOKUP(A26,'horas x profesor'!$A$5:$E$59,5,0)</f>
        <v>1716.8</v>
      </c>
      <c r="D26" s="150">
        <f t="shared" si="1"/>
        <v>0.2912395154</v>
      </c>
      <c r="E26" s="151"/>
      <c r="F26" s="152" t="str">
        <f>VLOOKUP(A26,'horas x profesor'!$A$5:$E$59,1,0)</f>
        <v>Mercedes Vitullo</v>
      </c>
      <c r="G26" s="153">
        <f t="shared" si="2"/>
        <v>0.2912395154</v>
      </c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>
      <c r="C27" s="149">
        <f>VLOOKUP(A27,'horas x profesor'!$A$5:$E$59,5,0)</f>
        <v>1598.4</v>
      </c>
      <c r="D27" s="150">
        <f t="shared" si="1"/>
        <v>0.1876876877</v>
      </c>
      <c r="E27" s="151"/>
      <c r="F27" s="152" t="str">
        <f>VLOOKUP(A27,'horas x profesor'!$A$5:$E$59,1,0)</f>
        <v>Roberta Ludueña</v>
      </c>
      <c r="G27" s="153">
        <f t="shared" si="2"/>
        <v>0.1876876877</v>
      </c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>
      <c r="C28" s="149">
        <f>VLOOKUP(A28,'horas x profesor'!$A$5:$E$59,5,0)</f>
        <v>888</v>
      </c>
      <c r="D28" s="150">
        <f t="shared" si="1"/>
        <v>1.801801802</v>
      </c>
      <c r="E28" s="151"/>
      <c r="F28" s="152" t="str">
        <f>VLOOKUP(A28,'horas x profesor'!$A$5:$E$59,1,0)</f>
        <v>Rocio Rey Metzler</v>
      </c>
      <c r="G28" s="153">
        <f t="shared" si="2"/>
        <v>1.801801802</v>
      </c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>
      <c r="C29" s="149" t="str">
        <f>VLOOKUP(A29,'horas x profesor'!$A$5:$E$59,5,0)</f>
        <v>#N/A</v>
      </c>
      <c r="D29" s="150" t="str">
        <f t="shared" si="1"/>
        <v>#N/A</v>
      </c>
      <c r="E29" s="151"/>
      <c r="F29" s="152" t="str">
        <f>VLOOKUP(A29,'horas x profesor'!$A$5:$E$59,1,0)</f>
        <v>#N/A</v>
      </c>
      <c r="G29" s="153" t="str">
        <f t="shared" si="2"/>
        <v>#N/A</v>
      </c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>
      <c r="C30" s="149" t="str">
        <f>VLOOKUP(A30,'horas x profesor'!$A$5:$E$59,5,0)</f>
        <v>#N/A</v>
      </c>
      <c r="D30" s="150" t="str">
        <f t="shared" si="1"/>
        <v>#N/A</v>
      </c>
      <c r="E30" s="151"/>
      <c r="F30" s="152" t="str">
        <f>VLOOKUP(A30,'horas x profesor'!$A$5:$E$59,1,0)</f>
        <v>#N/A</v>
      </c>
      <c r="G30" s="153" t="str">
        <f t="shared" si="2"/>
        <v>#N/A</v>
      </c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>
      <c r="C31" s="149">
        <f>VLOOKUP(A31,'horas x profesor'!$A$5:$E$59,5,0)</f>
        <v>2664</v>
      </c>
      <c r="D31" s="150">
        <f t="shared" si="1"/>
        <v>0.03753753754</v>
      </c>
      <c r="E31" s="151"/>
      <c r="F31" s="152" t="str">
        <f>VLOOKUP(A31,'horas x profesor'!$A$5:$E$59,1,0)</f>
        <v>URBANCIC, ANA CAMILA</v>
      </c>
      <c r="G31" s="153">
        <f t="shared" si="2"/>
        <v>0.03753753754</v>
      </c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>
      <c r="C32" s="149">
        <f>VLOOKUP(A32,'horas x profesor'!$A$5:$E$59,5,0)</f>
        <v>947.2</v>
      </c>
      <c r="D32" s="150">
        <f t="shared" si="1"/>
        <v>0.8445945946</v>
      </c>
      <c r="E32" s="151"/>
      <c r="F32" s="152" t="str">
        <f>VLOOKUP(A32,'horas x profesor'!$A$5:$E$59,1,0)</f>
        <v>Valeria Cerruti</v>
      </c>
      <c r="G32" s="153">
        <f t="shared" si="2"/>
        <v>0.8445945946</v>
      </c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>
      <c r="C33" s="149">
        <f>VLOOKUP(A33,'horas x profesor'!$A$5:$E$59,5,0)</f>
        <v>384.8</v>
      </c>
      <c r="D33" s="150">
        <f t="shared" si="1"/>
        <v>2.858627859</v>
      </c>
      <c r="E33" s="151"/>
      <c r="F33" s="152" t="str">
        <f>VLOOKUP(A33,'horas x profesor'!$A$5:$E$59,1,0)</f>
        <v>Valeria Denise Carmona</v>
      </c>
      <c r="G33" s="153">
        <f t="shared" si="2"/>
        <v>2.858627859</v>
      </c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</row>
    <row r="34">
      <c r="C34" s="149">
        <f>VLOOKUP(A34,'horas x profesor'!$A$5:$E$59,5,0)</f>
        <v>1006.4</v>
      </c>
      <c r="D34" s="150">
        <f t="shared" si="1"/>
        <v>0.4968203498</v>
      </c>
      <c r="E34" s="151"/>
      <c r="F34" s="152" t="str">
        <f>VLOOKUP(A34,'horas x profesor'!$A$5:$E$59,1,0)</f>
        <v>Verónica María Bonadeo</v>
      </c>
      <c r="G34" s="153">
        <f t="shared" si="2"/>
        <v>0.4968203498</v>
      </c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>
      <c r="A35" s="147"/>
      <c r="B35" s="148"/>
      <c r="C35" s="149" t="str">
        <f>VLOOKUP(A35,'horas x profesor'!$A$5:$E$59,5,0)</f>
        <v>#N/A</v>
      </c>
      <c r="D35" s="150" t="str">
        <f t="shared" si="1"/>
        <v>#N/A</v>
      </c>
      <c r="E35" s="151"/>
      <c r="F35" s="152" t="str">
        <f>VLOOKUP(A35,'horas x profesor'!$A$5:$E$59,1,0)</f>
        <v>#N/A</v>
      </c>
      <c r="G35" s="153" t="str">
        <f t="shared" si="2"/>
        <v>#N/A</v>
      </c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>
      <c r="A36" s="147"/>
      <c r="B36" s="148"/>
      <c r="C36" s="149" t="str">
        <f>VLOOKUP(A36,'horas x profesor'!$A$5:$E$59,5,0)</f>
        <v>#N/A</v>
      </c>
      <c r="D36" s="150" t="str">
        <f t="shared" si="1"/>
        <v>#N/A</v>
      </c>
      <c r="E36" s="151"/>
      <c r="F36" s="152" t="str">
        <f>VLOOKUP(A36,'horas x profesor'!$A$5:$E$59,1,0)</f>
        <v>#N/A</v>
      </c>
      <c r="G36" s="153" t="str">
        <f t="shared" si="2"/>
        <v>#N/A</v>
      </c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>
      <c r="A37" s="147"/>
      <c r="B37" s="148"/>
      <c r="C37" s="149" t="str">
        <f>VLOOKUP(A37,'horas x profesor'!$A$5:$E$59,5,0)</f>
        <v>#N/A</v>
      </c>
      <c r="D37" s="150" t="str">
        <f t="shared" si="1"/>
        <v>#N/A</v>
      </c>
      <c r="E37" s="151"/>
      <c r="F37" s="152" t="str">
        <f>VLOOKUP(A37,'horas x profesor'!$A$5:$E$59,1,0)</f>
        <v>#N/A</v>
      </c>
      <c r="G37" s="153" t="str">
        <f t="shared" si="2"/>
        <v>#N/A</v>
      </c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>
      <c r="A38" s="147"/>
      <c r="B38" s="148"/>
      <c r="C38" s="149" t="str">
        <f>VLOOKUP(A38,'horas x profesor'!$A$5:$E$59,5,0)</f>
        <v>#N/A</v>
      </c>
      <c r="D38" s="150" t="str">
        <f t="shared" si="1"/>
        <v>#N/A</v>
      </c>
      <c r="E38" s="151"/>
      <c r="F38" s="152" t="str">
        <f>VLOOKUP(A38,'horas x profesor'!$A$5:$E$59,1,0)</f>
        <v>#N/A</v>
      </c>
      <c r="G38" s="153" t="str">
        <f t="shared" si="2"/>
        <v>#N/A</v>
      </c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>
      <c r="A39" s="147"/>
      <c r="B39" s="148"/>
      <c r="C39" s="149" t="str">
        <f>VLOOKUP(A39,'horas x profesor'!$A$5:$E$59,5,0)</f>
        <v>#N/A</v>
      </c>
      <c r="D39" s="150" t="str">
        <f t="shared" si="1"/>
        <v>#N/A</v>
      </c>
      <c r="E39" s="151"/>
      <c r="F39" s="152" t="str">
        <f>VLOOKUP(A39,'horas x profesor'!$A$5:$E$59,1,0)</f>
        <v>#N/A</v>
      </c>
      <c r="G39" s="153" t="str">
        <f t="shared" si="2"/>
        <v>#N/A</v>
      </c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>
      <c r="A40" s="147"/>
      <c r="B40" s="148"/>
      <c r="C40" s="149" t="str">
        <f>VLOOKUP(A40,'horas x profesor'!$A$5:$E$59,5,0)</f>
        <v>#N/A</v>
      </c>
      <c r="D40" s="150" t="str">
        <f t="shared" si="1"/>
        <v>#N/A</v>
      </c>
      <c r="E40" s="151"/>
      <c r="F40" s="152" t="str">
        <f>VLOOKUP(A40,'horas x profesor'!$A$5:$E$59,1,0)</f>
        <v>#N/A</v>
      </c>
      <c r="G40" s="153" t="str">
        <f t="shared" si="2"/>
        <v>#N/A</v>
      </c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>
      <c r="A41" s="147"/>
      <c r="B41" s="148"/>
      <c r="C41" s="149" t="str">
        <f>VLOOKUP(A41,'horas x profesor'!$A$5:$E$59,5,0)</f>
        <v>#N/A</v>
      </c>
      <c r="D41" s="150" t="str">
        <f t="shared" si="1"/>
        <v/>
      </c>
      <c r="E41" s="151"/>
      <c r="F41" s="152" t="str">
        <f>VLOOKUP(A41,'horas x profesor'!$A$5:$E$59,1,0)</f>
        <v>#N/A</v>
      </c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>
      <c r="A42" s="147"/>
      <c r="B42" s="148"/>
      <c r="C42" s="149" t="str">
        <f>VLOOKUP(A42,'horas x profesor'!$A$5:$E$59,5,0)</f>
        <v>#N/A</v>
      </c>
      <c r="D42" s="150" t="str">
        <f t="shared" si="1"/>
        <v/>
      </c>
      <c r="E42" s="151"/>
      <c r="F42" s="152" t="str">
        <f>VLOOKUP(A42,'horas x profesor'!$A$5:$E$59,1,0)</f>
        <v>#N/A</v>
      </c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>
      <c r="A43" s="147"/>
      <c r="B43" s="148"/>
      <c r="C43" s="149"/>
      <c r="D43" s="157"/>
      <c r="E43" s="151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>
      <c r="B44" s="149"/>
      <c r="C44" s="149"/>
      <c r="D44" s="157"/>
      <c r="E44" s="151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>
      <c r="B45" s="149"/>
      <c r="C45" s="149"/>
      <c r="D45" s="157"/>
      <c r="E45" s="151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>
      <c r="B46" s="149"/>
      <c r="C46" s="149"/>
      <c r="D46" s="157"/>
      <c r="E46" s="151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>
      <c r="B47" s="149"/>
      <c r="C47" s="149"/>
      <c r="D47" s="157"/>
      <c r="E47" s="151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>
      <c r="B48" s="149"/>
      <c r="C48" s="149"/>
      <c r="D48" s="157"/>
      <c r="E48" s="151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>
      <c r="B49" s="149"/>
      <c r="C49" s="149"/>
      <c r="D49" s="157"/>
      <c r="E49" s="151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>
      <c r="B50" s="149"/>
      <c r="C50" s="149"/>
      <c r="D50" s="157"/>
      <c r="E50" s="151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>
      <c r="B51" s="149"/>
      <c r="C51" s="149"/>
      <c r="D51" s="157"/>
      <c r="E51" s="151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>
      <c r="B52" s="149"/>
      <c r="C52" s="149"/>
      <c r="D52" s="157"/>
      <c r="E52" s="151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>
      <c r="B53" s="149"/>
      <c r="C53" s="149"/>
      <c r="D53" s="157"/>
      <c r="E53" s="151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>
      <c r="B54" s="149"/>
      <c r="C54" s="149"/>
      <c r="D54" s="157"/>
      <c r="E54" s="151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>
      <c r="B55" s="149"/>
      <c r="C55" s="149"/>
      <c r="D55" s="157"/>
      <c r="E55" s="151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>
      <c r="B56" s="149"/>
      <c r="C56" s="149"/>
      <c r="D56" s="157"/>
      <c r="E56" s="151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>
      <c r="B57" s="149"/>
      <c r="C57" s="149"/>
      <c r="D57" s="157"/>
      <c r="E57" s="151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>
      <c r="B58" s="149"/>
      <c r="C58" s="149"/>
      <c r="D58" s="157"/>
      <c r="E58" s="151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>
      <c r="B59" s="149"/>
      <c r="C59" s="149"/>
      <c r="D59" s="157"/>
      <c r="E59" s="151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>
      <c r="B60" s="149"/>
      <c r="C60" s="149"/>
      <c r="D60" s="157"/>
      <c r="E60" s="151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>
      <c r="B61" s="149"/>
      <c r="C61" s="149"/>
      <c r="D61" s="157"/>
      <c r="E61" s="151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>
      <c r="B62" s="149"/>
      <c r="C62" s="149"/>
      <c r="D62" s="157"/>
      <c r="E62" s="151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>
      <c r="B63" s="149"/>
      <c r="C63" s="149"/>
      <c r="D63" s="157"/>
      <c r="E63" s="151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>
      <c r="B64" s="149"/>
      <c r="C64" s="149"/>
      <c r="D64" s="157"/>
      <c r="E64" s="151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>
      <c r="B65" s="149"/>
      <c r="C65" s="149"/>
      <c r="D65" s="157"/>
      <c r="E65" s="151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>
      <c r="B66" s="149"/>
      <c r="C66" s="149"/>
      <c r="D66" s="157"/>
      <c r="E66" s="151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>
      <c r="B67" s="149"/>
      <c r="C67" s="149"/>
      <c r="D67" s="157"/>
      <c r="E67" s="151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>
      <c r="B68" s="149"/>
      <c r="C68" s="149"/>
      <c r="D68" s="157"/>
      <c r="E68" s="151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>
      <c r="B69" s="149"/>
      <c r="C69" s="149"/>
      <c r="D69" s="157"/>
      <c r="E69" s="151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>
      <c r="B70" s="149"/>
      <c r="C70" s="149"/>
      <c r="D70" s="157"/>
      <c r="E70" s="151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>
      <c r="B71" s="149"/>
      <c r="C71" s="149"/>
      <c r="D71" s="157"/>
      <c r="E71" s="151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>
      <c r="B72" s="149"/>
      <c r="C72" s="149"/>
      <c r="D72" s="157"/>
      <c r="E72" s="151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>
      <c r="B73" s="149"/>
      <c r="C73" s="149"/>
      <c r="D73" s="157"/>
      <c r="E73" s="151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>
      <c r="B74" s="149"/>
      <c r="C74" s="149"/>
      <c r="D74" s="157"/>
      <c r="E74" s="151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>
      <c r="B75" s="149"/>
      <c r="C75" s="149"/>
      <c r="D75" s="157"/>
      <c r="E75" s="151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>
      <c r="B76" s="149"/>
      <c r="C76" s="149"/>
      <c r="D76" s="157"/>
      <c r="E76" s="151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>
      <c r="B77" s="149"/>
      <c r="C77" s="149"/>
      <c r="D77" s="157"/>
      <c r="E77" s="151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>
      <c r="B78" s="149"/>
      <c r="C78" s="149"/>
      <c r="D78" s="157"/>
      <c r="E78" s="151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>
      <c r="B79" s="149"/>
      <c r="C79" s="149"/>
      <c r="D79" s="157"/>
      <c r="E79" s="151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>
      <c r="B80" s="149"/>
      <c r="C80" s="149"/>
      <c r="D80" s="157"/>
      <c r="E80" s="151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>
      <c r="B81" s="149"/>
      <c r="C81" s="149"/>
      <c r="D81" s="157"/>
      <c r="E81" s="151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>
      <c r="B82" s="149"/>
      <c r="C82" s="149"/>
      <c r="D82" s="157"/>
      <c r="E82" s="151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>
      <c r="B83" s="149"/>
      <c r="C83" s="149"/>
      <c r="D83" s="157"/>
      <c r="E83" s="151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>
      <c r="B84" s="149"/>
      <c r="C84" s="149"/>
      <c r="D84" s="157"/>
      <c r="E84" s="151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>
      <c r="B85" s="149"/>
      <c r="C85" s="149"/>
      <c r="D85" s="157"/>
      <c r="E85" s="151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>
      <c r="B86" s="149"/>
      <c r="C86" s="149"/>
      <c r="D86" s="157"/>
      <c r="E86" s="151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>
      <c r="B87" s="149"/>
      <c r="C87" s="149"/>
      <c r="D87" s="157"/>
      <c r="E87" s="151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>
      <c r="B88" s="149"/>
      <c r="C88" s="149"/>
      <c r="D88" s="157"/>
      <c r="E88" s="151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>
      <c r="B89" s="149"/>
      <c r="C89" s="149"/>
      <c r="D89" s="157"/>
      <c r="E89" s="151"/>
    </row>
    <row r="90">
      <c r="B90" s="149"/>
      <c r="C90" s="149"/>
      <c r="D90" s="157"/>
      <c r="E90" s="151"/>
    </row>
    <row r="91">
      <c r="B91" s="149"/>
      <c r="C91" s="149"/>
      <c r="D91" s="157"/>
      <c r="E91" s="151"/>
    </row>
    <row r="92">
      <c r="B92" s="149"/>
      <c r="C92" s="149"/>
      <c r="D92" s="157"/>
      <c r="E92" s="151"/>
    </row>
    <row r="93">
      <c r="B93" s="149"/>
      <c r="C93" s="149"/>
      <c r="D93" s="157"/>
      <c r="E93" s="151"/>
    </row>
    <row r="94">
      <c r="B94" s="149"/>
      <c r="C94" s="149"/>
      <c r="D94" s="157"/>
      <c r="E94" s="151"/>
    </row>
    <row r="95">
      <c r="B95" s="149"/>
      <c r="C95" s="149"/>
      <c r="D95" s="157"/>
      <c r="E95" s="151"/>
    </row>
    <row r="96">
      <c r="B96" s="149"/>
      <c r="C96" s="149"/>
      <c r="D96" s="157"/>
      <c r="E96" s="151"/>
    </row>
    <row r="97">
      <c r="B97" s="149"/>
      <c r="C97" s="149"/>
      <c r="D97" s="157"/>
      <c r="E97" s="151"/>
    </row>
    <row r="98">
      <c r="B98" s="149"/>
      <c r="C98" s="149"/>
      <c r="D98" s="157"/>
      <c r="E98" s="151"/>
    </row>
    <row r="99">
      <c r="B99" s="149"/>
      <c r="C99" s="149"/>
      <c r="D99" s="157"/>
      <c r="E99" s="151"/>
    </row>
    <row r="100">
      <c r="B100" s="149"/>
      <c r="C100" s="149"/>
      <c r="D100" s="157"/>
      <c r="E100" s="151"/>
    </row>
    <row r="101">
      <c r="B101" s="149"/>
      <c r="C101" s="149"/>
      <c r="D101" s="157"/>
      <c r="E101" s="151"/>
    </row>
    <row r="102">
      <c r="B102" s="149"/>
      <c r="C102" s="149"/>
      <c r="D102" s="157"/>
      <c r="E102" s="151"/>
    </row>
    <row r="103">
      <c r="B103" s="149"/>
      <c r="C103" s="149"/>
      <c r="D103" s="157"/>
      <c r="E103" s="151"/>
    </row>
    <row r="104">
      <c r="B104" s="149"/>
      <c r="C104" s="149"/>
      <c r="D104" s="157"/>
      <c r="E104" s="151"/>
    </row>
    <row r="105">
      <c r="B105" s="149"/>
      <c r="C105" s="149"/>
      <c r="D105" s="157"/>
      <c r="E105" s="151"/>
    </row>
    <row r="106">
      <c r="B106" s="149"/>
      <c r="C106" s="149"/>
      <c r="D106" s="157"/>
      <c r="E106" s="151"/>
    </row>
    <row r="107">
      <c r="B107" s="149"/>
      <c r="C107" s="149"/>
      <c r="D107" s="157"/>
      <c r="E107" s="151"/>
    </row>
    <row r="108">
      <c r="B108" s="149"/>
      <c r="C108" s="149"/>
      <c r="D108" s="157"/>
      <c r="E108" s="151"/>
    </row>
    <row r="109">
      <c r="B109" s="149"/>
      <c r="C109" s="149"/>
      <c r="D109" s="157"/>
      <c r="E109" s="151"/>
    </row>
    <row r="110">
      <c r="B110" s="149"/>
      <c r="C110" s="149"/>
      <c r="D110" s="157"/>
      <c r="E110" s="151"/>
    </row>
    <row r="111">
      <c r="B111" s="149"/>
      <c r="C111" s="149"/>
      <c r="D111" s="157"/>
      <c r="E111" s="151"/>
    </row>
    <row r="112">
      <c r="B112" s="149"/>
      <c r="C112" s="149"/>
      <c r="D112" s="157"/>
      <c r="E112" s="151"/>
    </row>
    <row r="113">
      <c r="B113" s="149"/>
      <c r="C113" s="149"/>
      <c r="D113" s="157"/>
      <c r="E113" s="151"/>
    </row>
    <row r="114">
      <c r="B114" s="149"/>
      <c r="C114" s="149"/>
      <c r="D114" s="157"/>
      <c r="E114" s="151"/>
    </row>
    <row r="115">
      <c r="B115" s="149"/>
      <c r="C115" s="149"/>
      <c r="D115" s="157"/>
      <c r="E115" s="151"/>
    </row>
    <row r="116">
      <c r="B116" s="149"/>
      <c r="C116" s="149"/>
      <c r="D116" s="157"/>
      <c r="E116" s="151"/>
    </row>
    <row r="117">
      <c r="B117" s="149"/>
      <c r="C117" s="149"/>
      <c r="D117" s="157"/>
      <c r="E117" s="151"/>
    </row>
    <row r="118">
      <c r="B118" s="149"/>
      <c r="C118" s="149"/>
      <c r="D118" s="157"/>
      <c r="E118" s="151"/>
    </row>
    <row r="119">
      <c r="B119" s="149"/>
      <c r="C119" s="149"/>
      <c r="D119" s="157"/>
      <c r="E119" s="151"/>
    </row>
    <row r="120">
      <c r="B120" s="149"/>
      <c r="C120" s="149"/>
      <c r="D120" s="157"/>
      <c r="E120" s="151"/>
    </row>
    <row r="121">
      <c r="B121" s="149"/>
      <c r="C121" s="149"/>
      <c r="D121" s="157"/>
      <c r="E121" s="151"/>
    </row>
    <row r="122">
      <c r="B122" s="149"/>
      <c r="C122" s="149"/>
      <c r="D122" s="157"/>
      <c r="E122" s="151"/>
    </row>
    <row r="123">
      <c r="B123" s="149"/>
      <c r="C123" s="149"/>
      <c r="D123" s="157"/>
      <c r="E123" s="151"/>
    </row>
    <row r="124">
      <c r="B124" s="149"/>
      <c r="C124" s="149"/>
      <c r="D124" s="157"/>
      <c r="E124" s="151"/>
    </row>
    <row r="125">
      <c r="B125" s="149"/>
      <c r="C125" s="149"/>
      <c r="D125" s="157"/>
      <c r="E125" s="151"/>
    </row>
    <row r="126">
      <c r="B126" s="149"/>
      <c r="C126" s="149"/>
      <c r="D126" s="157"/>
      <c r="E126" s="151"/>
    </row>
    <row r="127">
      <c r="B127" s="149"/>
      <c r="C127" s="149"/>
      <c r="D127" s="157"/>
      <c r="E127" s="151"/>
    </row>
    <row r="128">
      <c r="B128" s="149"/>
      <c r="C128" s="149"/>
      <c r="D128" s="157"/>
      <c r="E128" s="151"/>
    </row>
    <row r="129">
      <c r="B129" s="149"/>
      <c r="C129" s="149"/>
      <c r="D129" s="157"/>
      <c r="E129" s="151"/>
    </row>
    <row r="130">
      <c r="B130" s="149"/>
      <c r="C130" s="149"/>
      <c r="D130" s="157"/>
      <c r="E130" s="151"/>
    </row>
    <row r="131">
      <c r="B131" s="149"/>
      <c r="C131" s="149"/>
      <c r="D131" s="157"/>
      <c r="E131" s="151"/>
    </row>
    <row r="132">
      <c r="B132" s="149"/>
      <c r="C132" s="149"/>
      <c r="D132" s="157"/>
      <c r="E132" s="151"/>
    </row>
    <row r="133">
      <c r="B133" s="149"/>
      <c r="C133" s="149"/>
      <c r="D133" s="157"/>
      <c r="E133" s="151"/>
    </row>
    <row r="134">
      <c r="B134" s="149"/>
      <c r="C134" s="149"/>
      <c r="D134" s="157"/>
      <c r="E134" s="151"/>
    </row>
    <row r="135">
      <c r="B135" s="149"/>
      <c r="C135" s="149"/>
      <c r="D135" s="157"/>
      <c r="E135" s="151"/>
    </row>
    <row r="136">
      <c r="B136" s="149"/>
      <c r="C136" s="149"/>
      <c r="D136" s="157"/>
      <c r="E136" s="151"/>
    </row>
    <row r="137">
      <c r="B137" s="149"/>
      <c r="C137" s="149"/>
      <c r="D137" s="157"/>
      <c r="E137" s="149"/>
    </row>
    <row r="138">
      <c r="B138" s="149"/>
      <c r="C138" s="149"/>
      <c r="D138" s="157"/>
      <c r="E138" s="149"/>
    </row>
    <row r="139">
      <c r="B139" s="149"/>
      <c r="C139" s="149"/>
      <c r="D139" s="157"/>
      <c r="E139" s="149"/>
    </row>
    <row r="140">
      <c r="B140" s="149"/>
      <c r="C140" s="149"/>
      <c r="D140" s="157"/>
      <c r="E140" s="149"/>
    </row>
    <row r="141">
      <c r="B141" s="149"/>
      <c r="C141" s="149"/>
      <c r="D141" s="157"/>
      <c r="E141" s="149"/>
    </row>
    <row r="142">
      <c r="B142" s="149"/>
      <c r="C142" s="149"/>
      <c r="D142" s="157"/>
      <c r="E142" s="149"/>
    </row>
    <row r="143">
      <c r="B143" s="149"/>
      <c r="C143" s="149"/>
      <c r="D143" s="157"/>
      <c r="E143" s="149"/>
    </row>
    <row r="144">
      <c r="B144" s="149"/>
      <c r="C144" s="149"/>
      <c r="D144" s="157"/>
      <c r="E144" s="149"/>
    </row>
    <row r="145">
      <c r="B145" s="149"/>
      <c r="C145" s="149"/>
      <c r="D145" s="157"/>
      <c r="E145" s="149"/>
    </row>
    <row r="146">
      <c r="B146" s="149"/>
      <c r="C146" s="149"/>
      <c r="D146" s="157"/>
      <c r="E146" s="149"/>
    </row>
    <row r="147">
      <c r="B147" s="149"/>
      <c r="C147" s="149"/>
      <c r="D147" s="157"/>
      <c r="E147" s="149"/>
    </row>
    <row r="148">
      <c r="B148" s="149"/>
      <c r="C148" s="149"/>
      <c r="D148" s="157"/>
      <c r="E148" s="149"/>
    </row>
    <row r="149">
      <c r="B149" s="149"/>
      <c r="C149" s="149"/>
      <c r="D149" s="157"/>
      <c r="E149" s="149"/>
    </row>
    <row r="150">
      <c r="B150" s="149"/>
      <c r="C150" s="149"/>
      <c r="D150" s="157"/>
      <c r="E150" s="149"/>
    </row>
    <row r="151">
      <c r="B151" s="149"/>
      <c r="C151" s="149"/>
      <c r="D151" s="157"/>
      <c r="E151" s="149"/>
    </row>
    <row r="152">
      <c r="B152" s="149"/>
      <c r="C152" s="149"/>
      <c r="D152" s="157"/>
      <c r="E152" s="149"/>
    </row>
    <row r="153">
      <c r="B153" s="149"/>
      <c r="C153" s="149"/>
      <c r="D153" s="157"/>
      <c r="E153" s="149"/>
    </row>
    <row r="154">
      <c r="B154" s="149"/>
      <c r="C154" s="149"/>
      <c r="D154" s="157"/>
      <c r="E154" s="149"/>
    </row>
    <row r="155">
      <c r="B155" s="149"/>
      <c r="C155" s="149"/>
      <c r="D155" s="157"/>
      <c r="E155" s="149"/>
    </row>
    <row r="156">
      <c r="B156" s="149"/>
      <c r="C156" s="149"/>
      <c r="D156" s="157"/>
      <c r="E156" s="149"/>
    </row>
    <row r="157">
      <c r="B157" s="149"/>
      <c r="C157" s="149"/>
      <c r="D157" s="157"/>
      <c r="E157" s="149"/>
    </row>
    <row r="158">
      <c r="B158" s="149"/>
      <c r="C158" s="149"/>
      <c r="D158" s="157"/>
      <c r="E158" s="149"/>
    </row>
    <row r="159">
      <c r="B159" s="149"/>
      <c r="C159" s="149"/>
      <c r="D159" s="157"/>
      <c r="E159" s="149"/>
    </row>
    <row r="160">
      <c r="B160" s="149"/>
      <c r="C160" s="149"/>
      <c r="D160" s="157"/>
      <c r="E160" s="149"/>
    </row>
    <row r="161">
      <c r="B161" s="149"/>
      <c r="C161" s="149"/>
      <c r="D161" s="157"/>
      <c r="E161" s="149"/>
    </row>
    <row r="162">
      <c r="B162" s="149"/>
      <c r="C162" s="149"/>
      <c r="D162" s="157"/>
      <c r="E162" s="149"/>
    </row>
    <row r="163">
      <c r="B163" s="149"/>
      <c r="C163" s="149"/>
      <c r="D163" s="157"/>
      <c r="E163" s="149"/>
    </row>
    <row r="164">
      <c r="B164" s="149"/>
      <c r="C164" s="149"/>
      <c r="D164" s="157"/>
      <c r="E164" s="149"/>
    </row>
    <row r="165">
      <c r="B165" s="149"/>
      <c r="C165" s="149"/>
      <c r="D165" s="157"/>
      <c r="E165" s="149"/>
    </row>
    <row r="166">
      <c r="B166" s="149"/>
      <c r="C166" s="149"/>
      <c r="D166" s="157"/>
      <c r="E166" s="149"/>
    </row>
    <row r="167">
      <c r="B167" s="149"/>
      <c r="C167" s="149"/>
      <c r="D167" s="157"/>
      <c r="E167" s="149"/>
    </row>
    <row r="168">
      <c r="B168" s="149"/>
      <c r="C168" s="149"/>
      <c r="D168" s="157"/>
      <c r="E168" s="149"/>
    </row>
    <row r="169">
      <c r="B169" s="149"/>
      <c r="C169" s="149"/>
      <c r="D169" s="157"/>
      <c r="E169" s="149"/>
    </row>
    <row r="170">
      <c r="B170" s="149"/>
      <c r="C170" s="149"/>
      <c r="D170" s="157"/>
      <c r="E170" s="149"/>
    </row>
    <row r="171">
      <c r="B171" s="149"/>
      <c r="C171" s="149"/>
      <c r="D171" s="157"/>
      <c r="E171" s="149"/>
    </row>
    <row r="172">
      <c r="B172" s="149"/>
      <c r="C172" s="149"/>
      <c r="D172" s="157"/>
      <c r="E172" s="149"/>
    </row>
    <row r="173">
      <c r="B173" s="149"/>
      <c r="C173" s="149"/>
      <c r="D173" s="157"/>
      <c r="E173" s="149"/>
    </row>
    <row r="174">
      <c r="B174" s="149"/>
      <c r="C174" s="149"/>
      <c r="D174" s="157"/>
      <c r="E174" s="149"/>
    </row>
    <row r="175">
      <c r="B175" s="149"/>
      <c r="C175" s="149"/>
      <c r="D175" s="157"/>
      <c r="E175" s="149"/>
    </row>
    <row r="176">
      <c r="B176" s="149"/>
      <c r="C176" s="149"/>
      <c r="D176" s="157"/>
      <c r="E176" s="149"/>
    </row>
    <row r="177">
      <c r="B177" s="149"/>
      <c r="C177" s="149"/>
      <c r="D177" s="157"/>
      <c r="E177" s="149"/>
    </row>
    <row r="178">
      <c r="B178" s="149"/>
      <c r="C178" s="149"/>
      <c r="D178" s="157"/>
      <c r="E178" s="149"/>
    </row>
    <row r="179">
      <c r="B179" s="149"/>
      <c r="C179" s="149"/>
      <c r="D179" s="157"/>
      <c r="E179" s="149"/>
    </row>
    <row r="180">
      <c r="B180" s="149"/>
      <c r="C180" s="149"/>
      <c r="D180" s="157"/>
      <c r="E180" s="149"/>
    </row>
    <row r="181">
      <c r="B181" s="149"/>
      <c r="C181" s="149"/>
      <c r="D181" s="157"/>
      <c r="E181" s="149"/>
    </row>
    <row r="182">
      <c r="B182" s="149"/>
      <c r="C182" s="149"/>
      <c r="D182" s="157"/>
      <c r="E182" s="149"/>
    </row>
    <row r="183">
      <c r="B183" s="149"/>
      <c r="C183" s="149"/>
      <c r="D183" s="157"/>
      <c r="E183" s="149"/>
    </row>
    <row r="184">
      <c r="B184" s="149"/>
      <c r="C184" s="149"/>
      <c r="D184" s="157"/>
      <c r="E184" s="149"/>
    </row>
    <row r="185">
      <c r="B185" s="149"/>
      <c r="C185" s="149"/>
      <c r="D185" s="157"/>
      <c r="E185" s="149"/>
    </row>
    <row r="186">
      <c r="B186" s="149"/>
      <c r="C186" s="149"/>
      <c r="D186" s="157"/>
      <c r="E186" s="149"/>
    </row>
    <row r="187">
      <c r="B187" s="149"/>
      <c r="C187" s="149"/>
      <c r="D187" s="157"/>
      <c r="E187" s="149"/>
    </row>
    <row r="188">
      <c r="B188" s="149"/>
      <c r="C188" s="149"/>
      <c r="D188" s="157"/>
      <c r="E188" s="149"/>
    </row>
    <row r="189">
      <c r="B189" s="149"/>
      <c r="C189" s="149"/>
      <c r="D189" s="157"/>
      <c r="E189" s="149"/>
    </row>
    <row r="190">
      <c r="B190" s="149"/>
      <c r="C190" s="149"/>
      <c r="D190" s="157"/>
      <c r="E190" s="149"/>
    </row>
    <row r="191">
      <c r="B191" s="149"/>
      <c r="C191" s="149"/>
      <c r="D191" s="157"/>
      <c r="E191" s="149"/>
    </row>
    <row r="192">
      <c r="B192" s="149"/>
      <c r="C192" s="149"/>
      <c r="D192" s="157"/>
      <c r="E192" s="149"/>
    </row>
    <row r="193">
      <c r="B193" s="149"/>
      <c r="C193" s="149"/>
      <c r="D193" s="157"/>
      <c r="E193" s="149"/>
    </row>
    <row r="194">
      <c r="B194" s="149"/>
      <c r="C194" s="149"/>
      <c r="D194" s="157"/>
      <c r="E194" s="149"/>
    </row>
    <row r="195">
      <c r="B195" s="149"/>
      <c r="C195" s="149"/>
      <c r="D195" s="157"/>
      <c r="E195" s="149"/>
    </row>
    <row r="196">
      <c r="B196" s="149"/>
      <c r="C196" s="149"/>
      <c r="D196" s="157"/>
      <c r="E196" s="149"/>
    </row>
    <row r="197">
      <c r="B197" s="149"/>
      <c r="C197" s="149"/>
      <c r="D197" s="157"/>
      <c r="E197" s="149"/>
    </row>
    <row r="198">
      <c r="B198" s="149"/>
      <c r="C198" s="149"/>
      <c r="D198" s="157"/>
      <c r="E198" s="149"/>
    </row>
    <row r="199">
      <c r="B199" s="149"/>
      <c r="C199" s="149"/>
      <c r="D199" s="157"/>
      <c r="E199" s="149"/>
    </row>
    <row r="200">
      <c r="B200" s="149"/>
      <c r="C200" s="149"/>
      <c r="D200" s="157"/>
      <c r="E200" s="149"/>
    </row>
    <row r="201">
      <c r="B201" s="149"/>
      <c r="C201" s="149"/>
      <c r="D201" s="157"/>
      <c r="E201" s="149"/>
    </row>
    <row r="202">
      <c r="B202" s="149"/>
      <c r="C202" s="149"/>
      <c r="D202" s="157"/>
      <c r="E202" s="149"/>
    </row>
    <row r="203">
      <c r="B203" s="149"/>
      <c r="C203" s="149"/>
      <c r="D203" s="157"/>
      <c r="E203" s="149"/>
    </row>
    <row r="204">
      <c r="B204" s="149"/>
      <c r="C204" s="149"/>
      <c r="D204" s="157"/>
      <c r="E204" s="149"/>
    </row>
    <row r="205">
      <c r="B205" s="149"/>
      <c r="C205" s="149"/>
      <c r="D205" s="157"/>
      <c r="E205" s="149"/>
    </row>
    <row r="206">
      <c r="B206" s="149"/>
      <c r="C206" s="149"/>
      <c r="D206" s="157"/>
      <c r="E206" s="149"/>
    </row>
    <row r="207">
      <c r="B207" s="149"/>
      <c r="C207" s="149"/>
      <c r="D207" s="157"/>
      <c r="E207" s="149"/>
    </row>
    <row r="208">
      <c r="B208" s="149"/>
      <c r="C208" s="149"/>
      <c r="D208" s="157"/>
      <c r="E208" s="149"/>
    </row>
    <row r="209">
      <c r="B209" s="149"/>
      <c r="C209" s="149"/>
      <c r="D209" s="157"/>
      <c r="E209" s="149"/>
    </row>
    <row r="210">
      <c r="B210" s="149"/>
      <c r="C210" s="149"/>
      <c r="D210" s="157"/>
      <c r="E210" s="149"/>
    </row>
    <row r="211">
      <c r="B211" s="149"/>
      <c r="C211" s="149"/>
      <c r="D211" s="157"/>
      <c r="E211" s="149"/>
    </row>
    <row r="212">
      <c r="B212" s="149"/>
      <c r="C212" s="149"/>
      <c r="D212" s="157"/>
      <c r="E212" s="149"/>
    </row>
    <row r="213">
      <c r="B213" s="149"/>
      <c r="C213" s="149"/>
      <c r="D213" s="157"/>
      <c r="E213" s="149"/>
    </row>
    <row r="214">
      <c r="B214" s="149"/>
      <c r="C214" s="149"/>
      <c r="D214" s="157"/>
      <c r="E214" s="149"/>
    </row>
    <row r="215">
      <c r="B215" s="149"/>
      <c r="C215" s="149"/>
      <c r="D215" s="157"/>
      <c r="E215" s="149"/>
    </row>
    <row r="216">
      <c r="B216" s="149"/>
      <c r="C216" s="149"/>
      <c r="D216" s="157"/>
      <c r="E216" s="149"/>
    </row>
    <row r="217">
      <c r="B217" s="149"/>
      <c r="C217" s="149"/>
      <c r="D217" s="157"/>
      <c r="E217" s="149"/>
    </row>
    <row r="218">
      <c r="B218" s="149"/>
      <c r="C218" s="149"/>
      <c r="D218" s="157"/>
      <c r="E218" s="149"/>
    </row>
    <row r="219">
      <c r="B219" s="149"/>
      <c r="C219" s="149"/>
      <c r="D219" s="157"/>
      <c r="E219" s="149"/>
    </row>
    <row r="220">
      <c r="B220" s="149"/>
      <c r="C220" s="149"/>
      <c r="D220" s="157"/>
      <c r="E220" s="149"/>
    </row>
    <row r="221">
      <c r="B221" s="149"/>
      <c r="C221" s="149"/>
      <c r="D221" s="157"/>
      <c r="E221" s="149"/>
    </row>
    <row r="222">
      <c r="B222" s="149"/>
      <c r="C222" s="149"/>
      <c r="D222" s="157"/>
      <c r="E222" s="149"/>
    </row>
    <row r="223">
      <c r="B223" s="149"/>
      <c r="C223" s="149"/>
      <c r="D223" s="157"/>
      <c r="E223" s="149"/>
    </row>
    <row r="224">
      <c r="B224" s="149"/>
      <c r="C224" s="149"/>
      <c r="D224" s="157"/>
      <c r="E224" s="149"/>
    </row>
    <row r="225">
      <c r="B225" s="149"/>
      <c r="C225" s="149"/>
      <c r="D225" s="157"/>
      <c r="E225" s="149"/>
    </row>
    <row r="226">
      <c r="B226" s="149"/>
      <c r="C226" s="149"/>
      <c r="D226" s="157"/>
      <c r="E226" s="149"/>
    </row>
    <row r="227">
      <c r="B227" s="149"/>
      <c r="C227" s="149"/>
      <c r="D227" s="157"/>
      <c r="E227" s="149"/>
    </row>
    <row r="228">
      <c r="B228" s="149"/>
      <c r="C228" s="149"/>
      <c r="D228" s="157"/>
      <c r="E228" s="149"/>
    </row>
    <row r="229">
      <c r="B229" s="149"/>
      <c r="C229" s="149"/>
      <c r="D229" s="157"/>
      <c r="E229" s="149"/>
    </row>
    <row r="230">
      <c r="B230" s="149"/>
      <c r="C230" s="149"/>
      <c r="D230" s="157"/>
      <c r="E230" s="149"/>
    </row>
    <row r="231">
      <c r="B231" s="149"/>
      <c r="C231" s="149"/>
      <c r="D231" s="157"/>
      <c r="E231" s="149"/>
    </row>
    <row r="232">
      <c r="B232" s="149"/>
      <c r="C232" s="149"/>
      <c r="D232" s="157"/>
      <c r="E232" s="149"/>
    </row>
    <row r="233">
      <c r="B233" s="149"/>
      <c r="C233" s="149"/>
      <c r="D233" s="157"/>
      <c r="E233" s="149"/>
    </row>
    <row r="234">
      <c r="B234" s="149"/>
      <c r="C234" s="149"/>
      <c r="D234" s="157"/>
      <c r="E234" s="149"/>
    </row>
    <row r="235">
      <c r="B235" s="149"/>
      <c r="C235" s="149"/>
      <c r="D235" s="157"/>
      <c r="E235" s="149"/>
    </row>
    <row r="236">
      <c r="B236" s="149"/>
      <c r="C236" s="149"/>
      <c r="D236" s="157"/>
      <c r="E236" s="149"/>
    </row>
    <row r="237">
      <c r="B237" s="149"/>
      <c r="C237" s="149"/>
      <c r="D237" s="157"/>
      <c r="E237" s="149"/>
    </row>
    <row r="238">
      <c r="B238" s="149"/>
      <c r="C238" s="149"/>
      <c r="D238" s="157"/>
      <c r="E238" s="149"/>
    </row>
    <row r="239">
      <c r="B239" s="149"/>
      <c r="C239" s="149"/>
      <c r="D239" s="157"/>
      <c r="E239" s="149"/>
    </row>
    <row r="240">
      <c r="B240" s="149"/>
      <c r="C240" s="149"/>
      <c r="D240" s="157"/>
      <c r="E240" s="149"/>
    </row>
    <row r="241">
      <c r="B241" s="149"/>
      <c r="C241" s="149"/>
      <c r="D241" s="157"/>
      <c r="E241" s="149"/>
    </row>
    <row r="242">
      <c r="B242" s="149"/>
      <c r="C242" s="149"/>
      <c r="D242" s="157"/>
      <c r="E242" s="149"/>
    </row>
    <row r="243">
      <c r="B243" s="149"/>
      <c r="C243" s="149"/>
      <c r="D243" s="157"/>
      <c r="E243" s="149"/>
    </row>
    <row r="244">
      <c r="B244" s="149"/>
      <c r="C244" s="149"/>
      <c r="D244" s="157"/>
      <c r="E244" s="149"/>
    </row>
    <row r="245">
      <c r="B245" s="149"/>
      <c r="C245" s="149"/>
      <c r="D245" s="157"/>
      <c r="E245" s="149"/>
    </row>
    <row r="246">
      <c r="B246" s="149"/>
      <c r="C246" s="149"/>
      <c r="D246" s="157"/>
      <c r="E246" s="149"/>
    </row>
    <row r="247">
      <c r="B247" s="149"/>
      <c r="C247" s="149"/>
      <c r="D247" s="157"/>
      <c r="E247" s="149"/>
    </row>
    <row r="248">
      <c r="B248" s="149"/>
      <c r="C248" s="149"/>
      <c r="D248" s="157"/>
      <c r="E248" s="149"/>
    </row>
    <row r="249">
      <c r="B249" s="149"/>
      <c r="C249" s="149"/>
      <c r="D249" s="157"/>
      <c r="E249" s="149"/>
    </row>
    <row r="250">
      <c r="B250" s="149"/>
      <c r="C250" s="149"/>
      <c r="D250" s="157"/>
      <c r="E250" s="149"/>
    </row>
    <row r="251">
      <c r="B251" s="149"/>
      <c r="C251" s="149"/>
      <c r="D251" s="157"/>
      <c r="E251" s="149"/>
    </row>
    <row r="252">
      <c r="B252" s="149"/>
      <c r="C252" s="149"/>
      <c r="D252" s="157"/>
      <c r="E252" s="149"/>
    </row>
    <row r="253">
      <c r="B253" s="149"/>
      <c r="C253" s="149"/>
      <c r="D253" s="157"/>
      <c r="E253" s="149"/>
    </row>
    <row r="254">
      <c r="B254" s="149"/>
      <c r="C254" s="149"/>
      <c r="D254" s="157"/>
      <c r="E254" s="149"/>
    </row>
    <row r="255">
      <c r="B255" s="149"/>
      <c r="C255" s="149"/>
      <c r="D255" s="157"/>
      <c r="E255" s="149"/>
    </row>
    <row r="256">
      <c r="B256" s="149"/>
      <c r="C256" s="149"/>
      <c r="D256" s="157"/>
      <c r="E256" s="149"/>
    </row>
    <row r="257">
      <c r="B257" s="149"/>
      <c r="C257" s="149"/>
      <c r="D257" s="157"/>
      <c r="E257" s="149"/>
    </row>
    <row r="258">
      <c r="B258" s="149"/>
      <c r="C258" s="149"/>
      <c r="D258" s="157"/>
      <c r="E258" s="149"/>
    </row>
    <row r="259">
      <c r="B259" s="149"/>
      <c r="C259" s="149"/>
      <c r="D259" s="157"/>
      <c r="E259" s="149"/>
    </row>
    <row r="260">
      <c r="B260" s="149"/>
      <c r="C260" s="149"/>
      <c r="D260" s="157"/>
      <c r="E260" s="149"/>
    </row>
    <row r="261">
      <c r="B261" s="149"/>
      <c r="C261" s="149"/>
      <c r="D261" s="157"/>
      <c r="E261" s="149"/>
    </row>
    <row r="262">
      <c r="B262" s="149"/>
      <c r="C262" s="149"/>
      <c r="D262" s="157"/>
      <c r="E262" s="149"/>
    </row>
    <row r="263">
      <c r="B263" s="149"/>
      <c r="C263" s="149"/>
      <c r="D263" s="157"/>
      <c r="E263" s="149"/>
    </row>
    <row r="264">
      <c r="B264" s="149"/>
      <c r="C264" s="149"/>
      <c r="D264" s="157"/>
      <c r="E264" s="149"/>
    </row>
    <row r="265">
      <c r="B265" s="149"/>
      <c r="C265" s="149"/>
      <c r="D265" s="157"/>
      <c r="E265" s="149"/>
    </row>
    <row r="266">
      <c r="B266" s="149"/>
      <c r="C266" s="149"/>
      <c r="D266" s="157"/>
      <c r="E266" s="149"/>
    </row>
    <row r="267">
      <c r="B267" s="149"/>
      <c r="C267" s="149"/>
      <c r="D267" s="157"/>
      <c r="E267" s="149"/>
    </row>
    <row r="268">
      <c r="B268" s="149"/>
      <c r="C268" s="149"/>
      <c r="D268" s="157"/>
      <c r="E268" s="149"/>
    </row>
    <row r="269">
      <c r="B269" s="149"/>
      <c r="C269" s="149"/>
      <c r="D269" s="157"/>
      <c r="E269" s="149"/>
    </row>
    <row r="270">
      <c r="B270" s="149"/>
      <c r="C270" s="149"/>
      <c r="D270" s="157"/>
      <c r="E270" s="149"/>
    </row>
    <row r="271">
      <c r="B271" s="149"/>
      <c r="C271" s="149"/>
      <c r="D271" s="157"/>
      <c r="E271" s="149"/>
    </row>
    <row r="272">
      <c r="B272" s="149"/>
      <c r="C272" s="149"/>
      <c r="D272" s="157"/>
      <c r="E272" s="149"/>
    </row>
    <row r="273">
      <c r="B273" s="149"/>
      <c r="C273" s="149"/>
      <c r="D273" s="157"/>
      <c r="E273" s="149"/>
    </row>
    <row r="274">
      <c r="B274" s="149"/>
      <c r="C274" s="149"/>
      <c r="D274" s="157"/>
      <c r="E274" s="149"/>
    </row>
    <row r="275">
      <c r="B275" s="149"/>
      <c r="C275" s="149"/>
      <c r="D275" s="157"/>
      <c r="E275" s="149"/>
    </row>
    <row r="276">
      <c r="B276" s="149"/>
      <c r="C276" s="149"/>
      <c r="D276" s="157"/>
      <c r="E276" s="149"/>
    </row>
    <row r="277">
      <c r="B277" s="149"/>
      <c r="C277" s="149"/>
      <c r="D277" s="157"/>
      <c r="E277" s="149"/>
    </row>
    <row r="278">
      <c r="B278" s="149"/>
      <c r="C278" s="149"/>
      <c r="D278" s="157"/>
      <c r="E278" s="149"/>
    </row>
    <row r="279">
      <c r="B279" s="149"/>
      <c r="C279" s="149"/>
      <c r="D279" s="157"/>
      <c r="E279" s="149"/>
    </row>
    <row r="280">
      <c r="B280" s="149"/>
      <c r="C280" s="149"/>
      <c r="D280" s="157"/>
      <c r="E280" s="149"/>
    </row>
    <row r="281">
      <c r="B281" s="149"/>
      <c r="C281" s="149"/>
      <c r="D281" s="157"/>
      <c r="E281" s="149"/>
    </row>
    <row r="282">
      <c r="B282" s="149"/>
      <c r="C282" s="149"/>
      <c r="D282" s="157"/>
      <c r="E282" s="149"/>
    </row>
    <row r="283">
      <c r="B283" s="149"/>
      <c r="C283" s="149"/>
      <c r="D283" s="157"/>
      <c r="E283" s="149"/>
    </row>
    <row r="284">
      <c r="B284" s="149"/>
      <c r="C284" s="149"/>
      <c r="D284" s="157"/>
      <c r="E284" s="149"/>
    </row>
    <row r="285">
      <c r="B285" s="149"/>
      <c r="C285" s="149"/>
      <c r="D285" s="157"/>
      <c r="E285" s="149"/>
    </row>
    <row r="286">
      <c r="B286" s="149"/>
      <c r="C286" s="149"/>
      <c r="D286" s="157"/>
      <c r="E286" s="149"/>
    </row>
    <row r="287">
      <c r="B287" s="149"/>
      <c r="C287" s="149"/>
      <c r="D287" s="157"/>
      <c r="E287" s="149"/>
    </row>
    <row r="288">
      <c r="B288" s="149"/>
      <c r="C288" s="149"/>
      <c r="D288" s="157"/>
      <c r="E288" s="149"/>
    </row>
    <row r="289">
      <c r="B289" s="149"/>
      <c r="C289" s="149"/>
      <c r="D289" s="157"/>
      <c r="E289" s="149"/>
    </row>
    <row r="290">
      <c r="B290" s="149"/>
      <c r="C290" s="149"/>
      <c r="D290" s="157"/>
      <c r="E290" s="149"/>
    </row>
    <row r="291">
      <c r="B291" s="149"/>
      <c r="C291" s="149"/>
      <c r="D291" s="157"/>
      <c r="E291" s="149"/>
    </row>
    <row r="292">
      <c r="B292" s="149"/>
      <c r="C292" s="149"/>
      <c r="D292" s="157"/>
      <c r="E292" s="149"/>
    </row>
    <row r="293">
      <c r="B293" s="149"/>
      <c r="C293" s="149"/>
      <c r="D293" s="157"/>
      <c r="E293" s="149"/>
    </row>
    <row r="294">
      <c r="B294" s="149"/>
      <c r="C294" s="149"/>
      <c r="D294" s="157"/>
      <c r="E294" s="149"/>
    </row>
    <row r="295">
      <c r="B295" s="149"/>
      <c r="C295" s="149"/>
      <c r="D295" s="157"/>
      <c r="E295" s="149"/>
    </row>
    <row r="296">
      <c r="B296" s="149"/>
      <c r="C296" s="149"/>
      <c r="D296" s="157"/>
      <c r="E296" s="149"/>
    </row>
    <row r="297">
      <c r="B297" s="149"/>
      <c r="C297" s="149"/>
      <c r="D297" s="157"/>
      <c r="E297" s="149"/>
    </row>
    <row r="298">
      <c r="B298" s="149"/>
      <c r="C298" s="149"/>
      <c r="D298" s="157"/>
      <c r="E298" s="149"/>
    </row>
    <row r="299">
      <c r="B299" s="149"/>
      <c r="C299" s="149"/>
      <c r="D299" s="157"/>
      <c r="E299" s="149"/>
    </row>
    <row r="300">
      <c r="B300" s="149"/>
      <c r="C300" s="149"/>
      <c r="D300" s="157"/>
      <c r="E300" s="149"/>
    </row>
    <row r="301">
      <c r="B301" s="149"/>
      <c r="C301" s="149"/>
      <c r="D301" s="157"/>
      <c r="E301" s="149"/>
    </row>
    <row r="302">
      <c r="B302" s="149"/>
      <c r="C302" s="149"/>
      <c r="D302" s="157"/>
      <c r="E302" s="149"/>
    </row>
    <row r="303">
      <c r="B303" s="149"/>
      <c r="C303" s="149"/>
      <c r="D303" s="157"/>
      <c r="E303" s="149"/>
    </row>
    <row r="304">
      <c r="B304" s="149"/>
      <c r="C304" s="149"/>
      <c r="D304" s="157"/>
      <c r="E304" s="149"/>
    </row>
    <row r="305">
      <c r="B305" s="149"/>
      <c r="C305" s="149"/>
      <c r="D305" s="157"/>
      <c r="E305" s="149"/>
    </row>
    <row r="306">
      <c r="B306" s="149"/>
      <c r="C306" s="149"/>
      <c r="D306" s="157"/>
      <c r="E306" s="149"/>
    </row>
    <row r="307">
      <c r="B307" s="149"/>
      <c r="C307" s="149"/>
      <c r="D307" s="157"/>
      <c r="E307" s="149"/>
    </row>
    <row r="308">
      <c r="B308" s="149"/>
      <c r="C308" s="149"/>
      <c r="D308" s="157"/>
      <c r="E308" s="149"/>
    </row>
    <row r="309">
      <c r="B309" s="149"/>
      <c r="C309" s="149"/>
      <c r="D309" s="157"/>
      <c r="E309" s="149"/>
    </row>
    <row r="310">
      <c r="B310" s="149"/>
      <c r="C310" s="149"/>
      <c r="D310" s="157"/>
      <c r="E310" s="149"/>
    </row>
    <row r="311">
      <c r="B311" s="149"/>
      <c r="C311" s="149"/>
      <c r="D311" s="157"/>
      <c r="E311" s="149"/>
    </row>
    <row r="312">
      <c r="B312" s="149"/>
      <c r="C312" s="149"/>
      <c r="D312" s="157"/>
      <c r="E312" s="149"/>
    </row>
    <row r="313">
      <c r="B313" s="149"/>
      <c r="C313" s="149"/>
      <c r="D313" s="157"/>
      <c r="E313" s="149"/>
    </row>
    <row r="314">
      <c r="B314" s="149"/>
      <c r="C314" s="149"/>
      <c r="D314" s="157"/>
      <c r="E314" s="149"/>
    </row>
    <row r="315">
      <c r="B315" s="149"/>
      <c r="C315" s="149"/>
      <c r="D315" s="157"/>
      <c r="E315" s="149"/>
    </row>
    <row r="316">
      <c r="B316" s="149"/>
      <c r="C316" s="149"/>
      <c r="D316" s="157"/>
      <c r="E316" s="149"/>
    </row>
    <row r="317">
      <c r="B317" s="149"/>
      <c r="C317" s="149"/>
      <c r="D317" s="157"/>
      <c r="E317" s="149"/>
    </row>
    <row r="318">
      <c r="B318" s="149"/>
      <c r="C318" s="149"/>
      <c r="D318" s="157"/>
      <c r="E318" s="149"/>
    </row>
    <row r="319">
      <c r="B319" s="149"/>
      <c r="C319" s="149"/>
      <c r="D319" s="157"/>
      <c r="E319" s="149"/>
    </row>
    <row r="320">
      <c r="B320" s="149"/>
      <c r="C320" s="149"/>
      <c r="D320" s="157"/>
      <c r="E320" s="149"/>
    </row>
    <row r="321">
      <c r="B321" s="149"/>
      <c r="C321" s="149"/>
      <c r="D321" s="157"/>
      <c r="E321" s="149"/>
    </row>
    <row r="322">
      <c r="B322" s="149"/>
      <c r="C322" s="149"/>
      <c r="D322" s="157"/>
      <c r="E322" s="149"/>
    </row>
    <row r="323">
      <c r="B323" s="149"/>
      <c r="C323" s="149"/>
      <c r="D323" s="157"/>
      <c r="E323" s="149"/>
    </row>
    <row r="324">
      <c r="B324" s="149"/>
      <c r="C324" s="149"/>
      <c r="D324" s="157"/>
      <c r="E324" s="149"/>
    </row>
    <row r="325">
      <c r="B325" s="149"/>
      <c r="C325" s="149"/>
      <c r="D325" s="157"/>
      <c r="E325" s="149"/>
    </row>
    <row r="326">
      <c r="B326" s="149"/>
      <c r="C326" s="149"/>
      <c r="D326" s="157"/>
      <c r="E326" s="149"/>
    </row>
    <row r="327">
      <c r="B327" s="149"/>
      <c r="C327" s="149"/>
      <c r="D327" s="157"/>
      <c r="E327" s="149"/>
    </row>
    <row r="328">
      <c r="B328" s="149"/>
      <c r="C328" s="149"/>
      <c r="D328" s="157"/>
      <c r="E328" s="149"/>
    </row>
    <row r="329">
      <c r="B329" s="149"/>
      <c r="C329" s="149"/>
      <c r="D329" s="157"/>
      <c r="E329" s="149"/>
    </row>
    <row r="330">
      <c r="B330" s="149"/>
      <c r="C330" s="149"/>
      <c r="D330" s="157"/>
      <c r="E330" s="149"/>
    </row>
    <row r="331">
      <c r="B331" s="149"/>
      <c r="C331" s="149"/>
      <c r="D331" s="157"/>
      <c r="E331" s="149"/>
    </row>
    <row r="332">
      <c r="B332" s="149"/>
      <c r="C332" s="149"/>
      <c r="D332" s="157"/>
      <c r="E332" s="149"/>
    </row>
    <row r="333">
      <c r="B333" s="149"/>
      <c r="C333" s="149"/>
      <c r="D333" s="157"/>
      <c r="E333" s="149"/>
    </row>
    <row r="334">
      <c r="B334" s="149"/>
      <c r="C334" s="149"/>
      <c r="D334" s="157"/>
      <c r="E334" s="149"/>
    </row>
    <row r="335">
      <c r="B335" s="149"/>
      <c r="C335" s="149"/>
      <c r="D335" s="157"/>
      <c r="E335" s="149"/>
    </row>
    <row r="336">
      <c r="B336" s="149"/>
      <c r="C336" s="149"/>
      <c r="D336" s="157"/>
      <c r="E336" s="149"/>
    </row>
    <row r="337">
      <c r="B337" s="149"/>
      <c r="C337" s="149"/>
      <c r="D337" s="157"/>
      <c r="E337" s="149"/>
    </row>
    <row r="338">
      <c r="B338" s="149"/>
      <c r="C338" s="149"/>
      <c r="D338" s="157"/>
      <c r="E338" s="149"/>
    </row>
    <row r="339">
      <c r="B339" s="149"/>
      <c r="C339" s="149"/>
      <c r="D339" s="157"/>
      <c r="E339" s="149"/>
    </row>
    <row r="340">
      <c r="B340" s="149"/>
      <c r="C340" s="149"/>
      <c r="D340" s="157"/>
      <c r="E340" s="149"/>
    </row>
    <row r="341">
      <c r="B341" s="149"/>
      <c r="C341" s="149"/>
      <c r="D341" s="157"/>
      <c r="E341" s="149"/>
    </row>
    <row r="342">
      <c r="B342" s="149"/>
      <c r="C342" s="149"/>
      <c r="D342" s="157"/>
      <c r="E342" s="149"/>
    </row>
    <row r="343">
      <c r="B343" s="149"/>
      <c r="C343" s="149"/>
      <c r="D343" s="157"/>
      <c r="E343" s="149"/>
    </row>
    <row r="344">
      <c r="B344" s="149"/>
      <c r="C344" s="149"/>
      <c r="D344" s="157"/>
      <c r="E344" s="149"/>
    </row>
    <row r="345">
      <c r="B345" s="149"/>
      <c r="C345" s="149"/>
      <c r="D345" s="157"/>
      <c r="E345" s="149"/>
    </row>
    <row r="346">
      <c r="B346" s="149"/>
      <c r="C346" s="149"/>
      <c r="D346" s="157"/>
      <c r="E346" s="149"/>
    </row>
    <row r="347">
      <c r="B347" s="149"/>
      <c r="C347" s="149"/>
      <c r="D347" s="157"/>
      <c r="E347" s="149"/>
    </row>
    <row r="348">
      <c r="B348" s="149"/>
      <c r="C348" s="149"/>
      <c r="D348" s="157"/>
      <c r="E348" s="149"/>
    </row>
    <row r="349">
      <c r="B349" s="149"/>
      <c r="C349" s="149"/>
      <c r="D349" s="157"/>
      <c r="E349" s="149"/>
    </row>
    <row r="350">
      <c r="B350" s="149"/>
      <c r="C350" s="149"/>
      <c r="D350" s="157"/>
      <c r="E350" s="149"/>
    </row>
    <row r="351">
      <c r="B351" s="149"/>
      <c r="C351" s="149"/>
      <c r="D351" s="157"/>
      <c r="E351" s="149"/>
    </row>
    <row r="352">
      <c r="B352" s="149"/>
      <c r="C352" s="149"/>
      <c r="D352" s="157"/>
      <c r="E352" s="149"/>
    </row>
    <row r="353">
      <c r="B353" s="149"/>
      <c r="C353" s="149"/>
      <c r="D353" s="157"/>
      <c r="E353" s="149"/>
    </row>
    <row r="354">
      <c r="B354" s="149"/>
      <c r="C354" s="149"/>
      <c r="D354" s="157"/>
      <c r="E354" s="149"/>
    </row>
    <row r="355">
      <c r="B355" s="149"/>
      <c r="C355" s="149"/>
      <c r="D355" s="157"/>
      <c r="E355" s="149"/>
    </row>
    <row r="356">
      <c r="B356" s="149"/>
      <c r="C356" s="149"/>
      <c r="D356" s="157"/>
      <c r="E356" s="149"/>
    </row>
    <row r="357">
      <c r="B357" s="149"/>
      <c r="C357" s="149"/>
      <c r="D357" s="157"/>
      <c r="E357" s="149"/>
    </row>
    <row r="358">
      <c r="B358" s="149"/>
      <c r="C358" s="149"/>
      <c r="D358" s="157"/>
      <c r="E358" s="149"/>
    </row>
    <row r="359">
      <c r="B359" s="149"/>
      <c r="C359" s="149"/>
      <c r="D359" s="157"/>
      <c r="E359" s="149"/>
    </row>
    <row r="360">
      <c r="B360" s="149"/>
      <c r="C360" s="149"/>
      <c r="D360" s="157"/>
      <c r="E360" s="149"/>
    </row>
    <row r="361">
      <c r="B361" s="149"/>
      <c r="C361" s="149"/>
      <c r="D361" s="157"/>
      <c r="E361" s="149"/>
    </row>
    <row r="362">
      <c r="B362" s="149"/>
      <c r="C362" s="149"/>
      <c r="D362" s="157"/>
      <c r="E362" s="149"/>
    </row>
    <row r="363">
      <c r="B363" s="149"/>
      <c r="C363" s="149"/>
      <c r="D363" s="157"/>
      <c r="E363" s="149"/>
    </row>
    <row r="364">
      <c r="B364" s="149"/>
      <c r="C364" s="149"/>
      <c r="D364" s="157"/>
      <c r="E364" s="149"/>
    </row>
    <row r="365">
      <c r="B365" s="149"/>
      <c r="C365" s="149"/>
      <c r="D365" s="157"/>
      <c r="E365" s="149"/>
    </row>
    <row r="366">
      <c r="B366" s="149"/>
      <c r="C366" s="149"/>
      <c r="D366" s="157"/>
      <c r="E366" s="149"/>
    </row>
    <row r="367">
      <c r="B367" s="149"/>
      <c r="C367" s="149"/>
      <c r="D367" s="157"/>
      <c r="E367" s="149"/>
    </row>
    <row r="368">
      <c r="B368" s="149"/>
      <c r="C368" s="149"/>
      <c r="D368" s="157"/>
      <c r="E368" s="149"/>
    </row>
    <row r="369">
      <c r="B369" s="149"/>
      <c r="C369" s="149"/>
      <c r="D369" s="157"/>
      <c r="E369" s="149"/>
    </row>
    <row r="370">
      <c r="B370" s="149"/>
      <c r="C370" s="149"/>
      <c r="D370" s="157"/>
      <c r="E370" s="149"/>
    </row>
    <row r="371">
      <c r="B371" s="149"/>
      <c r="C371" s="149"/>
      <c r="D371" s="157"/>
      <c r="E371" s="149"/>
    </row>
    <row r="372">
      <c r="B372" s="149"/>
      <c r="C372" s="149"/>
      <c r="D372" s="157"/>
      <c r="E372" s="149"/>
    </row>
    <row r="373">
      <c r="B373" s="149"/>
      <c r="C373" s="149"/>
      <c r="D373" s="157"/>
      <c r="E373" s="149"/>
    </row>
    <row r="374">
      <c r="B374" s="149"/>
      <c r="C374" s="149"/>
      <c r="D374" s="157"/>
      <c r="E374" s="149"/>
    </row>
    <row r="375">
      <c r="B375" s="149"/>
      <c r="C375" s="149"/>
      <c r="D375" s="157"/>
      <c r="E375" s="149"/>
    </row>
    <row r="376">
      <c r="B376" s="149"/>
      <c r="C376" s="149"/>
      <c r="D376" s="157"/>
      <c r="E376" s="149"/>
    </row>
    <row r="377">
      <c r="B377" s="149"/>
      <c r="C377" s="149"/>
      <c r="D377" s="157"/>
      <c r="E377" s="149"/>
    </row>
    <row r="378">
      <c r="B378" s="149"/>
      <c r="C378" s="149"/>
      <c r="D378" s="157"/>
      <c r="E378" s="149"/>
    </row>
    <row r="379">
      <c r="B379" s="149"/>
      <c r="C379" s="149"/>
      <c r="D379" s="157"/>
      <c r="E379" s="149"/>
    </row>
    <row r="380">
      <c r="B380" s="149"/>
      <c r="C380" s="149"/>
      <c r="D380" s="157"/>
      <c r="E380" s="149"/>
    </row>
    <row r="381">
      <c r="B381" s="149"/>
      <c r="C381" s="149"/>
      <c r="D381" s="157"/>
      <c r="E381" s="149"/>
    </row>
    <row r="382">
      <c r="B382" s="149"/>
      <c r="C382" s="149"/>
      <c r="D382" s="157"/>
      <c r="E382" s="149"/>
    </row>
    <row r="383">
      <c r="B383" s="149"/>
      <c r="C383" s="149"/>
      <c r="D383" s="157"/>
      <c r="E383" s="149"/>
    </row>
    <row r="384">
      <c r="B384" s="149"/>
      <c r="C384" s="149"/>
      <c r="D384" s="157"/>
      <c r="E384" s="149"/>
    </row>
    <row r="385">
      <c r="B385" s="149"/>
      <c r="C385" s="149"/>
      <c r="D385" s="157"/>
      <c r="E385" s="149"/>
    </row>
    <row r="386">
      <c r="B386" s="149"/>
      <c r="C386" s="149"/>
      <c r="D386" s="157"/>
      <c r="E386" s="149"/>
    </row>
    <row r="387">
      <c r="B387" s="149"/>
      <c r="C387" s="149"/>
      <c r="D387" s="157"/>
      <c r="E387" s="149"/>
    </row>
    <row r="388">
      <c r="B388" s="149"/>
      <c r="C388" s="149"/>
      <c r="D388" s="157"/>
      <c r="E388" s="149"/>
    </row>
    <row r="389">
      <c r="B389" s="149"/>
      <c r="C389" s="149"/>
      <c r="D389" s="157"/>
      <c r="E389" s="149"/>
    </row>
    <row r="390">
      <c r="B390" s="149"/>
      <c r="C390" s="149"/>
      <c r="D390" s="157"/>
      <c r="E390" s="149"/>
    </row>
    <row r="391">
      <c r="B391" s="149"/>
      <c r="C391" s="149"/>
      <c r="D391" s="157"/>
      <c r="E391" s="149"/>
    </row>
    <row r="392">
      <c r="B392" s="149"/>
      <c r="C392" s="149"/>
      <c r="D392" s="157"/>
      <c r="E392" s="149"/>
    </row>
    <row r="393">
      <c r="B393" s="149"/>
      <c r="C393" s="149"/>
      <c r="D393" s="157"/>
      <c r="E393" s="149"/>
    </row>
    <row r="394">
      <c r="B394" s="149"/>
      <c r="C394" s="149"/>
      <c r="D394" s="157"/>
      <c r="E394" s="149"/>
    </row>
    <row r="395">
      <c r="B395" s="149"/>
      <c r="C395" s="149"/>
      <c r="D395" s="157"/>
      <c r="E395" s="149"/>
    </row>
    <row r="396">
      <c r="B396" s="149"/>
      <c r="C396" s="149"/>
      <c r="D396" s="157"/>
      <c r="E396" s="149"/>
    </row>
    <row r="397">
      <c r="B397" s="149"/>
      <c r="C397" s="149"/>
      <c r="D397" s="157"/>
      <c r="E397" s="149"/>
    </row>
    <row r="398">
      <c r="B398" s="149"/>
      <c r="C398" s="149"/>
      <c r="D398" s="157"/>
      <c r="E398" s="149"/>
    </row>
    <row r="399">
      <c r="B399" s="149"/>
      <c r="C399" s="149"/>
      <c r="D399" s="157"/>
      <c r="E399" s="149"/>
    </row>
    <row r="400">
      <c r="B400" s="149"/>
      <c r="C400" s="149"/>
      <c r="D400" s="157"/>
      <c r="E400" s="149"/>
    </row>
    <row r="401">
      <c r="B401" s="149"/>
      <c r="C401" s="149"/>
      <c r="D401" s="157"/>
      <c r="E401" s="149"/>
    </row>
    <row r="402">
      <c r="B402" s="149"/>
      <c r="C402" s="149"/>
      <c r="D402" s="157"/>
      <c r="E402" s="149"/>
    </row>
    <row r="403">
      <c r="B403" s="149"/>
      <c r="C403" s="149"/>
      <c r="D403" s="157"/>
      <c r="E403" s="149"/>
    </row>
    <row r="404">
      <c r="B404" s="149"/>
      <c r="C404" s="149"/>
      <c r="D404" s="157"/>
      <c r="E404" s="149"/>
    </row>
    <row r="405">
      <c r="B405" s="149"/>
      <c r="C405" s="149"/>
      <c r="D405" s="157"/>
      <c r="E405" s="149"/>
    </row>
    <row r="406">
      <c r="B406" s="149"/>
      <c r="C406" s="149"/>
      <c r="D406" s="157"/>
      <c r="E406" s="149"/>
    </row>
    <row r="407">
      <c r="B407" s="149"/>
      <c r="C407" s="149"/>
      <c r="D407" s="157"/>
      <c r="E407" s="149"/>
    </row>
    <row r="408">
      <c r="B408" s="149"/>
      <c r="C408" s="149"/>
      <c r="D408" s="157"/>
      <c r="E408" s="149"/>
    </row>
    <row r="409">
      <c r="B409" s="149"/>
      <c r="C409" s="149"/>
      <c r="D409" s="157"/>
      <c r="E409" s="149"/>
    </row>
    <row r="410">
      <c r="B410" s="149"/>
      <c r="C410" s="149"/>
      <c r="D410" s="157"/>
      <c r="E410" s="149"/>
    </row>
    <row r="411">
      <c r="B411" s="149"/>
      <c r="C411" s="149"/>
      <c r="D411" s="157"/>
      <c r="E411" s="149"/>
    </row>
    <row r="412">
      <c r="B412" s="149"/>
      <c r="C412" s="149"/>
      <c r="D412" s="157"/>
      <c r="E412" s="149"/>
    </row>
    <row r="413">
      <c r="B413" s="149"/>
      <c r="C413" s="149"/>
      <c r="D413" s="157"/>
      <c r="E413" s="149"/>
    </row>
    <row r="414">
      <c r="B414" s="149"/>
      <c r="C414" s="149"/>
      <c r="D414" s="157"/>
      <c r="E414" s="149"/>
    </row>
    <row r="415">
      <c r="B415" s="149"/>
      <c r="C415" s="149"/>
      <c r="D415" s="157"/>
      <c r="E415" s="149"/>
    </row>
    <row r="416">
      <c r="B416" s="149"/>
      <c r="C416" s="149"/>
      <c r="D416" s="157"/>
      <c r="E416" s="149"/>
    </row>
    <row r="417">
      <c r="B417" s="149"/>
      <c r="C417" s="149"/>
      <c r="D417" s="157"/>
      <c r="E417" s="149"/>
    </row>
    <row r="418">
      <c r="B418" s="149"/>
      <c r="C418" s="149"/>
      <c r="D418" s="157"/>
      <c r="E418" s="149"/>
    </row>
    <row r="419">
      <c r="B419" s="149"/>
      <c r="C419" s="149"/>
      <c r="D419" s="157"/>
      <c r="E419" s="149"/>
    </row>
    <row r="420">
      <c r="B420" s="149"/>
      <c r="C420" s="149"/>
      <c r="D420" s="157"/>
      <c r="E420" s="149"/>
    </row>
    <row r="421">
      <c r="B421" s="149"/>
      <c r="C421" s="149"/>
      <c r="D421" s="157"/>
      <c r="E421" s="149"/>
    </row>
    <row r="422">
      <c r="B422" s="149"/>
      <c r="C422" s="149"/>
      <c r="D422" s="157"/>
      <c r="E422" s="149"/>
    </row>
    <row r="423">
      <c r="B423" s="149"/>
      <c r="C423" s="149"/>
      <c r="D423" s="157"/>
      <c r="E423" s="149"/>
    </row>
    <row r="424">
      <c r="B424" s="149"/>
      <c r="C424" s="149"/>
      <c r="D424" s="157"/>
      <c r="E424" s="149"/>
    </row>
    <row r="425">
      <c r="B425" s="149"/>
      <c r="C425" s="149"/>
      <c r="D425" s="157"/>
      <c r="E425" s="149"/>
    </row>
    <row r="426">
      <c r="B426" s="149"/>
      <c r="C426" s="149"/>
      <c r="D426" s="157"/>
      <c r="E426" s="149"/>
    </row>
    <row r="427">
      <c r="B427" s="149"/>
      <c r="C427" s="149"/>
      <c r="D427" s="157"/>
      <c r="E427" s="149"/>
    </row>
    <row r="428">
      <c r="B428" s="149"/>
      <c r="C428" s="149"/>
      <c r="D428" s="157"/>
      <c r="E428" s="149"/>
    </row>
    <row r="429">
      <c r="B429" s="149"/>
      <c r="C429" s="149"/>
      <c r="D429" s="157"/>
      <c r="E429" s="149"/>
    </row>
    <row r="430">
      <c r="B430" s="149"/>
      <c r="C430" s="149"/>
      <c r="D430" s="157"/>
      <c r="E430" s="149"/>
    </row>
    <row r="431">
      <c r="B431" s="149"/>
      <c r="C431" s="149"/>
      <c r="D431" s="157"/>
      <c r="E431" s="149"/>
    </row>
    <row r="432">
      <c r="B432" s="149"/>
      <c r="C432" s="149"/>
      <c r="D432" s="157"/>
      <c r="E432" s="149"/>
    </row>
    <row r="433">
      <c r="B433" s="149"/>
      <c r="C433" s="149"/>
      <c r="D433" s="157"/>
      <c r="E433" s="149"/>
    </row>
    <row r="434">
      <c r="B434" s="149"/>
      <c r="C434" s="149"/>
      <c r="D434" s="157"/>
      <c r="E434" s="149"/>
    </row>
    <row r="435">
      <c r="B435" s="149"/>
      <c r="C435" s="149"/>
      <c r="D435" s="157"/>
      <c r="E435" s="149"/>
    </row>
    <row r="436">
      <c r="B436" s="149"/>
      <c r="C436" s="149"/>
      <c r="D436" s="157"/>
      <c r="E436" s="149"/>
    </row>
    <row r="437">
      <c r="B437" s="149"/>
      <c r="C437" s="149"/>
      <c r="D437" s="157"/>
      <c r="E437" s="149"/>
    </row>
    <row r="438">
      <c r="B438" s="149"/>
      <c r="C438" s="149"/>
      <c r="D438" s="157"/>
      <c r="E438" s="149"/>
    </row>
    <row r="439">
      <c r="B439" s="149"/>
      <c r="C439" s="149"/>
      <c r="D439" s="157"/>
      <c r="E439" s="149"/>
    </row>
    <row r="440">
      <c r="B440" s="149"/>
      <c r="C440" s="149"/>
      <c r="D440" s="157"/>
      <c r="E440" s="149"/>
    </row>
    <row r="441">
      <c r="B441" s="149"/>
      <c r="C441" s="149"/>
      <c r="D441" s="157"/>
      <c r="E441" s="149"/>
    </row>
    <row r="442">
      <c r="B442" s="149"/>
      <c r="C442" s="149"/>
      <c r="D442" s="157"/>
      <c r="E442" s="149"/>
    </row>
    <row r="443">
      <c r="B443" s="149"/>
      <c r="C443" s="149"/>
      <c r="D443" s="157"/>
      <c r="E443" s="149"/>
    </row>
    <row r="444">
      <c r="B444" s="149"/>
      <c r="C444" s="149"/>
      <c r="D444" s="157"/>
      <c r="E444" s="149"/>
    </row>
    <row r="445">
      <c r="B445" s="149"/>
      <c r="C445" s="149"/>
      <c r="D445" s="157"/>
      <c r="E445" s="149"/>
    </row>
    <row r="446">
      <c r="B446" s="149"/>
      <c r="C446" s="149"/>
      <c r="D446" s="157"/>
      <c r="E446" s="149"/>
    </row>
    <row r="447">
      <c r="B447" s="149"/>
      <c r="C447" s="149"/>
      <c r="D447" s="157"/>
      <c r="E447" s="149"/>
    </row>
    <row r="448">
      <c r="B448" s="149"/>
      <c r="C448" s="149"/>
      <c r="D448" s="157"/>
      <c r="E448" s="149"/>
    </row>
    <row r="449">
      <c r="B449" s="149"/>
      <c r="C449" s="149"/>
      <c r="D449" s="157"/>
      <c r="E449" s="149"/>
    </row>
    <row r="450">
      <c r="B450" s="149"/>
      <c r="C450" s="149"/>
      <c r="D450" s="157"/>
      <c r="E450" s="149"/>
    </row>
    <row r="451">
      <c r="B451" s="149"/>
      <c r="C451" s="149"/>
      <c r="D451" s="157"/>
      <c r="E451" s="149"/>
    </row>
    <row r="452">
      <c r="B452" s="149"/>
      <c r="C452" s="149"/>
      <c r="D452" s="157"/>
      <c r="E452" s="149"/>
    </row>
    <row r="453">
      <c r="B453" s="149"/>
      <c r="C453" s="149"/>
      <c r="D453" s="157"/>
      <c r="E453" s="149"/>
    </row>
    <row r="454">
      <c r="B454" s="149"/>
      <c r="C454" s="149"/>
      <c r="D454" s="157"/>
      <c r="E454" s="149"/>
    </row>
    <row r="455">
      <c r="B455" s="149"/>
      <c r="C455" s="149"/>
      <c r="D455" s="157"/>
      <c r="E455" s="149"/>
    </row>
    <row r="456">
      <c r="B456" s="149"/>
      <c r="C456" s="149"/>
      <c r="D456" s="157"/>
      <c r="E456" s="149"/>
    </row>
    <row r="457">
      <c r="B457" s="149"/>
      <c r="C457" s="149"/>
      <c r="D457" s="157"/>
      <c r="E457" s="149"/>
    </row>
    <row r="458">
      <c r="B458" s="149"/>
      <c r="C458" s="149"/>
      <c r="D458" s="157"/>
      <c r="E458" s="149"/>
    </row>
    <row r="459">
      <c r="B459" s="149"/>
      <c r="C459" s="149"/>
      <c r="D459" s="157"/>
      <c r="E459" s="149"/>
    </row>
    <row r="460">
      <c r="B460" s="149"/>
      <c r="C460" s="149"/>
      <c r="D460" s="157"/>
      <c r="E460" s="149"/>
    </row>
    <row r="461">
      <c r="B461" s="149"/>
      <c r="C461" s="149"/>
      <c r="D461" s="157"/>
      <c r="E461" s="149"/>
    </row>
    <row r="462">
      <c r="B462" s="149"/>
      <c r="C462" s="149"/>
      <c r="D462" s="157"/>
      <c r="E462" s="149"/>
    </row>
    <row r="463">
      <c r="B463" s="149"/>
      <c r="C463" s="149"/>
      <c r="D463" s="157"/>
      <c r="E463" s="149"/>
    </row>
    <row r="464">
      <c r="B464" s="149"/>
      <c r="C464" s="149"/>
      <c r="D464" s="157"/>
      <c r="E464" s="149"/>
    </row>
    <row r="465">
      <c r="B465" s="149"/>
      <c r="C465" s="149"/>
      <c r="D465" s="157"/>
      <c r="E465" s="149"/>
    </row>
    <row r="466">
      <c r="B466" s="149"/>
      <c r="C466" s="149"/>
      <c r="D466" s="157"/>
      <c r="E466" s="149"/>
    </row>
    <row r="467">
      <c r="B467" s="149"/>
      <c r="C467" s="149"/>
      <c r="D467" s="157"/>
      <c r="E467" s="149"/>
    </row>
    <row r="468">
      <c r="B468" s="149"/>
      <c r="C468" s="149"/>
      <c r="D468" s="157"/>
      <c r="E468" s="149"/>
    </row>
    <row r="469">
      <c r="B469" s="149"/>
      <c r="C469" s="149"/>
      <c r="D469" s="157"/>
      <c r="E469" s="149"/>
    </row>
    <row r="470">
      <c r="B470" s="149"/>
      <c r="C470" s="149"/>
      <c r="D470" s="157"/>
      <c r="E470" s="149"/>
    </row>
    <row r="471">
      <c r="B471" s="149"/>
      <c r="C471" s="149"/>
      <c r="D471" s="157"/>
      <c r="E471" s="149"/>
    </row>
    <row r="472">
      <c r="B472" s="149"/>
      <c r="C472" s="149"/>
      <c r="D472" s="157"/>
      <c r="E472" s="149"/>
    </row>
    <row r="473">
      <c r="B473" s="149"/>
      <c r="C473" s="149"/>
      <c r="D473" s="157"/>
      <c r="E473" s="149"/>
    </row>
    <row r="474">
      <c r="B474" s="149"/>
      <c r="C474" s="149"/>
      <c r="D474" s="157"/>
      <c r="E474" s="149"/>
    </row>
    <row r="475">
      <c r="B475" s="149"/>
      <c r="C475" s="149"/>
      <c r="D475" s="157"/>
      <c r="E475" s="149"/>
    </row>
    <row r="476">
      <c r="B476" s="149"/>
      <c r="C476" s="149"/>
      <c r="D476" s="157"/>
      <c r="E476" s="149"/>
    </row>
    <row r="477">
      <c r="B477" s="149"/>
      <c r="C477" s="149"/>
      <c r="D477" s="157"/>
      <c r="E477" s="149"/>
    </row>
    <row r="478">
      <c r="B478" s="149"/>
      <c r="C478" s="149"/>
      <c r="D478" s="157"/>
      <c r="E478" s="149"/>
    </row>
    <row r="479">
      <c r="B479" s="149"/>
      <c r="C479" s="149"/>
      <c r="D479" s="157"/>
      <c r="E479" s="149"/>
    </row>
    <row r="480">
      <c r="B480" s="149"/>
      <c r="C480" s="149"/>
      <c r="D480" s="157"/>
      <c r="E480" s="149"/>
    </row>
    <row r="481">
      <c r="B481" s="149"/>
      <c r="C481" s="149"/>
      <c r="D481" s="157"/>
      <c r="E481" s="149"/>
    </row>
    <row r="482">
      <c r="B482" s="149"/>
      <c r="C482" s="149"/>
      <c r="D482" s="157"/>
      <c r="E482" s="149"/>
    </row>
    <row r="483">
      <c r="B483" s="149"/>
      <c r="C483" s="149"/>
      <c r="D483" s="157"/>
      <c r="E483" s="149"/>
    </row>
    <row r="484">
      <c r="B484" s="149"/>
      <c r="C484" s="149"/>
      <c r="D484" s="157"/>
      <c r="E484" s="149"/>
    </row>
    <row r="485">
      <c r="B485" s="149"/>
      <c r="C485" s="149"/>
      <c r="D485" s="157"/>
      <c r="E485" s="149"/>
    </row>
    <row r="486">
      <c r="B486" s="149"/>
      <c r="C486" s="149"/>
      <c r="D486" s="157"/>
      <c r="E486" s="149"/>
    </row>
    <row r="487">
      <c r="B487" s="149"/>
      <c r="C487" s="149"/>
      <c r="D487" s="157"/>
      <c r="E487" s="149"/>
    </row>
    <row r="488">
      <c r="B488" s="149"/>
      <c r="C488" s="149"/>
      <c r="D488" s="157"/>
      <c r="E488" s="149"/>
    </row>
    <row r="489">
      <c r="B489" s="149"/>
      <c r="C489" s="149"/>
      <c r="D489" s="157"/>
      <c r="E489" s="149"/>
    </row>
    <row r="490">
      <c r="B490" s="149"/>
      <c r="C490" s="149"/>
      <c r="D490" s="157"/>
      <c r="E490" s="149"/>
    </row>
    <row r="491">
      <c r="B491" s="149"/>
      <c r="C491" s="149"/>
      <c r="D491" s="157"/>
      <c r="E491" s="149"/>
    </row>
    <row r="492">
      <c r="B492" s="149"/>
      <c r="C492" s="149"/>
      <c r="D492" s="157"/>
      <c r="E492" s="149"/>
    </row>
    <row r="493">
      <c r="B493" s="149"/>
      <c r="C493" s="149"/>
      <c r="D493" s="157"/>
      <c r="E493" s="149"/>
    </row>
    <row r="494">
      <c r="B494" s="149"/>
      <c r="C494" s="149"/>
      <c r="D494" s="157"/>
      <c r="E494" s="149"/>
    </row>
    <row r="495">
      <c r="B495" s="149"/>
      <c r="C495" s="149"/>
      <c r="D495" s="157"/>
      <c r="E495" s="149"/>
    </row>
    <row r="496">
      <c r="B496" s="149"/>
      <c r="C496" s="149"/>
      <c r="D496" s="157"/>
      <c r="E496" s="149"/>
    </row>
    <row r="497">
      <c r="B497" s="149"/>
      <c r="C497" s="149"/>
      <c r="D497" s="157"/>
      <c r="E497" s="149"/>
    </row>
    <row r="498">
      <c r="B498" s="149"/>
      <c r="C498" s="149"/>
      <c r="D498" s="157"/>
      <c r="E498" s="149"/>
    </row>
    <row r="499">
      <c r="B499" s="149"/>
      <c r="C499" s="149"/>
      <c r="D499" s="157"/>
      <c r="E499" s="149"/>
    </row>
    <row r="500">
      <c r="B500" s="149"/>
      <c r="C500" s="149"/>
      <c r="D500" s="157"/>
      <c r="E500" s="149"/>
    </row>
    <row r="501">
      <c r="B501" s="149"/>
      <c r="C501" s="149"/>
      <c r="D501" s="157"/>
      <c r="E501" s="149"/>
    </row>
    <row r="502">
      <c r="B502" s="149"/>
      <c r="C502" s="149"/>
      <c r="D502" s="157"/>
      <c r="E502" s="149"/>
    </row>
    <row r="503">
      <c r="B503" s="149"/>
      <c r="C503" s="149"/>
      <c r="D503" s="157"/>
      <c r="E503" s="149"/>
    </row>
    <row r="504">
      <c r="B504" s="149"/>
      <c r="C504" s="149"/>
      <c r="D504" s="157"/>
      <c r="E504" s="149"/>
    </row>
    <row r="505">
      <c r="B505" s="149"/>
      <c r="C505" s="149"/>
      <c r="D505" s="157"/>
      <c r="E505" s="149"/>
    </row>
    <row r="506">
      <c r="B506" s="149"/>
      <c r="C506" s="149"/>
      <c r="D506" s="157"/>
      <c r="E506" s="149"/>
    </row>
    <row r="507">
      <c r="B507" s="149"/>
      <c r="C507" s="149"/>
      <c r="D507" s="157"/>
      <c r="E507" s="149"/>
    </row>
    <row r="508">
      <c r="B508" s="149"/>
      <c r="C508" s="149"/>
      <c r="D508" s="157"/>
      <c r="E508" s="149"/>
    </row>
    <row r="509">
      <c r="B509" s="149"/>
      <c r="C509" s="149"/>
      <c r="D509" s="157"/>
      <c r="E509" s="149"/>
    </row>
    <row r="510">
      <c r="B510" s="149"/>
      <c r="C510" s="149"/>
      <c r="D510" s="157"/>
      <c r="E510" s="149"/>
    </row>
    <row r="511">
      <c r="B511" s="149"/>
      <c r="C511" s="149"/>
      <c r="D511" s="157"/>
      <c r="E511" s="149"/>
    </row>
    <row r="512">
      <c r="B512" s="149"/>
      <c r="C512" s="149"/>
      <c r="D512" s="157"/>
      <c r="E512" s="149"/>
    </row>
    <row r="513">
      <c r="B513" s="149"/>
      <c r="C513" s="149"/>
      <c r="D513" s="157"/>
      <c r="E513" s="149"/>
    </row>
    <row r="514">
      <c r="B514" s="149"/>
      <c r="C514" s="149"/>
      <c r="D514" s="157"/>
      <c r="E514" s="149"/>
    </row>
    <row r="515">
      <c r="B515" s="149"/>
      <c r="C515" s="149"/>
      <c r="D515" s="157"/>
      <c r="E515" s="149"/>
    </row>
    <row r="516">
      <c r="B516" s="149"/>
      <c r="C516" s="149"/>
      <c r="D516" s="157"/>
      <c r="E516" s="149"/>
    </row>
    <row r="517">
      <c r="B517" s="149"/>
      <c r="C517" s="149"/>
      <c r="D517" s="157"/>
      <c r="E517" s="149"/>
    </row>
    <row r="518">
      <c r="B518" s="149"/>
      <c r="C518" s="149"/>
      <c r="D518" s="157"/>
      <c r="E518" s="149"/>
    </row>
    <row r="519">
      <c r="B519" s="149"/>
      <c r="C519" s="149"/>
      <c r="D519" s="157"/>
      <c r="E519" s="149"/>
    </row>
    <row r="520">
      <c r="B520" s="149"/>
      <c r="C520" s="149"/>
      <c r="D520" s="157"/>
      <c r="E520" s="149"/>
    </row>
    <row r="521">
      <c r="B521" s="149"/>
      <c r="C521" s="149"/>
      <c r="D521" s="157"/>
      <c r="E521" s="149"/>
    </row>
    <row r="522">
      <c r="B522" s="149"/>
      <c r="C522" s="149"/>
      <c r="D522" s="157"/>
      <c r="E522" s="149"/>
    </row>
    <row r="523">
      <c r="B523" s="149"/>
      <c r="C523" s="149"/>
      <c r="D523" s="157"/>
      <c r="E523" s="149"/>
    </row>
    <row r="524">
      <c r="B524" s="149"/>
      <c r="C524" s="149"/>
      <c r="D524" s="157"/>
      <c r="E524" s="149"/>
    </row>
    <row r="525">
      <c r="B525" s="149"/>
      <c r="C525" s="149"/>
      <c r="D525" s="157"/>
      <c r="E525" s="149"/>
    </row>
    <row r="526">
      <c r="B526" s="149"/>
      <c r="C526" s="149"/>
      <c r="D526" s="157"/>
      <c r="E526" s="149"/>
    </row>
    <row r="527">
      <c r="B527" s="149"/>
      <c r="C527" s="149"/>
      <c r="D527" s="157"/>
      <c r="E527" s="149"/>
    </row>
    <row r="528">
      <c r="B528" s="149"/>
      <c r="C528" s="149"/>
      <c r="D528" s="157"/>
      <c r="E528" s="149"/>
    </row>
    <row r="529">
      <c r="B529" s="149"/>
      <c r="C529" s="149"/>
      <c r="D529" s="157"/>
      <c r="E529" s="149"/>
    </row>
    <row r="530">
      <c r="B530" s="149"/>
      <c r="C530" s="149"/>
      <c r="D530" s="157"/>
      <c r="E530" s="149"/>
    </row>
    <row r="531">
      <c r="B531" s="149"/>
      <c r="C531" s="149"/>
      <c r="D531" s="157"/>
      <c r="E531" s="149"/>
    </row>
    <row r="532">
      <c r="B532" s="149"/>
      <c r="C532" s="149"/>
      <c r="D532" s="157"/>
      <c r="E532" s="149"/>
    </row>
    <row r="533">
      <c r="B533" s="149"/>
      <c r="C533" s="149"/>
      <c r="D533" s="157"/>
      <c r="E533" s="149"/>
    </row>
    <row r="534">
      <c r="B534" s="149"/>
      <c r="C534" s="149"/>
      <c r="D534" s="157"/>
      <c r="E534" s="149"/>
    </row>
    <row r="535">
      <c r="B535" s="149"/>
      <c r="C535" s="149"/>
      <c r="D535" s="157"/>
      <c r="E535" s="149"/>
    </row>
    <row r="536">
      <c r="B536" s="149"/>
      <c r="C536" s="149"/>
      <c r="D536" s="157"/>
      <c r="E536" s="149"/>
    </row>
    <row r="537">
      <c r="B537" s="149"/>
      <c r="C537" s="149"/>
      <c r="D537" s="157"/>
      <c r="E537" s="149"/>
    </row>
    <row r="538">
      <c r="B538" s="149"/>
      <c r="C538" s="149"/>
      <c r="D538" s="157"/>
      <c r="E538" s="149"/>
    </row>
    <row r="539">
      <c r="B539" s="149"/>
      <c r="C539" s="149"/>
      <c r="D539" s="157"/>
      <c r="E539" s="149"/>
    </row>
    <row r="540">
      <c r="B540" s="149"/>
      <c r="C540" s="149"/>
      <c r="D540" s="157"/>
      <c r="E540" s="149"/>
    </row>
    <row r="541">
      <c r="B541" s="149"/>
      <c r="C541" s="149"/>
      <c r="D541" s="157"/>
      <c r="E541" s="149"/>
    </row>
    <row r="542">
      <c r="B542" s="149"/>
      <c r="C542" s="149"/>
      <c r="D542" s="157"/>
      <c r="E542" s="149"/>
    </row>
    <row r="543">
      <c r="B543" s="149"/>
      <c r="C543" s="149"/>
      <c r="D543" s="157"/>
      <c r="E543" s="149"/>
    </row>
    <row r="544">
      <c r="B544" s="149"/>
      <c r="C544" s="149"/>
      <c r="D544" s="157"/>
      <c r="E544" s="149"/>
    </row>
    <row r="545">
      <c r="B545" s="149"/>
      <c r="C545" s="149"/>
      <c r="D545" s="157"/>
      <c r="E545" s="149"/>
    </row>
    <row r="546">
      <c r="B546" s="149"/>
      <c r="C546" s="149"/>
      <c r="D546" s="157"/>
      <c r="E546" s="149"/>
    </row>
    <row r="547">
      <c r="B547" s="149"/>
      <c r="C547" s="149"/>
      <c r="D547" s="157"/>
      <c r="E547" s="149"/>
    </row>
    <row r="548">
      <c r="B548" s="149"/>
      <c r="C548" s="149"/>
      <c r="D548" s="157"/>
      <c r="E548" s="149"/>
    </row>
    <row r="549">
      <c r="B549" s="149"/>
      <c r="C549" s="149"/>
      <c r="D549" s="157"/>
      <c r="E549" s="149"/>
    </row>
    <row r="550">
      <c r="B550" s="149"/>
      <c r="C550" s="149"/>
      <c r="D550" s="157"/>
      <c r="E550" s="149"/>
    </row>
    <row r="551">
      <c r="B551" s="149"/>
      <c r="C551" s="149"/>
      <c r="D551" s="157"/>
      <c r="E551" s="149"/>
    </row>
    <row r="552">
      <c r="B552" s="149"/>
      <c r="C552" s="149"/>
      <c r="D552" s="157"/>
      <c r="E552" s="149"/>
    </row>
    <row r="553">
      <c r="B553" s="149"/>
      <c r="C553" s="149"/>
      <c r="D553" s="157"/>
      <c r="E553" s="149"/>
    </row>
    <row r="554">
      <c r="B554" s="149"/>
      <c r="C554" s="149"/>
      <c r="D554" s="157"/>
      <c r="E554" s="149"/>
    </row>
    <row r="555">
      <c r="B555" s="149"/>
      <c r="C555" s="149"/>
      <c r="D555" s="157"/>
      <c r="E555" s="149"/>
    </row>
    <row r="556">
      <c r="B556" s="149"/>
      <c r="C556" s="149"/>
      <c r="D556" s="157"/>
      <c r="E556" s="149"/>
    </row>
    <row r="557">
      <c r="B557" s="149"/>
      <c r="C557" s="149"/>
      <c r="D557" s="157"/>
      <c r="E557" s="149"/>
    </row>
    <row r="558">
      <c r="B558" s="149"/>
      <c r="C558" s="149"/>
      <c r="D558" s="157"/>
      <c r="E558" s="149"/>
    </row>
    <row r="559">
      <c r="B559" s="149"/>
      <c r="C559" s="149"/>
      <c r="D559" s="157"/>
      <c r="E559" s="149"/>
    </row>
    <row r="560">
      <c r="B560" s="149"/>
      <c r="C560" s="149"/>
      <c r="D560" s="157"/>
      <c r="E560" s="149"/>
    </row>
    <row r="561">
      <c r="B561" s="149"/>
      <c r="C561" s="149"/>
      <c r="D561" s="157"/>
      <c r="E561" s="149"/>
    </row>
    <row r="562">
      <c r="B562" s="149"/>
      <c r="C562" s="149"/>
      <c r="D562" s="157"/>
      <c r="E562" s="149"/>
    </row>
    <row r="563">
      <c r="B563" s="149"/>
      <c r="C563" s="149"/>
      <c r="D563" s="157"/>
      <c r="E563" s="149"/>
    </row>
    <row r="564">
      <c r="B564" s="149"/>
      <c r="C564" s="149"/>
      <c r="D564" s="157"/>
      <c r="E564" s="149"/>
    </row>
    <row r="565">
      <c r="B565" s="149"/>
      <c r="C565" s="149"/>
      <c r="D565" s="157"/>
      <c r="E565" s="149"/>
    </row>
    <row r="566">
      <c r="B566" s="149"/>
      <c r="C566" s="149"/>
      <c r="D566" s="157"/>
      <c r="E566" s="149"/>
    </row>
    <row r="567">
      <c r="B567" s="149"/>
      <c r="C567" s="149"/>
      <c r="D567" s="157"/>
      <c r="E567" s="149"/>
    </row>
    <row r="568">
      <c r="B568" s="149"/>
      <c r="C568" s="149"/>
      <c r="D568" s="157"/>
      <c r="E568" s="149"/>
    </row>
    <row r="569">
      <c r="B569" s="149"/>
      <c r="C569" s="149"/>
      <c r="D569" s="157"/>
      <c r="E569" s="149"/>
    </row>
    <row r="570">
      <c r="B570" s="149"/>
      <c r="C570" s="149"/>
      <c r="D570" s="157"/>
      <c r="E570" s="149"/>
    </row>
    <row r="571">
      <c r="B571" s="149"/>
      <c r="C571" s="149"/>
      <c r="D571" s="157"/>
      <c r="E571" s="149"/>
    </row>
    <row r="572">
      <c r="B572" s="149"/>
      <c r="C572" s="149"/>
      <c r="D572" s="157"/>
      <c r="E572" s="149"/>
    </row>
    <row r="573">
      <c r="B573" s="149"/>
      <c r="C573" s="149"/>
      <c r="D573" s="157"/>
      <c r="E573" s="149"/>
    </row>
    <row r="574">
      <c r="B574" s="149"/>
      <c r="C574" s="149"/>
      <c r="D574" s="157"/>
      <c r="E574" s="149"/>
    </row>
    <row r="575">
      <c r="B575" s="149"/>
      <c r="C575" s="149"/>
      <c r="D575" s="157"/>
      <c r="E575" s="149"/>
    </row>
    <row r="576">
      <c r="B576" s="149"/>
      <c r="C576" s="149"/>
      <c r="D576" s="157"/>
      <c r="E576" s="149"/>
    </row>
    <row r="577">
      <c r="B577" s="149"/>
      <c r="C577" s="149"/>
      <c r="D577" s="157"/>
      <c r="E577" s="149"/>
    </row>
    <row r="578">
      <c r="B578" s="149"/>
      <c r="C578" s="149"/>
      <c r="D578" s="157"/>
      <c r="E578" s="149"/>
    </row>
    <row r="579">
      <c r="B579" s="149"/>
      <c r="C579" s="149"/>
      <c r="D579" s="157"/>
      <c r="E579" s="149"/>
    </row>
    <row r="580">
      <c r="B580" s="149"/>
      <c r="C580" s="149"/>
      <c r="D580" s="157"/>
      <c r="E580" s="149"/>
    </row>
    <row r="581">
      <c r="B581" s="149"/>
      <c r="C581" s="149"/>
      <c r="D581" s="157"/>
      <c r="E581" s="149"/>
    </row>
    <row r="582">
      <c r="B582" s="149"/>
      <c r="C582" s="149"/>
      <c r="D582" s="157"/>
      <c r="E582" s="149"/>
    </row>
    <row r="583">
      <c r="B583" s="149"/>
      <c r="C583" s="149"/>
      <c r="D583" s="157"/>
      <c r="E583" s="149"/>
    </row>
    <row r="584">
      <c r="B584" s="149"/>
      <c r="C584" s="149"/>
      <c r="D584" s="157"/>
      <c r="E584" s="149"/>
    </row>
    <row r="585">
      <c r="B585" s="149"/>
      <c r="C585" s="149"/>
      <c r="D585" s="157"/>
      <c r="E585" s="149"/>
    </row>
    <row r="586">
      <c r="B586" s="149"/>
      <c r="C586" s="149"/>
      <c r="D586" s="157"/>
      <c r="E586" s="149"/>
    </row>
    <row r="587">
      <c r="B587" s="149"/>
      <c r="C587" s="149"/>
      <c r="D587" s="157"/>
      <c r="E587" s="149"/>
    </row>
    <row r="588">
      <c r="B588" s="149"/>
      <c r="C588" s="149"/>
      <c r="D588" s="157"/>
      <c r="E588" s="149"/>
    </row>
    <row r="589">
      <c r="B589" s="149"/>
      <c r="C589" s="149"/>
      <c r="D589" s="157"/>
      <c r="E589" s="149"/>
    </row>
    <row r="590">
      <c r="B590" s="149"/>
      <c r="C590" s="149"/>
      <c r="D590" s="157"/>
      <c r="E590" s="149"/>
    </row>
    <row r="591">
      <c r="B591" s="149"/>
      <c r="C591" s="149"/>
      <c r="D591" s="157"/>
      <c r="E591" s="149"/>
    </row>
    <row r="592">
      <c r="B592" s="149"/>
      <c r="C592" s="149"/>
      <c r="D592" s="157"/>
      <c r="E592" s="149"/>
    </row>
    <row r="593">
      <c r="B593" s="149"/>
      <c r="C593" s="149"/>
      <c r="D593" s="157"/>
      <c r="E593" s="149"/>
    </row>
    <row r="594">
      <c r="B594" s="149"/>
      <c r="C594" s="149"/>
      <c r="D594" s="157"/>
      <c r="E594" s="149"/>
    </row>
    <row r="595">
      <c r="B595" s="149"/>
      <c r="C595" s="149"/>
      <c r="D595" s="157"/>
      <c r="E595" s="149"/>
    </row>
    <row r="596">
      <c r="B596" s="149"/>
      <c r="C596" s="149"/>
      <c r="D596" s="157"/>
      <c r="E596" s="149"/>
    </row>
    <row r="597">
      <c r="B597" s="149"/>
      <c r="C597" s="149"/>
      <c r="D597" s="157"/>
      <c r="E597" s="149"/>
    </row>
    <row r="598">
      <c r="B598" s="149"/>
      <c r="C598" s="149"/>
      <c r="D598" s="157"/>
      <c r="E598" s="149"/>
    </row>
    <row r="599">
      <c r="B599" s="149"/>
      <c r="C599" s="149"/>
      <c r="D599" s="157"/>
      <c r="E599" s="149"/>
    </row>
    <row r="600">
      <c r="B600" s="149"/>
      <c r="C600" s="149"/>
      <c r="D600" s="157"/>
      <c r="E600" s="149"/>
    </row>
    <row r="601">
      <c r="B601" s="149"/>
      <c r="C601" s="149"/>
      <c r="D601" s="157"/>
      <c r="E601" s="149"/>
    </row>
    <row r="602">
      <c r="B602" s="149"/>
      <c r="C602" s="149"/>
      <c r="D602" s="157"/>
      <c r="E602" s="149"/>
    </row>
    <row r="603">
      <c r="B603" s="149"/>
      <c r="C603" s="149"/>
      <c r="D603" s="157"/>
      <c r="E603" s="149"/>
    </row>
    <row r="604">
      <c r="B604" s="149"/>
      <c r="C604" s="149"/>
      <c r="D604" s="157"/>
      <c r="E604" s="149"/>
    </row>
    <row r="605">
      <c r="B605" s="149"/>
      <c r="C605" s="149"/>
      <c r="D605" s="157"/>
      <c r="E605" s="149"/>
    </row>
    <row r="606">
      <c r="B606" s="149"/>
      <c r="C606" s="149"/>
      <c r="D606" s="157"/>
      <c r="E606" s="149"/>
    </row>
    <row r="607">
      <c r="B607" s="149"/>
      <c r="C607" s="149"/>
      <c r="D607" s="157"/>
      <c r="E607" s="149"/>
    </row>
    <row r="608">
      <c r="B608" s="149"/>
      <c r="C608" s="149"/>
      <c r="D608" s="157"/>
      <c r="E608" s="149"/>
    </row>
    <row r="609">
      <c r="B609" s="149"/>
      <c r="C609" s="149"/>
      <c r="D609" s="157"/>
      <c r="E609" s="149"/>
    </row>
    <row r="610">
      <c r="B610" s="149"/>
      <c r="C610" s="149"/>
      <c r="D610" s="157"/>
      <c r="E610" s="149"/>
    </row>
    <row r="611">
      <c r="B611" s="149"/>
      <c r="C611" s="149"/>
      <c r="D611" s="157"/>
      <c r="E611" s="149"/>
    </row>
    <row r="612">
      <c r="B612" s="149"/>
      <c r="C612" s="149"/>
      <c r="D612" s="157"/>
      <c r="E612" s="149"/>
    </row>
    <row r="613">
      <c r="B613" s="149"/>
      <c r="C613" s="149"/>
      <c r="D613" s="157"/>
      <c r="E613" s="149"/>
    </row>
    <row r="614">
      <c r="B614" s="149"/>
      <c r="C614" s="149"/>
      <c r="D614" s="157"/>
      <c r="E614" s="149"/>
    </row>
    <row r="615">
      <c r="B615" s="149"/>
      <c r="C615" s="149"/>
      <c r="D615" s="157"/>
      <c r="E615" s="149"/>
    </row>
    <row r="616">
      <c r="B616" s="149"/>
      <c r="C616" s="149"/>
      <c r="D616" s="157"/>
      <c r="E616" s="149"/>
    </row>
    <row r="617">
      <c r="B617" s="149"/>
      <c r="C617" s="149"/>
      <c r="D617" s="157"/>
      <c r="E617" s="149"/>
    </row>
    <row r="618">
      <c r="B618" s="149"/>
      <c r="C618" s="149"/>
      <c r="D618" s="157"/>
      <c r="E618" s="149"/>
    </row>
    <row r="619">
      <c r="B619" s="149"/>
      <c r="C619" s="149"/>
      <c r="D619" s="157"/>
      <c r="E619" s="149"/>
    </row>
    <row r="620">
      <c r="B620" s="149"/>
      <c r="C620" s="149"/>
      <c r="D620" s="157"/>
      <c r="E620" s="149"/>
    </row>
    <row r="621">
      <c r="B621" s="149"/>
      <c r="C621" s="149"/>
      <c r="D621" s="157"/>
      <c r="E621" s="149"/>
    </row>
    <row r="622">
      <c r="B622" s="149"/>
      <c r="C622" s="149"/>
      <c r="D622" s="157"/>
      <c r="E622" s="149"/>
    </row>
    <row r="623">
      <c r="B623" s="149"/>
      <c r="C623" s="149"/>
      <c r="D623" s="157"/>
      <c r="E623" s="149"/>
    </row>
    <row r="624">
      <c r="B624" s="149"/>
      <c r="C624" s="149"/>
      <c r="D624" s="157"/>
      <c r="E624" s="149"/>
    </row>
    <row r="625">
      <c r="B625" s="149"/>
      <c r="C625" s="149"/>
      <c r="D625" s="157"/>
      <c r="E625" s="149"/>
    </row>
    <row r="626">
      <c r="B626" s="149"/>
      <c r="C626" s="149"/>
      <c r="D626" s="157"/>
      <c r="E626" s="149"/>
    </row>
    <row r="627">
      <c r="B627" s="149"/>
      <c r="C627" s="149"/>
      <c r="D627" s="157"/>
      <c r="E627" s="149"/>
    </row>
    <row r="628">
      <c r="B628" s="149"/>
      <c r="C628" s="149"/>
      <c r="D628" s="157"/>
      <c r="E628" s="149"/>
    </row>
    <row r="629">
      <c r="B629" s="149"/>
      <c r="C629" s="149"/>
      <c r="D629" s="157"/>
      <c r="E629" s="149"/>
    </row>
    <row r="630">
      <c r="B630" s="149"/>
      <c r="C630" s="149"/>
      <c r="D630" s="157"/>
      <c r="E630" s="149"/>
    </row>
    <row r="631">
      <c r="B631" s="149"/>
      <c r="C631" s="149"/>
      <c r="D631" s="157"/>
      <c r="E631" s="149"/>
    </row>
    <row r="632">
      <c r="B632" s="149"/>
      <c r="C632" s="149"/>
      <c r="D632" s="157"/>
      <c r="E632" s="149"/>
    </row>
    <row r="633">
      <c r="B633" s="149"/>
      <c r="C633" s="149"/>
      <c r="D633" s="157"/>
      <c r="E633" s="149"/>
    </row>
    <row r="634">
      <c r="B634" s="149"/>
      <c r="C634" s="149"/>
      <c r="D634" s="157"/>
      <c r="E634" s="149"/>
    </row>
    <row r="635">
      <c r="B635" s="149"/>
      <c r="C635" s="149"/>
      <c r="D635" s="157"/>
      <c r="E635" s="149"/>
    </row>
    <row r="636">
      <c r="B636" s="149"/>
      <c r="C636" s="149"/>
      <c r="D636" s="157"/>
      <c r="E636" s="149"/>
    </row>
    <row r="637">
      <c r="B637" s="149"/>
      <c r="C637" s="149"/>
      <c r="D637" s="157"/>
      <c r="E637" s="149"/>
    </row>
    <row r="638">
      <c r="B638" s="149"/>
      <c r="C638" s="149"/>
      <c r="D638" s="157"/>
      <c r="E638" s="149"/>
    </row>
    <row r="639">
      <c r="B639" s="149"/>
      <c r="C639" s="149"/>
      <c r="D639" s="157"/>
      <c r="E639" s="149"/>
    </row>
    <row r="640">
      <c r="B640" s="149"/>
      <c r="C640" s="149"/>
      <c r="D640" s="157"/>
      <c r="E640" s="149"/>
    </row>
    <row r="641">
      <c r="B641" s="149"/>
      <c r="C641" s="149"/>
      <c r="D641" s="157"/>
      <c r="E641" s="149"/>
    </row>
    <row r="642">
      <c r="B642" s="149"/>
      <c r="C642" s="149"/>
      <c r="D642" s="157"/>
      <c r="E642" s="149"/>
    </row>
    <row r="643">
      <c r="B643" s="149"/>
      <c r="C643" s="149"/>
      <c r="D643" s="157"/>
      <c r="E643" s="149"/>
    </row>
    <row r="644">
      <c r="B644" s="149"/>
      <c r="C644" s="149"/>
      <c r="D644" s="157"/>
      <c r="E644" s="149"/>
    </row>
    <row r="645">
      <c r="B645" s="149"/>
      <c r="C645" s="149"/>
      <c r="D645" s="157"/>
      <c r="E645" s="149"/>
    </row>
    <row r="646">
      <c r="B646" s="149"/>
      <c r="C646" s="149"/>
      <c r="D646" s="157"/>
      <c r="E646" s="149"/>
    </row>
    <row r="647">
      <c r="B647" s="149"/>
      <c r="C647" s="149"/>
      <c r="D647" s="157"/>
      <c r="E647" s="149"/>
    </row>
    <row r="648">
      <c r="B648" s="149"/>
      <c r="C648" s="149"/>
      <c r="D648" s="157"/>
      <c r="E648" s="149"/>
    </row>
    <row r="649">
      <c r="B649" s="149"/>
      <c r="C649" s="149"/>
      <c r="D649" s="157"/>
      <c r="E649" s="149"/>
    </row>
    <row r="650">
      <c r="B650" s="149"/>
      <c r="C650" s="149"/>
      <c r="D650" s="157"/>
      <c r="E650" s="149"/>
    </row>
    <row r="651">
      <c r="B651" s="149"/>
      <c r="C651" s="149"/>
      <c r="D651" s="157"/>
      <c r="E651" s="149"/>
    </row>
    <row r="652">
      <c r="B652" s="149"/>
      <c r="C652" s="149"/>
      <c r="D652" s="157"/>
      <c r="E652" s="149"/>
    </row>
    <row r="653">
      <c r="B653" s="149"/>
      <c r="C653" s="149"/>
      <c r="D653" s="157"/>
      <c r="E653" s="149"/>
    </row>
    <row r="654">
      <c r="B654" s="149"/>
      <c r="C654" s="149"/>
      <c r="D654" s="157"/>
      <c r="E654" s="149"/>
    </row>
    <row r="655">
      <c r="B655" s="149"/>
      <c r="C655" s="149"/>
      <c r="D655" s="157"/>
      <c r="E655" s="149"/>
    </row>
    <row r="656">
      <c r="B656" s="149"/>
      <c r="C656" s="149"/>
      <c r="D656" s="157"/>
      <c r="E656" s="149"/>
    </row>
    <row r="657">
      <c r="B657" s="149"/>
      <c r="C657" s="149"/>
      <c r="D657" s="157"/>
      <c r="E657" s="149"/>
    </row>
    <row r="658">
      <c r="B658" s="149"/>
      <c r="C658" s="149"/>
      <c r="D658" s="157"/>
      <c r="E658" s="149"/>
    </row>
    <row r="659">
      <c r="B659" s="149"/>
      <c r="C659" s="149"/>
      <c r="D659" s="157"/>
      <c r="E659" s="149"/>
    </row>
    <row r="660">
      <c r="B660" s="149"/>
      <c r="C660" s="149"/>
      <c r="D660" s="157"/>
      <c r="E660" s="149"/>
    </row>
    <row r="661">
      <c r="B661" s="149"/>
      <c r="C661" s="149"/>
      <c r="D661" s="157"/>
      <c r="E661" s="149"/>
    </row>
    <row r="662">
      <c r="B662" s="149"/>
      <c r="C662" s="149"/>
      <c r="D662" s="157"/>
      <c r="E662" s="149"/>
    </row>
    <row r="663">
      <c r="B663" s="149"/>
      <c r="C663" s="149"/>
      <c r="D663" s="157"/>
      <c r="E663" s="149"/>
    </row>
    <row r="664">
      <c r="B664" s="149"/>
      <c r="C664" s="149"/>
      <c r="D664" s="157"/>
      <c r="E664" s="149"/>
    </row>
    <row r="665">
      <c r="B665" s="149"/>
      <c r="C665" s="149"/>
      <c r="D665" s="157"/>
      <c r="E665" s="149"/>
    </row>
    <row r="666">
      <c r="B666" s="149"/>
      <c r="C666" s="149"/>
      <c r="D666" s="157"/>
      <c r="E666" s="149"/>
    </row>
    <row r="667">
      <c r="B667" s="149"/>
      <c r="C667" s="149"/>
      <c r="D667" s="157"/>
      <c r="E667" s="149"/>
    </row>
    <row r="668">
      <c r="B668" s="149"/>
      <c r="C668" s="149"/>
      <c r="D668" s="157"/>
      <c r="E668" s="149"/>
    </row>
    <row r="669">
      <c r="B669" s="149"/>
      <c r="C669" s="149"/>
      <c r="D669" s="157"/>
      <c r="E669" s="149"/>
    </row>
    <row r="670">
      <c r="B670" s="149"/>
      <c r="C670" s="149"/>
      <c r="D670" s="157"/>
      <c r="E670" s="149"/>
    </row>
    <row r="671">
      <c r="B671" s="149"/>
      <c r="C671" s="149"/>
      <c r="D671" s="157"/>
      <c r="E671" s="149"/>
    </row>
    <row r="672">
      <c r="B672" s="149"/>
      <c r="C672" s="149"/>
      <c r="D672" s="157"/>
      <c r="E672" s="149"/>
    </row>
    <row r="673">
      <c r="B673" s="149"/>
      <c r="C673" s="149"/>
      <c r="D673" s="157"/>
      <c r="E673" s="149"/>
    </row>
    <row r="674">
      <c r="B674" s="149"/>
      <c r="C674" s="149"/>
      <c r="D674" s="157"/>
      <c r="E674" s="149"/>
    </row>
    <row r="675">
      <c r="B675" s="149"/>
      <c r="C675" s="149"/>
      <c r="D675" s="157"/>
      <c r="E675" s="149"/>
    </row>
    <row r="676">
      <c r="B676" s="149"/>
      <c r="C676" s="149"/>
      <c r="D676" s="157"/>
      <c r="E676" s="149"/>
    </row>
    <row r="677">
      <c r="B677" s="149"/>
      <c r="C677" s="149"/>
      <c r="D677" s="157"/>
      <c r="E677" s="149"/>
    </row>
    <row r="678">
      <c r="B678" s="149"/>
      <c r="C678" s="149"/>
      <c r="D678" s="157"/>
      <c r="E678" s="149"/>
    </row>
    <row r="679">
      <c r="B679" s="149"/>
      <c r="C679" s="149"/>
      <c r="D679" s="157"/>
      <c r="E679" s="149"/>
    </row>
    <row r="680">
      <c r="B680" s="149"/>
      <c r="C680" s="149"/>
      <c r="D680" s="157"/>
      <c r="E680" s="149"/>
    </row>
    <row r="681">
      <c r="B681" s="149"/>
      <c r="C681" s="149"/>
      <c r="D681" s="157"/>
      <c r="E681" s="149"/>
    </row>
    <row r="682">
      <c r="B682" s="149"/>
      <c r="C682" s="149"/>
      <c r="D682" s="157"/>
      <c r="E682" s="149"/>
    </row>
    <row r="683">
      <c r="B683" s="149"/>
      <c r="C683" s="149"/>
      <c r="D683" s="157"/>
      <c r="E683" s="149"/>
    </row>
    <row r="684">
      <c r="B684" s="149"/>
      <c r="C684" s="149"/>
      <c r="D684" s="157"/>
      <c r="E684" s="149"/>
    </row>
    <row r="685">
      <c r="B685" s="149"/>
      <c r="C685" s="149"/>
      <c r="D685" s="157"/>
      <c r="E685" s="149"/>
    </row>
    <row r="686">
      <c r="B686" s="149"/>
      <c r="C686" s="149"/>
      <c r="D686" s="157"/>
      <c r="E686" s="149"/>
    </row>
    <row r="687">
      <c r="B687" s="149"/>
      <c r="C687" s="149"/>
      <c r="D687" s="157"/>
      <c r="E687" s="149"/>
    </row>
    <row r="688">
      <c r="B688" s="149"/>
      <c r="C688" s="149"/>
      <c r="D688" s="157"/>
      <c r="E688" s="149"/>
    </row>
    <row r="689">
      <c r="B689" s="149"/>
      <c r="C689" s="149"/>
      <c r="D689" s="157"/>
      <c r="E689" s="149"/>
    </row>
    <row r="690">
      <c r="B690" s="149"/>
      <c r="C690" s="149"/>
      <c r="D690" s="157"/>
      <c r="E690" s="149"/>
    </row>
    <row r="691">
      <c r="B691" s="149"/>
      <c r="C691" s="149"/>
      <c r="D691" s="157"/>
      <c r="E691" s="149"/>
    </row>
    <row r="692">
      <c r="B692" s="149"/>
      <c r="C692" s="149"/>
      <c r="D692" s="157"/>
      <c r="E692" s="149"/>
    </row>
    <row r="693">
      <c r="B693" s="149"/>
      <c r="C693" s="149"/>
      <c r="D693" s="157"/>
      <c r="E693" s="149"/>
    </row>
    <row r="694">
      <c r="B694" s="149"/>
      <c r="C694" s="149"/>
      <c r="D694" s="157"/>
      <c r="E694" s="149"/>
    </row>
    <row r="695">
      <c r="B695" s="149"/>
      <c r="C695" s="149"/>
      <c r="D695" s="157"/>
      <c r="E695" s="149"/>
    </row>
    <row r="696">
      <c r="B696" s="149"/>
      <c r="C696" s="149"/>
      <c r="D696" s="157"/>
      <c r="E696" s="149"/>
    </row>
    <row r="697">
      <c r="B697" s="149"/>
      <c r="C697" s="149"/>
      <c r="D697" s="157"/>
      <c r="E697" s="149"/>
    </row>
    <row r="698">
      <c r="B698" s="149"/>
      <c r="C698" s="149"/>
      <c r="D698" s="157"/>
      <c r="E698" s="149"/>
    </row>
    <row r="699">
      <c r="B699" s="149"/>
      <c r="C699" s="149"/>
      <c r="D699" s="157"/>
      <c r="E699" s="149"/>
    </row>
    <row r="700">
      <c r="B700" s="149"/>
      <c r="C700" s="149"/>
      <c r="D700" s="157"/>
      <c r="E700" s="149"/>
    </row>
    <row r="701">
      <c r="B701" s="149"/>
      <c r="C701" s="149"/>
      <c r="D701" s="157"/>
      <c r="E701" s="149"/>
    </row>
    <row r="702">
      <c r="B702" s="149"/>
      <c r="C702" s="149"/>
      <c r="D702" s="157"/>
      <c r="E702" s="149"/>
    </row>
    <row r="703">
      <c r="B703" s="149"/>
      <c r="C703" s="149"/>
      <c r="D703" s="157"/>
      <c r="E703" s="149"/>
    </row>
    <row r="704">
      <c r="B704" s="149"/>
      <c r="C704" s="149"/>
      <c r="D704" s="157"/>
      <c r="E704" s="149"/>
    </row>
    <row r="705">
      <c r="B705" s="149"/>
      <c r="C705" s="149"/>
      <c r="D705" s="157"/>
      <c r="E705" s="149"/>
    </row>
    <row r="706">
      <c r="B706" s="149"/>
      <c r="C706" s="149"/>
      <c r="D706" s="157"/>
      <c r="E706" s="149"/>
    </row>
    <row r="707">
      <c r="B707" s="149"/>
      <c r="C707" s="149"/>
      <c r="D707" s="157"/>
      <c r="E707" s="149"/>
    </row>
    <row r="708">
      <c r="B708" s="149"/>
      <c r="C708" s="149"/>
      <c r="D708" s="157"/>
      <c r="E708" s="149"/>
    </row>
    <row r="709">
      <c r="B709" s="149"/>
      <c r="C709" s="149"/>
      <c r="D709" s="157"/>
      <c r="E709" s="149"/>
    </row>
    <row r="710">
      <c r="B710" s="149"/>
      <c r="C710" s="149"/>
      <c r="D710" s="157"/>
      <c r="E710" s="149"/>
    </row>
    <row r="711">
      <c r="B711" s="149"/>
      <c r="C711" s="149"/>
      <c r="D711" s="157"/>
      <c r="E711" s="149"/>
    </row>
    <row r="712">
      <c r="B712" s="149"/>
      <c r="C712" s="149"/>
      <c r="D712" s="157"/>
      <c r="E712" s="149"/>
    </row>
    <row r="713">
      <c r="B713" s="149"/>
      <c r="C713" s="149"/>
      <c r="D713" s="157"/>
      <c r="E713" s="149"/>
    </row>
    <row r="714">
      <c r="B714" s="149"/>
      <c r="C714" s="149"/>
      <c r="D714" s="157"/>
      <c r="E714" s="149"/>
    </row>
    <row r="715">
      <c r="B715" s="149"/>
      <c r="C715" s="149"/>
      <c r="D715" s="157"/>
      <c r="E715" s="149"/>
    </row>
    <row r="716">
      <c r="B716" s="149"/>
      <c r="C716" s="149"/>
      <c r="D716" s="157"/>
      <c r="E716" s="149"/>
    </row>
    <row r="717">
      <c r="B717" s="149"/>
      <c r="C717" s="149"/>
      <c r="D717" s="157"/>
      <c r="E717" s="149"/>
    </row>
    <row r="718">
      <c r="B718" s="149"/>
      <c r="C718" s="149"/>
      <c r="D718" s="157"/>
      <c r="E718" s="149"/>
    </row>
    <row r="719">
      <c r="B719" s="149"/>
      <c r="C719" s="149"/>
      <c r="D719" s="157"/>
      <c r="E719" s="149"/>
    </row>
    <row r="720">
      <c r="B720" s="149"/>
      <c r="C720" s="149"/>
      <c r="D720" s="157"/>
      <c r="E720" s="149"/>
    </row>
    <row r="721">
      <c r="B721" s="149"/>
      <c r="C721" s="149"/>
      <c r="D721" s="157"/>
      <c r="E721" s="149"/>
    </row>
    <row r="722">
      <c r="B722" s="149"/>
      <c r="C722" s="149"/>
      <c r="D722" s="157"/>
      <c r="E722" s="149"/>
    </row>
    <row r="723">
      <c r="B723" s="149"/>
      <c r="C723" s="149"/>
      <c r="D723" s="157"/>
      <c r="E723" s="149"/>
    </row>
    <row r="724">
      <c r="B724" s="149"/>
      <c r="C724" s="149"/>
      <c r="D724" s="157"/>
      <c r="E724" s="149"/>
    </row>
    <row r="725">
      <c r="B725" s="149"/>
      <c r="C725" s="149"/>
      <c r="D725" s="157"/>
      <c r="E725" s="149"/>
    </row>
    <row r="726">
      <c r="B726" s="149"/>
      <c r="C726" s="149"/>
      <c r="D726" s="157"/>
      <c r="E726" s="149"/>
    </row>
    <row r="727">
      <c r="B727" s="149"/>
      <c r="C727" s="149"/>
      <c r="D727" s="157"/>
      <c r="E727" s="149"/>
    </row>
    <row r="728">
      <c r="B728" s="149"/>
      <c r="C728" s="149"/>
      <c r="D728" s="157"/>
      <c r="E728" s="149"/>
    </row>
    <row r="729">
      <c r="B729" s="149"/>
      <c r="C729" s="149"/>
      <c r="D729" s="157"/>
      <c r="E729" s="149"/>
    </row>
    <row r="730">
      <c r="B730" s="149"/>
      <c r="C730" s="149"/>
      <c r="D730" s="157"/>
      <c r="E730" s="149"/>
    </row>
    <row r="731">
      <c r="B731" s="149"/>
      <c r="C731" s="149"/>
      <c r="D731" s="157"/>
      <c r="E731" s="149"/>
    </row>
    <row r="732">
      <c r="B732" s="149"/>
      <c r="C732" s="149"/>
      <c r="D732" s="157"/>
      <c r="E732" s="149"/>
    </row>
    <row r="733">
      <c r="B733" s="149"/>
      <c r="C733" s="149"/>
      <c r="D733" s="157"/>
      <c r="E733" s="149"/>
    </row>
    <row r="734">
      <c r="B734" s="149"/>
      <c r="C734" s="149"/>
      <c r="D734" s="157"/>
      <c r="E734" s="149"/>
    </row>
    <row r="735">
      <c r="B735" s="149"/>
      <c r="C735" s="149"/>
      <c r="D735" s="157"/>
      <c r="E735" s="149"/>
    </row>
    <row r="736">
      <c r="B736" s="149"/>
      <c r="C736" s="149"/>
      <c r="D736" s="157"/>
      <c r="E736" s="149"/>
    </row>
    <row r="737">
      <c r="B737" s="149"/>
      <c r="C737" s="149"/>
      <c r="D737" s="157"/>
      <c r="E737" s="149"/>
    </row>
    <row r="738">
      <c r="B738" s="149"/>
      <c r="C738" s="149"/>
      <c r="D738" s="157"/>
      <c r="E738" s="149"/>
    </row>
    <row r="739">
      <c r="B739" s="149"/>
      <c r="C739" s="149"/>
      <c r="D739" s="157"/>
      <c r="E739" s="149"/>
    </row>
    <row r="740">
      <c r="B740" s="149"/>
      <c r="C740" s="149"/>
      <c r="D740" s="157"/>
      <c r="E740" s="149"/>
    </row>
    <row r="741">
      <c r="B741" s="149"/>
      <c r="C741" s="149"/>
      <c r="D741" s="157"/>
      <c r="E741" s="149"/>
    </row>
    <row r="742">
      <c r="B742" s="149"/>
      <c r="C742" s="149"/>
      <c r="D742" s="157"/>
      <c r="E742" s="149"/>
    </row>
    <row r="743">
      <c r="B743" s="149"/>
      <c r="C743" s="149"/>
      <c r="D743" s="157"/>
      <c r="E743" s="149"/>
    </row>
    <row r="744">
      <c r="B744" s="149"/>
      <c r="C744" s="149"/>
      <c r="D744" s="157"/>
      <c r="E744" s="149"/>
    </row>
    <row r="745">
      <c r="B745" s="149"/>
      <c r="C745" s="149"/>
      <c r="D745" s="157"/>
      <c r="E745" s="149"/>
    </row>
    <row r="746">
      <c r="B746" s="149"/>
      <c r="C746" s="149"/>
      <c r="D746" s="157"/>
      <c r="E746" s="149"/>
    </row>
    <row r="747">
      <c r="B747" s="149"/>
      <c r="C747" s="149"/>
      <c r="D747" s="157"/>
      <c r="E747" s="149"/>
    </row>
    <row r="748">
      <c r="B748" s="149"/>
      <c r="C748" s="149"/>
      <c r="D748" s="157"/>
      <c r="E748" s="149"/>
    </row>
    <row r="749">
      <c r="B749" s="149"/>
      <c r="C749" s="149"/>
      <c r="D749" s="157"/>
      <c r="E749" s="149"/>
    </row>
    <row r="750">
      <c r="B750" s="149"/>
      <c r="C750" s="149"/>
      <c r="D750" s="157"/>
      <c r="E750" s="149"/>
    </row>
    <row r="751">
      <c r="B751" s="149"/>
      <c r="C751" s="149"/>
      <c r="D751" s="157"/>
      <c r="E751" s="149"/>
    </row>
    <row r="752">
      <c r="B752" s="149"/>
      <c r="C752" s="149"/>
      <c r="D752" s="157"/>
      <c r="E752" s="149"/>
    </row>
    <row r="753">
      <c r="B753" s="149"/>
      <c r="C753" s="149"/>
      <c r="D753" s="157"/>
      <c r="E753" s="149"/>
    </row>
    <row r="754">
      <c r="B754" s="149"/>
      <c r="C754" s="149"/>
      <c r="D754" s="157"/>
      <c r="E754" s="149"/>
    </row>
    <row r="755">
      <c r="B755" s="149"/>
      <c r="C755" s="149"/>
      <c r="D755" s="157"/>
      <c r="E755" s="149"/>
    </row>
    <row r="756">
      <c r="B756" s="149"/>
      <c r="C756" s="149"/>
      <c r="D756" s="157"/>
      <c r="E756" s="149"/>
    </row>
    <row r="757">
      <c r="B757" s="149"/>
      <c r="C757" s="149"/>
      <c r="D757" s="157"/>
      <c r="E757" s="149"/>
    </row>
    <row r="758">
      <c r="B758" s="149"/>
      <c r="C758" s="149"/>
      <c r="D758" s="157"/>
      <c r="E758" s="149"/>
    </row>
    <row r="759">
      <c r="B759" s="149"/>
      <c r="C759" s="149"/>
      <c r="D759" s="157"/>
      <c r="E759" s="149"/>
    </row>
    <row r="760">
      <c r="B760" s="149"/>
      <c r="C760" s="149"/>
      <c r="D760" s="157"/>
      <c r="E760" s="149"/>
    </row>
    <row r="761">
      <c r="B761" s="149"/>
      <c r="C761" s="149"/>
      <c r="D761" s="157"/>
      <c r="E761" s="149"/>
    </row>
    <row r="762">
      <c r="B762" s="149"/>
      <c r="C762" s="149"/>
      <c r="D762" s="157"/>
      <c r="E762" s="149"/>
    </row>
    <row r="763">
      <c r="B763" s="149"/>
      <c r="C763" s="149"/>
      <c r="D763" s="157"/>
      <c r="E763" s="149"/>
    </row>
    <row r="764">
      <c r="B764" s="149"/>
      <c r="C764" s="149"/>
      <c r="D764" s="157"/>
      <c r="E764" s="149"/>
    </row>
    <row r="765">
      <c r="B765" s="149"/>
      <c r="C765" s="149"/>
      <c r="D765" s="157"/>
      <c r="E765" s="149"/>
    </row>
    <row r="766">
      <c r="B766" s="149"/>
      <c r="C766" s="149"/>
      <c r="D766" s="157"/>
      <c r="E766" s="149"/>
    </row>
    <row r="767">
      <c r="B767" s="149"/>
      <c r="C767" s="149"/>
      <c r="D767" s="157"/>
      <c r="E767" s="149"/>
    </row>
    <row r="768">
      <c r="B768" s="149"/>
      <c r="C768" s="149"/>
      <c r="D768" s="157"/>
      <c r="E768" s="149"/>
    </row>
    <row r="769">
      <c r="B769" s="149"/>
      <c r="C769" s="149"/>
      <c r="D769" s="157"/>
      <c r="E769" s="149"/>
    </row>
    <row r="770">
      <c r="B770" s="149"/>
      <c r="C770" s="149"/>
      <c r="D770" s="157"/>
      <c r="E770" s="149"/>
    </row>
    <row r="771">
      <c r="B771" s="149"/>
      <c r="C771" s="149"/>
      <c r="D771" s="157"/>
      <c r="E771" s="149"/>
    </row>
    <row r="772">
      <c r="B772" s="149"/>
      <c r="C772" s="149"/>
      <c r="D772" s="157"/>
      <c r="E772" s="149"/>
    </row>
    <row r="773">
      <c r="B773" s="149"/>
      <c r="C773" s="149"/>
      <c r="D773" s="157"/>
      <c r="E773" s="149"/>
    </row>
    <row r="774">
      <c r="B774" s="149"/>
      <c r="C774" s="149"/>
      <c r="D774" s="157"/>
      <c r="E774" s="149"/>
    </row>
    <row r="775">
      <c r="B775" s="149"/>
      <c r="C775" s="149"/>
      <c r="D775" s="157"/>
      <c r="E775" s="149"/>
    </row>
    <row r="776">
      <c r="B776" s="149"/>
      <c r="C776" s="149"/>
      <c r="D776" s="157"/>
      <c r="E776" s="149"/>
    </row>
    <row r="777">
      <c r="B777" s="149"/>
      <c r="C777" s="149"/>
      <c r="D777" s="157"/>
      <c r="E777" s="149"/>
    </row>
    <row r="778">
      <c r="B778" s="149"/>
      <c r="C778" s="149"/>
      <c r="D778" s="157"/>
      <c r="E778" s="149"/>
    </row>
    <row r="779">
      <c r="B779" s="149"/>
      <c r="C779" s="149"/>
      <c r="D779" s="157"/>
      <c r="E779" s="149"/>
    </row>
    <row r="780">
      <c r="B780" s="149"/>
      <c r="C780" s="149"/>
      <c r="D780" s="157"/>
      <c r="E780" s="149"/>
    </row>
    <row r="781">
      <c r="B781" s="149"/>
      <c r="C781" s="149"/>
      <c r="D781" s="157"/>
      <c r="E781" s="149"/>
    </row>
    <row r="782">
      <c r="B782" s="149"/>
      <c r="C782" s="149"/>
      <c r="D782" s="157"/>
      <c r="E782" s="149"/>
    </row>
    <row r="783">
      <c r="B783" s="149"/>
      <c r="C783" s="149"/>
      <c r="D783" s="157"/>
      <c r="E783" s="149"/>
    </row>
    <row r="784">
      <c r="B784" s="149"/>
      <c r="C784" s="149"/>
      <c r="D784" s="157"/>
      <c r="E784" s="149"/>
    </row>
    <row r="785">
      <c r="B785" s="149"/>
      <c r="C785" s="149"/>
      <c r="D785" s="157"/>
      <c r="E785" s="149"/>
    </row>
    <row r="786">
      <c r="B786" s="149"/>
      <c r="C786" s="149"/>
      <c r="D786" s="157"/>
      <c r="E786" s="149"/>
    </row>
    <row r="787">
      <c r="B787" s="149"/>
      <c r="C787" s="149"/>
      <c r="D787" s="157"/>
      <c r="E787" s="149"/>
    </row>
    <row r="788">
      <c r="B788" s="149"/>
      <c r="C788" s="149"/>
      <c r="D788" s="157"/>
      <c r="E788" s="149"/>
    </row>
    <row r="789">
      <c r="B789" s="149"/>
      <c r="C789" s="149"/>
      <c r="D789" s="157"/>
      <c r="E789" s="149"/>
    </row>
    <row r="790">
      <c r="B790" s="149"/>
      <c r="C790" s="149"/>
      <c r="D790" s="157"/>
      <c r="E790" s="149"/>
    </row>
    <row r="791">
      <c r="B791" s="149"/>
      <c r="C791" s="149"/>
      <c r="D791" s="157"/>
      <c r="E791" s="149"/>
    </row>
    <row r="792">
      <c r="B792" s="149"/>
      <c r="C792" s="149"/>
      <c r="D792" s="157"/>
      <c r="E792" s="149"/>
    </row>
    <row r="793">
      <c r="B793" s="149"/>
      <c r="C793" s="149"/>
      <c r="D793" s="157"/>
      <c r="E793" s="149"/>
    </row>
    <row r="794">
      <c r="B794" s="149"/>
      <c r="C794" s="149"/>
      <c r="D794" s="157"/>
      <c r="E794" s="149"/>
    </row>
    <row r="795">
      <c r="B795" s="149"/>
      <c r="C795" s="149"/>
      <c r="D795" s="157"/>
      <c r="E795" s="149"/>
    </row>
    <row r="796">
      <c r="B796" s="149"/>
      <c r="C796" s="149"/>
      <c r="D796" s="157"/>
      <c r="E796" s="149"/>
    </row>
    <row r="797">
      <c r="B797" s="149"/>
      <c r="C797" s="149"/>
      <c r="D797" s="157"/>
      <c r="E797" s="149"/>
    </row>
    <row r="798">
      <c r="B798" s="149"/>
      <c r="C798" s="149"/>
      <c r="D798" s="157"/>
      <c r="E798" s="149"/>
    </row>
    <row r="799">
      <c r="B799" s="149"/>
      <c r="C799" s="149"/>
      <c r="D799" s="157"/>
      <c r="E799" s="149"/>
    </row>
    <row r="800">
      <c r="B800" s="149"/>
      <c r="C800" s="149"/>
      <c r="D800" s="157"/>
      <c r="E800" s="149"/>
    </row>
    <row r="801">
      <c r="B801" s="149"/>
      <c r="C801" s="149"/>
      <c r="D801" s="157"/>
      <c r="E801" s="149"/>
    </row>
    <row r="802">
      <c r="B802" s="149"/>
      <c r="C802" s="149"/>
      <c r="D802" s="157"/>
      <c r="E802" s="149"/>
    </row>
    <row r="803">
      <c r="B803" s="149"/>
      <c r="C803" s="149"/>
      <c r="D803" s="157"/>
      <c r="E803" s="149"/>
    </row>
    <row r="804">
      <c r="B804" s="149"/>
      <c r="C804" s="149"/>
      <c r="D804" s="157"/>
      <c r="E804" s="149"/>
    </row>
    <row r="805">
      <c r="B805" s="149"/>
      <c r="C805" s="149"/>
      <c r="D805" s="157"/>
      <c r="E805" s="149"/>
    </row>
    <row r="806">
      <c r="B806" s="149"/>
      <c r="C806" s="149"/>
      <c r="D806" s="157"/>
      <c r="E806" s="149"/>
    </row>
    <row r="807">
      <c r="B807" s="149"/>
      <c r="C807" s="149"/>
      <c r="D807" s="157"/>
      <c r="E807" s="149"/>
    </row>
    <row r="808">
      <c r="B808" s="149"/>
      <c r="C808" s="149"/>
      <c r="D808" s="157"/>
      <c r="E808" s="149"/>
    </row>
    <row r="809">
      <c r="B809" s="149"/>
      <c r="C809" s="149"/>
      <c r="D809" s="157"/>
      <c r="E809" s="149"/>
    </row>
    <row r="810">
      <c r="B810" s="149"/>
      <c r="C810" s="149"/>
      <c r="D810" s="157"/>
      <c r="E810" s="149"/>
    </row>
    <row r="811">
      <c r="B811" s="149"/>
      <c r="C811" s="149"/>
      <c r="D811" s="157"/>
      <c r="E811" s="149"/>
    </row>
    <row r="812">
      <c r="B812" s="149"/>
      <c r="C812" s="149"/>
      <c r="D812" s="157"/>
      <c r="E812" s="149"/>
    </row>
    <row r="813">
      <c r="B813" s="149"/>
      <c r="C813" s="149"/>
      <c r="D813" s="157"/>
      <c r="E813" s="149"/>
    </row>
    <row r="814">
      <c r="B814" s="149"/>
      <c r="C814" s="149"/>
      <c r="D814" s="157"/>
      <c r="E814" s="149"/>
    </row>
    <row r="815">
      <c r="B815" s="149"/>
      <c r="C815" s="149"/>
      <c r="D815" s="157"/>
      <c r="E815" s="149"/>
    </row>
    <row r="816">
      <c r="B816" s="149"/>
      <c r="C816" s="149"/>
      <c r="D816" s="157"/>
      <c r="E816" s="149"/>
    </row>
    <row r="817">
      <c r="B817" s="149"/>
      <c r="C817" s="149"/>
      <c r="D817" s="157"/>
      <c r="E817" s="149"/>
    </row>
    <row r="818">
      <c r="B818" s="149"/>
      <c r="C818" s="149"/>
      <c r="D818" s="157"/>
      <c r="E818" s="149"/>
    </row>
    <row r="819">
      <c r="B819" s="149"/>
      <c r="C819" s="149"/>
      <c r="D819" s="157"/>
      <c r="E819" s="149"/>
    </row>
    <row r="820">
      <c r="B820" s="149"/>
      <c r="C820" s="149"/>
      <c r="D820" s="157"/>
      <c r="E820" s="149"/>
    </row>
    <row r="821">
      <c r="B821" s="149"/>
      <c r="C821" s="149"/>
      <c r="D821" s="157"/>
      <c r="E821" s="149"/>
    </row>
    <row r="822">
      <c r="B822" s="149"/>
      <c r="C822" s="149"/>
      <c r="D822" s="157"/>
      <c r="E822" s="149"/>
    </row>
    <row r="823">
      <c r="B823" s="149"/>
      <c r="C823" s="149"/>
      <c r="D823" s="157"/>
      <c r="E823" s="149"/>
    </row>
    <row r="824">
      <c r="B824" s="149"/>
      <c r="C824" s="149"/>
      <c r="D824" s="157"/>
      <c r="E824" s="149"/>
    </row>
    <row r="825">
      <c r="B825" s="149"/>
      <c r="C825" s="149"/>
      <c r="D825" s="157"/>
      <c r="E825" s="149"/>
    </row>
    <row r="826">
      <c r="B826" s="149"/>
      <c r="C826" s="149"/>
      <c r="D826" s="157"/>
      <c r="E826" s="149"/>
    </row>
    <row r="827">
      <c r="B827" s="149"/>
      <c r="C827" s="149"/>
      <c r="D827" s="157"/>
      <c r="E827" s="149"/>
    </row>
    <row r="828">
      <c r="B828" s="149"/>
      <c r="C828" s="149"/>
      <c r="D828" s="157"/>
      <c r="E828" s="149"/>
    </row>
    <row r="829">
      <c r="B829" s="149"/>
      <c r="C829" s="149"/>
      <c r="D829" s="157"/>
      <c r="E829" s="149"/>
    </row>
    <row r="830">
      <c r="B830" s="149"/>
      <c r="C830" s="149"/>
      <c r="D830" s="157"/>
      <c r="E830" s="149"/>
    </row>
    <row r="831">
      <c r="B831" s="149"/>
      <c r="C831" s="149"/>
      <c r="D831" s="157"/>
      <c r="E831" s="149"/>
    </row>
    <row r="832">
      <c r="B832" s="149"/>
      <c r="C832" s="149"/>
      <c r="D832" s="157"/>
      <c r="E832" s="149"/>
    </row>
    <row r="833">
      <c r="B833" s="149"/>
      <c r="C833" s="149"/>
      <c r="D833" s="157"/>
      <c r="E833" s="149"/>
    </row>
    <row r="834">
      <c r="B834" s="149"/>
      <c r="C834" s="149"/>
      <c r="D834" s="157"/>
      <c r="E834" s="149"/>
    </row>
    <row r="835">
      <c r="B835" s="149"/>
      <c r="C835" s="149"/>
      <c r="D835" s="157"/>
      <c r="E835" s="149"/>
    </row>
    <row r="836">
      <c r="B836" s="149"/>
      <c r="C836" s="149"/>
      <c r="D836" s="157"/>
      <c r="E836" s="149"/>
    </row>
    <row r="837">
      <c r="B837" s="149"/>
      <c r="C837" s="149"/>
      <c r="D837" s="157"/>
      <c r="E837" s="149"/>
    </row>
    <row r="838">
      <c r="B838" s="149"/>
      <c r="C838" s="149"/>
      <c r="D838" s="157"/>
      <c r="E838" s="149"/>
    </row>
    <row r="839">
      <c r="B839" s="149"/>
      <c r="C839" s="149"/>
      <c r="D839" s="157"/>
      <c r="E839" s="149"/>
    </row>
    <row r="840">
      <c r="B840" s="149"/>
      <c r="C840" s="149"/>
      <c r="D840" s="157"/>
      <c r="E840" s="149"/>
    </row>
    <row r="841">
      <c r="B841" s="149"/>
      <c r="C841" s="149"/>
      <c r="D841" s="157"/>
      <c r="E841" s="149"/>
    </row>
    <row r="842">
      <c r="B842" s="149"/>
      <c r="C842" s="149"/>
      <c r="D842" s="157"/>
      <c r="E842" s="149"/>
    </row>
    <row r="843">
      <c r="B843" s="149"/>
      <c r="C843" s="149"/>
      <c r="D843" s="157"/>
      <c r="E843" s="149"/>
    </row>
    <row r="844">
      <c r="B844" s="149"/>
      <c r="C844" s="149"/>
      <c r="D844" s="157"/>
      <c r="E844" s="149"/>
    </row>
    <row r="845">
      <c r="B845" s="149"/>
      <c r="C845" s="149"/>
      <c r="D845" s="157"/>
      <c r="E845" s="149"/>
    </row>
    <row r="846">
      <c r="B846" s="149"/>
      <c r="C846" s="149"/>
      <c r="D846" s="157"/>
      <c r="E846" s="149"/>
    </row>
    <row r="847">
      <c r="B847" s="149"/>
      <c r="C847" s="149"/>
      <c r="D847" s="157"/>
      <c r="E847" s="149"/>
    </row>
    <row r="848">
      <c r="B848" s="149"/>
      <c r="C848" s="149"/>
      <c r="D848" s="157"/>
      <c r="E848" s="149"/>
    </row>
    <row r="849">
      <c r="B849" s="149"/>
      <c r="C849" s="149"/>
      <c r="D849" s="157"/>
      <c r="E849" s="149"/>
    </row>
    <row r="850">
      <c r="B850" s="149"/>
      <c r="C850" s="149"/>
      <c r="D850" s="157"/>
      <c r="E850" s="149"/>
    </row>
    <row r="851">
      <c r="B851" s="149"/>
      <c r="C851" s="149"/>
      <c r="D851" s="157"/>
      <c r="E851" s="149"/>
    </row>
    <row r="852">
      <c r="B852" s="149"/>
      <c r="C852" s="149"/>
      <c r="D852" s="157"/>
      <c r="E852" s="149"/>
    </row>
    <row r="853">
      <c r="B853" s="149"/>
      <c r="C853" s="149"/>
      <c r="D853" s="157"/>
      <c r="E853" s="149"/>
    </row>
    <row r="854">
      <c r="B854" s="149"/>
      <c r="C854" s="149"/>
      <c r="D854" s="157"/>
      <c r="E854" s="149"/>
    </row>
    <row r="855">
      <c r="B855" s="149"/>
      <c r="C855" s="149"/>
      <c r="D855" s="157"/>
      <c r="E855" s="149"/>
    </row>
    <row r="856">
      <c r="B856" s="149"/>
      <c r="C856" s="149"/>
      <c r="D856" s="157"/>
      <c r="E856" s="149"/>
    </row>
    <row r="857">
      <c r="B857" s="149"/>
      <c r="C857" s="149"/>
      <c r="D857" s="157"/>
      <c r="E857" s="149"/>
    </row>
    <row r="858">
      <c r="B858" s="149"/>
      <c r="C858" s="149"/>
      <c r="D858" s="157"/>
      <c r="E858" s="149"/>
    </row>
    <row r="859">
      <c r="B859" s="149"/>
      <c r="C859" s="149"/>
      <c r="D859" s="157"/>
      <c r="E859" s="149"/>
    </row>
    <row r="860">
      <c r="B860" s="149"/>
      <c r="C860" s="149"/>
      <c r="D860" s="157"/>
      <c r="E860" s="149"/>
    </row>
    <row r="861">
      <c r="B861" s="149"/>
      <c r="C861" s="149"/>
      <c r="D861" s="157"/>
      <c r="E861" s="149"/>
    </row>
    <row r="862">
      <c r="B862" s="149"/>
      <c r="C862" s="149"/>
      <c r="D862" s="157"/>
      <c r="E862" s="149"/>
    </row>
    <row r="863">
      <c r="B863" s="149"/>
      <c r="C863" s="149"/>
      <c r="D863" s="157"/>
      <c r="E863" s="149"/>
    </row>
    <row r="864">
      <c r="B864" s="149"/>
      <c r="C864" s="149"/>
      <c r="D864" s="157"/>
      <c r="E864" s="149"/>
    </row>
    <row r="865">
      <c r="B865" s="149"/>
      <c r="C865" s="149"/>
      <c r="D865" s="157"/>
      <c r="E865" s="149"/>
    </row>
    <row r="866">
      <c r="B866" s="149"/>
      <c r="C866" s="149"/>
      <c r="D866" s="157"/>
      <c r="E866" s="149"/>
    </row>
    <row r="867">
      <c r="B867" s="149"/>
      <c r="C867" s="149"/>
      <c r="D867" s="157"/>
      <c r="E867" s="149"/>
    </row>
    <row r="868">
      <c r="B868" s="149"/>
      <c r="C868" s="149"/>
      <c r="D868" s="157"/>
      <c r="E868" s="149"/>
    </row>
    <row r="869">
      <c r="B869" s="149"/>
      <c r="C869" s="149"/>
      <c r="D869" s="157"/>
      <c r="E869" s="149"/>
    </row>
    <row r="870">
      <c r="B870" s="149"/>
      <c r="C870" s="149"/>
      <c r="D870" s="157"/>
      <c r="E870" s="149"/>
    </row>
    <row r="871">
      <c r="B871" s="149"/>
      <c r="C871" s="149"/>
      <c r="D871" s="157"/>
      <c r="E871" s="149"/>
    </row>
    <row r="872">
      <c r="B872" s="149"/>
      <c r="C872" s="149"/>
      <c r="D872" s="157"/>
      <c r="E872" s="149"/>
    </row>
    <row r="873">
      <c r="B873" s="149"/>
      <c r="C873" s="149"/>
      <c r="D873" s="157"/>
      <c r="E873" s="149"/>
    </row>
    <row r="874">
      <c r="B874" s="149"/>
      <c r="C874" s="149"/>
      <c r="D874" s="157"/>
      <c r="E874" s="149"/>
    </row>
    <row r="875">
      <c r="B875" s="149"/>
      <c r="C875" s="149"/>
      <c r="D875" s="157"/>
      <c r="E875" s="149"/>
    </row>
    <row r="876">
      <c r="B876" s="149"/>
      <c r="C876" s="149"/>
      <c r="D876" s="157"/>
      <c r="E876" s="149"/>
    </row>
    <row r="877">
      <c r="B877" s="149"/>
      <c r="C877" s="149"/>
      <c r="D877" s="157"/>
      <c r="E877" s="149"/>
    </row>
    <row r="878">
      <c r="B878" s="149"/>
      <c r="C878" s="149"/>
      <c r="D878" s="157"/>
      <c r="E878" s="149"/>
    </row>
    <row r="879">
      <c r="B879" s="149"/>
      <c r="C879" s="149"/>
      <c r="D879" s="157"/>
      <c r="E879" s="149"/>
    </row>
    <row r="880">
      <c r="B880" s="149"/>
      <c r="C880" s="149"/>
      <c r="D880" s="157"/>
      <c r="E880" s="149"/>
    </row>
    <row r="881">
      <c r="B881" s="149"/>
      <c r="C881" s="149"/>
      <c r="D881" s="157"/>
      <c r="E881" s="149"/>
    </row>
    <row r="882">
      <c r="B882" s="149"/>
      <c r="C882" s="149"/>
      <c r="D882" s="157"/>
      <c r="E882" s="149"/>
    </row>
    <row r="883">
      <c r="B883" s="149"/>
      <c r="C883" s="149"/>
      <c r="D883" s="157"/>
      <c r="E883" s="149"/>
    </row>
    <row r="884">
      <c r="B884" s="149"/>
      <c r="C884" s="149"/>
      <c r="D884" s="157"/>
      <c r="E884" s="149"/>
    </row>
    <row r="885">
      <c r="B885" s="149"/>
      <c r="C885" s="149"/>
      <c r="D885" s="157"/>
      <c r="E885" s="149"/>
    </row>
    <row r="886">
      <c r="B886" s="149"/>
      <c r="C886" s="149"/>
      <c r="D886" s="157"/>
      <c r="E886" s="149"/>
    </row>
    <row r="887">
      <c r="B887" s="149"/>
      <c r="C887" s="149"/>
      <c r="D887" s="157"/>
      <c r="E887" s="149"/>
    </row>
    <row r="888">
      <c r="B888" s="149"/>
      <c r="C888" s="149"/>
      <c r="D888" s="157"/>
      <c r="E888" s="149"/>
    </row>
    <row r="889">
      <c r="B889" s="149"/>
      <c r="C889" s="149"/>
      <c r="D889" s="157"/>
      <c r="E889" s="149"/>
    </row>
    <row r="890">
      <c r="B890" s="149"/>
      <c r="C890" s="149"/>
      <c r="D890" s="157"/>
      <c r="E890" s="149"/>
    </row>
    <row r="891">
      <c r="B891" s="149"/>
      <c r="C891" s="149"/>
      <c r="D891" s="157"/>
      <c r="E891" s="149"/>
    </row>
    <row r="892">
      <c r="B892" s="149"/>
      <c r="C892" s="149"/>
      <c r="D892" s="157"/>
      <c r="E892" s="149"/>
    </row>
    <row r="893">
      <c r="B893" s="149"/>
      <c r="C893" s="149"/>
      <c r="D893" s="157"/>
      <c r="E893" s="149"/>
    </row>
    <row r="894">
      <c r="B894" s="149"/>
      <c r="C894" s="149"/>
      <c r="D894" s="157"/>
      <c r="E894" s="149"/>
    </row>
    <row r="895">
      <c r="B895" s="149"/>
      <c r="C895" s="149"/>
      <c r="D895" s="157"/>
      <c r="E895" s="149"/>
    </row>
    <row r="896">
      <c r="B896" s="149"/>
      <c r="C896" s="149"/>
      <c r="D896" s="157"/>
      <c r="E896" s="149"/>
    </row>
    <row r="897">
      <c r="B897" s="149"/>
      <c r="C897" s="149"/>
      <c r="D897" s="157"/>
      <c r="E897" s="149"/>
    </row>
    <row r="898">
      <c r="B898" s="149"/>
      <c r="C898" s="149"/>
      <c r="D898" s="157"/>
      <c r="E898" s="149"/>
    </row>
    <row r="899">
      <c r="B899" s="149"/>
      <c r="C899" s="149"/>
      <c r="D899" s="157"/>
      <c r="E899" s="149"/>
    </row>
    <row r="900">
      <c r="B900" s="149"/>
      <c r="C900" s="149"/>
      <c r="D900" s="157"/>
      <c r="E900" s="149"/>
    </row>
    <row r="901">
      <c r="B901" s="149"/>
      <c r="C901" s="149"/>
      <c r="D901" s="157"/>
      <c r="E901" s="149"/>
    </row>
    <row r="902">
      <c r="B902" s="149"/>
      <c r="C902" s="149"/>
      <c r="D902" s="157"/>
      <c r="E902" s="149"/>
    </row>
    <row r="903">
      <c r="B903" s="149"/>
      <c r="C903" s="149"/>
      <c r="D903" s="157"/>
      <c r="E903" s="149"/>
    </row>
    <row r="904">
      <c r="B904" s="149"/>
      <c r="C904" s="149"/>
      <c r="D904" s="157"/>
      <c r="E904" s="149"/>
    </row>
    <row r="905">
      <c r="B905" s="149"/>
      <c r="C905" s="149"/>
      <c r="D905" s="157"/>
      <c r="E905" s="149"/>
    </row>
    <row r="906">
      <c r="B906" s="149"/>
      <c r="C906" s="149"/>
      <c r="D906" s="157"/>
      <c r="E906" s="149"/>
    </row>
    <row r="907">
      <c r="B907" s="149"/>
      <c r="C907" s="149"/>
      <c r="D907" s="157"/>
      <c r="E907" s="149"/>
    </row>
    <row r="908">
      <c r="B908" s="149"/>
      <c r="C908" s="149"/>
      <c r="D908" s="157"/>
      <c r="E908" s="149"/>
    </row>
    <row r="909">
      <c r="B909" s="149"/>
      <c r="C909" s="149"/>
      <c r="D909" s="157"/>
      <c r="E909" s="149"/>
    </row>
    <row r="910">
      <c r="B910" s="149"/>
      <c r="C910" s="149"/>
      <c r="D910" s="157"/>
      <c r="E910" s="149"/>
    </row>
    <row r="911">
      <c r="B911" s="149"/>
      <c r="C911" s="149"/>
      <c r="D911" s="157"/>
      <c r="E911" s="149"/>
    </row>
    <row r="912">
      <c r="B912" s="149"/>
      <c r="C912" s="149"/>
      <c r="D912" s="157"/>
      <c r="E912" s="149"/>
    </row>
    <row r="913">
      <c r="B913" s="149"/>
      <c r="C913" s="149"/>
      <c r="D913" s="157"/>
      <c r="E913" s="149"/>
    </row>
    <row r="914">
      <c r="B914" s="149"/>
      <c r="C914" s="149"/>
      <c r="D914" s="157"/>
      <c r="E914" s="149"/>
    </row>
    <row r="915">
      <c r="B915" s="149"/>
      <c r="C915" s="149"/>
      <c r="D915" s="157"/>
      <c r="E915" s="149"/>
    </row>
    <row r="916">
      <c r="B916" s="149"/>
      <c r="C916" s="149"/>
      <c r="D916" s="157"/>
      <c r="E916" s="149"/>
    </row>
    <row r="917">
      <c r="B917" s="149"/>
      <c r="C917" s="149"/>
      <c r="D917" s="157"/>
      <c r="E917" s="149"/>
    </row>
    <row r="918">
      <c r="B918" s="149"/>
      <c r="C918" s="149"/>
      <c r="D918" s="157"/>
      <c r="E918" s="149"/>
    </row>
    <row r="919">
      <c r="B919" s="149"/>
      <c r="C919" s="149"/>
      <c r="D919" s="157"/>
      <c r="E919" s="149"/>
    </row>
    <row r="920">
      <c r="B920" s="149"/>
      <c r="C920" s="149"/>
      <c r="D920" s="157"/>
      <c r="E920" s="149"/>
    </row>
    <row r="921">
      <c r="B921" s="149"/>
      <c r="C921" s="149"/>
      <c r="D921" s="157"/>
      <c r="E921" s="149"/>
    </row>
    <row r="922">
      <c r="B922" s="149"/>
      <c r="C922" s="149"/>
      <c r="D922" s="157"/>
      <c r="E922" s="149"/>
    </row>
    <row r="923">
      <c r="B923" s="149"/>
      <c r="C923" s="149"/>
      <c r="D923" s="157"/>
      <c r="E923" s="149"/>
    </row>
    <row r="924">
      <c r="B924" s="149"/>
      <c r="C924" s="149"/>
      <c r="D924" s="157"/>
      <c r="E924" s="149"/>
    </row>
    <row r="925">
      <c r="B925" s="149"/>
      <c r="C925" s="149"/>
      <c r="D925" s="157"/>
      <c r="E925" s="149"/>
    </row>
    <row r="926">
      <c r="B926" s="149"/>
      <c r="C926" s="149"/>
      <c r="D926" s="157"/>
      <c r="E926" s="149"/>
    </row>
    <row r="927">
      <c r="B927" s="149"/>
      <c r="C927" s="149"/>
      <c r="D927" s="157"/>
      <c r="E927" s="149"/>
    </row>
    <row r="928">
      <c r="B928" s="149"/>
      <c r="C928" s="149"/>
      <c r="D928" s="157"/>
      <c r="E928" s="149"/>
    </row>
    <row r="929">
      <c r="B929" s="149"/>
      <c r="C929" s="149"/>
      <c r="D929" s="157"/>
      <c r="E929" s="149"/>
    </row>
    <row r="930">
      <c r="B930" s="149"/>
      <c r="C930" s="149"/>
      <c r="D930" s="157"/>
      <c r="E930" s="149"/>
    </row>
    <row r="931">
      <c r="B931" s="149"/>
      <c r="C931" s="149"/>
      <c r="D931" s="157"/>
      <c r="E931" s="149"/>
    </row>
    <row r="932">
      <c r="B932" s="149"/>
      <c r="C932" s="149"/>
      <c r="D932" s="157"/>
      <c r="E932" s="149"/>
    </row>
    <row r="933">
      <c r="B933" s="149"/>
      <c r="C933" s="149"/>
      <c r="D933" s="157"/>
      <c r="E933" s="149"/>
    </row>
    <row r="934">
      <c r="B934" s="149"/>
      <c r="C934" s="149"/>
      <c r="D934" s="157"/>
      <c r="E934" s="149"/>
    </row>
    <row r="935">
      <c r="B935" s="149"/>
      <c r="C935" s="149"/>
      <c r="D935" s="157"/>
      <c r="E935" s="149"/>
    </row>
    <row r="936">
      <c r="B936" s="149"/>
      <c r="C936" s="149"/>
      <c r="D936" s="157"/>
      <c r="E936" s="149"/>
    </row>
    <row r="937">
      <c r="B937" s="149"/>
      <c r="C937" s="149"/>
      <c r="D937" s="157"/>
      <c r="E937" s="149"/>
    </row>
    <row r="938">
      <c r="B938" s="149"/>
      <c r="C938" s="149"/>
      <c r="D938" s="157"/>
      <c r="E938" s="149"/>
    </row>
    <row r="939">
      <c r="B939" s="149"/>
      <c r="C939" s="149"/>
      <c r="D939" s="157"/>
      <c r="E939" s="149"/>
    </row>
    <row r="940">
      <c r="B940" s="149"/>
      <c r="C940" s="149"/>
      <c r="D940" s="157"/>
      <c r="E940" s="149"/>
    </row>
    <row r="941">
      <c r="B941" s="149"/>
      <c r="C941" s="149"/>
      <c r="D941" s="157"/>
      <c r="E941" s="149"/>
    </row>
    <row r="942">
      <c r="B942" s="149"/>
      <c r="C942" s="149"/>
      <c r="D942" s="157"/>
      <c r="E942" s="149"/>
    </row>
    <row r="943">
      <c r="B943" s="149"/>
      <c r="C943" s="149"/>
      <c r="D943" s="157"/>
      <c r="E943" s="149"/>
    </row>
    <row r="944">
      <c r="B944" s="149"/>
      <c r="C944" s="149"/>
      <c r="D944" s="157"/>
      <c r="E944" s="149"/>
    </row>
    <row r="945">
      <c r="B945" s="149"/>
      <c r="C945" s="149"/>
      <c r="D945" s="157"/>
      <c r="E945" s="149"/>
    </row>
    <row r="946">
      <c r="B946" s="149"/>
      <c r="C946" s="149"/>
      <c r="D946" s="157"/>
      <c r="E946" s="149"/>
    </row>
    <row r="947">
      <c r="B947" s="149"/>
      <c r="C947" s="149"/>
      <c r="D947" s="157"/>
      <c r="E947" s="149"/>
    </row>
    <row r="948">
      <c r="B948" s="149"/>
      <c r="C948" s="149"/>
      <c r="D948" s="157"/>
      <c r="E948" s="149"/>
    </row>
    <row r="949">
      <c r="B949" s="149"/>
      <c r="C949" s="149"/>
      <c r="D949" s="157"/>
      <c r="E949" s="149"/>
    </row>
    <row r="950">
      <c r="B950" s="149"/>
      <c r="C950" s="149"/>
      <c r="D950" s="157"/>
      <c r="E950" s="149"/>
    </row>
    <row r="951">
      <c r="B951" s="149"/>
      <c r="C951" s="149"/>
      <c r="D951" s="157"/>
      <c r="E951" s="149"/>
    </row>
    <row r="952">
      <c r="B952" s="149"/>
      <c r="C952" s="149"/>
      <c r="D952" s="157"/>
      <c r="E952" s="149"/>
    </row>
    <row r="953">
      <c r="B953" s="149"/>
      <c r="C953" s="149"/>
      <c r="D953" s="157"/>
      <c r="E953" s="149"/>
    </row>
    <row r="954">
      <c r="B954" s="149"/>
      <c r="C954" s="149"/>
      <c r="D954" s="157"/>
      <c r="E954" s="149"/>
    </row>
    <row r="955">
      <c r="B955" s="149"/>
      <c r="C955" s="149"/>
      <c r="D955" s="157"/>
      <c r="E955" s="149"/>
    </row>
    <row r="956">
      <c r="B956" s="149"/>
      <c r="C956" s="149"/>
      <c r="D956" s="157"/>
      <c r="E956" s="149"/>
    </row>
    <row r="957">
      <c r="B957" s="149"/>
      <c r="C957" s="149"/>
      <c r="D957" s="157"/>
      <c r="E957" s="149"/>
    </row>
    <row r="958">
      <c r="B958" s="149"/>
      <c r="C958" s="149"/>
      <c r="D958" s="157"/>
      <c r="E958" s="149"/>
    </row>
    <row r="959">
      <c r="B959" s="149"/>
      <c r="C959" s="149"/>
      <c r="D959" s="157"/>
      <c r="E959" s="149"/>
    </row>
    <row r="960">
      <c r="B960" s="149"/>
      <c r="C960" s="149"/>
      <c r="D960" s="157"/>
      <c r="E960" s="149"/>
    </row>
    <row r="961">
      <c r="B961" s="149"/>
      <c r="C961" s="149"/>
      <c r="D961" s="157"/>
      <c r="E961" s="149"/>
    </row>
    <row r="962">
      <c r="B962" s="149"/>
      <c r="C962" s="149"/>
      <c r="D962" s="157"/>
      <c r="E962" s="149"/>
    </row>
    <row r="963">
      <c r="B963" s="149"/>
      <c r="C963" s="149"/>
      <c r="D963" s="157"/>
      <c r="E963" s="149"/>
    </row>
    <row r="964">
      <c r="B964" s="149"/>
      <c r="C964" s="149"/>
      <c r="D964" s="157"/>
      <c r="E964" s="149"/>
    </row>
    <row r="965">
      <c r="B965" s="149"/>
      <c r="C965" s="149"/>
      <c r="D965" s="157"/>
      <c r="E965" s="149"/>
    </row>
    <row r="966">
      <c r="B966" s="149"/>
      <c r="C966" s="149"/>
      <c r="D966" s="157"/>
      <c r="E966" s="149"/>
    </row>
    <row r="967">
      <c r="B967" s="149"/>
      <c r="C967" s="149"/>
      <c r="D967" s="157"/>
      <c r="E967" s="149"/>
    </row>
    <row r="968">
      <c r="B968" s="149"/>
      <c r="C968" s="149"/>
      <c r="D968" s="157"/>
      <c r="E968" s="149"/>
    </row>
    <row r="969">
      <c r="B969" s="149"/>
      <c r="C969" s="149"/>
      <c r="D969" s="157"/>
      <c r="E969" s="149"/>
    </row>
    <row r="970">
      <c r="B970" s="149"/>
      <c r="C970" s="149"/>
      <c r="D970" s="157"/>
      <c r="E970" s="149"/>
    </row>
    <row r="971">
      <c r="B971" s="149"/>
      <c r="C971" s="149"/>
      <c r="D971" s="157"/>
      <c r="E971" s="149"/>
    </row>
    <row r="972">
      <c r="B972" s="149"/>
      <c r="C972" s="149"/>
      <c r="D972" s="157"/>
      <c r="E972" s="149"/>
    </row>
    <row r="973">
      <c r="B973" s="149"/>
      <c r="C973" s="149"/>
      <c r="D973" s="157"/>
      <c r="E973" s="149"/>
    </row>
    <row r="974">
      <c r="B974" s="149"/>
      <c r="C974" s="149"/>
      <c r="D974" s="157"/>
      <c r="E974" s="149"/>
    </row>
    <row r="975">
      <c r="B975" s="149"/>
      <c r="C975" s="149"/>
      <c r="D975" s="157"/>
      <c r="E975" s="149"/>
    </row>
    <row r="976">
      <c r="B976" s="149"/>
      <c r="C976" s="149"/>
      <c r="D976" s="157"/>
      <c r="E976" s="149"/>
    </row>
    <row r="977">
      <c r="B977" s="149"/>
      <c r="C977" s="149"/>
      <c r="D977" s="157"/>
      <c r="E977" s="149"/>
    </row>
    <row r="978">
      <c r="B978" s="149"/>
      <c r="C978" s="149"/>
      <c r="D978" s="157"/>
      <c r="E978" s="149"/>
    </row>
    <row r="979">
      <c r="B979" s="149"/>
      <c r="C979" s="149"/>
      <c r="D979" s="157"/>
      <c r="E979" s="149"/>
    </row>
    <row r="980">
      <c r="B980" s="149"/>
      <c r="C980" s="149"/>
      <c r="D980" s="157"/>
      <c r="E980" s="149"/>
    </row>
    <row r="981">
      <c r="B981" s="149"/>
      <c r="C981" s="149"/>
      <c r="D981" s="157"/>
      <c r="E981" s="149"/>
    </row>
    <row r="982">
      <c r="B982" s="149"/>
      <c r="C982" s="149"/>
      <c r="D982" s="157"/>
      <c r="E982" s="149"/>
    </row>
    <row r="983">
      <c r="B983" s="149"/>
      <c r="C983" s="149"/>
      <c r="D983" s="157"/>
      <c r="E983" s="149"/>
    </row>
    <row r="984">
      <c r="B984" s="149"/>
      <c r="C984" s="149"/>
      <c r="D984" s="157"/>
      <c r="E984" s="149"/>
    </row>
    <row r="985">
      <c r="B985" s="149"/>
      <c r="C985" s="149"/>
      <c r="D985" s="157"/>
      <c r="E985" s="149"/>
    </row>
    <row r="986">
      <c r="B986" s="149"/>
      <c r="C986" s="149"/>
      <c r="D986" s="157"/>
      <c r="E986" s="149"/>
    </row>
    <row r="987">
      <c r="B987" s="149"/>
      <c r="C987" s="149"/>
      <c r="D987" s="157"/>
      <c r="E987" s="149"/>
    </row>
    <row r="988">
      <c r="B988" s="149"/>
      <c r="C988" s="149"/>
      <c r="D988" s="157"/>
      <c r="E988" s="149"/>
    </row>
    <row r="989">
      <c r="B989" s="149"/>
      <c r="C989" s="149"/>
      <c r="D989" s="157"/>
      <c r="E989" s="149"/>
    </row>
    <row r="990">
      <c r="B990" s="149"/>
      <c r="C990" s="149"/>
      <c r="D990" s="157"/>
      <c r="E990" s="149"/>
    </row>
    <row r="991">
      <c r="B991" s="149"/>
      <c r="C991" s="149"/>
      <c r="D991" s="157"/>
      <c r="E991" s="149"/>
    </row>
    <row r="992">
      <c r="B992" s="149"/>
      <c r="C992" s="149"/>
      <c r="D992" s="157"/>
      <c r="E992" s="149"/>
    </row>
    <row r="993">
      <c r="B993" s="149"/>
      <c r="C993" s="149"/>
      <c r="D993" s="157"/>
      <c r="E993" s="149"/>
    </row>
    <row r="994">
      <c r="B994" s="149"/>
      <c r="C994" s="149"/>
      <c r="D994" s="157"/>
      <c r="E994" s="149"/>
    </row>
    <row r="995">
      <c r="B995" s="149"/>
      <c r="C995" s="149"/>
      <c r="D995" s="157"/>
      <c r="E995" s="149"/>
    </row>
    <row r="996">
      <c r="B996" s="149"/>
      <c r="C996" s="149"/>
      <c r="D996" s="157"/>
      <c r="E996" s="149"/>
    </row>
    <row r="997">
      <c r="B997" s="149"/>
      <c r="C997" s="149"/>
      <c r="D997" s="157"/>
      <c r="E997" s="149"/>
    </row>
    <row r="998">
      <c r="B998" s="149"/>
      <c r="C998" s="149"/>
      <c r="D998" s="157"/>
      <c r="E998" s="149"/>
    </row>
    <row r="999">
      <c r="B999" s="149"/>
      <c r="C999" s="149"/>
      <c r="D999" s="157"/>
      <c r="E999" s="149"/>
    </row>
    <row r="1000">
      <c r="B1000" s="149"/>
      <c r="C1000" s="149"/>
      <c r="D1000" s="157"/>
      <c r="E1000" s="1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0"/>
    <col customWidth="1" min="8" max="8" width="4.89"/>
  </cols>
  <sheetData>
    <row r="1">
      <c r="B1" s="158">
        <v>45721.0</v>
      </c>
      <c r="C1" s="159">
        <f>TODAY()</f>
        <v>46134</v>
      </c>
      <c r="D1" s="3">
        <f>'Datos PUNTUALES'!C2</f>
        <v>296</v>
      </c>
      <c r="E1" s="3">
        <f>'Datos PUNTUALES'!D2</f>
        <v>59.2</v>
      </c>
    </row>
    <row r="2">
      <c r="B2" s="5" t="s">
        <v>239</v>
      </c>
      <c r="C2" s="5" t="s">
        <v>240</v>
      </c>
      <c r="D2" s="5" t="s">
        <v>241</v>
      </c>
      <c r="E2" s="5" t="s">
        <v>242</v>
      </c>
    </row>
    <row r="4">
      <c r="E4" s="5" t="s">
        <v>243</v>
      </c>
    </row>
    <row r="5">
      <c r="A5" s="160" t="s">
        <v>105</v>
      </c>
      <c r="B5" s="3">
        <v>13.0</v>
      </c>
      <c r="D5" s="141"/>
      <c r="E5" s="3">
        <f t="shared" ref="E5:E59" si="1">$E$1*B5</f>
        <v>769.6</v>
      </c>
      <c r="J5" s="3" t="s">
        <v>105</v>
      </c>
      <c r="L5" s="3">
        <v>13.0</v>
      </c>
    </row>
    <row r="6">
      <c r="A6" s="160" t="s">
        <v>141</v>
      </c>
      <c r="B6" s="3">
        <v>19.0</v>
      </c>
      <c r="E6" s="3">
        <f t="shared" si="1"/>
        <v>1124.8</v>
      </c>
      <c r="J6" s="3" t="s">
        <v>141</v>
      </c>
      <c r="L6" s="3">
        <v>19.0</v>
      </c>
    </row>
    <row r="7">
      <c r="A7" s="160" t="s">
        <v>131</v>
      </c>
      <c r="B7" s="3">
        <v>9.0</v>
      </c>
      <c r="E7" s="3">
        <f t="shared" si="1"/>
        <v>532.8</v>
      </c>
      <c r="J7" s="3" t="s">
        <v>244</v>
      </c>
      <c r="K7" s="3" t="s">
        <v>45</v>
      </c>
      <c r="L7" s="3">
        <v>9.0</v>
      </c>
    </row>
    <row r="8">
      <c r="A8" s="160" t="s">
        <v>99</v>
      </c>
      <c r="B8" s="5">
        <v>45.0</v>
      </c>
      <c r="E8" s="3">
        <f t="shared" si="1"/>
        <v>2664</v>
      </c>
      <c r="J8" s="3" t="e">
        <v>#VALUE!</v>
      </c>
    </row>
    <row r="9">
      <c r="A9" s="160" t="s">
        <v>67</v>
      </c>
      <c r="B9" s="3">
        <v>45.0</v>
      </c>
      <c r="E9" s="3">
        <f t="shared" si="1"/>
        <v>2664</v>
      </c>
      <c r="J9" s="3" t="s">
        <v>67</v>
      </c>
      <c r="L9" s="3">
        <v>45.0</v>
      </c>
    </row>
    <row r="10">
      <c r="A10" s="160" t="s">
        <v>86</v>
      </c>
      <c r="B10" s="3">
        <v>4.0</v>
      </c>
      <c r="E10" s="3">
        <f t="shared" si="1"/>
        <v>236.8</v>
      </c>
      <c r="J10" s="3" t="s">
        <v>245</v>
      </c>
      <c r="K10" s="3" t="s">
        <v>246</v>
      </c>
      <c r="L10" s="3">
        <v>4.0</v>
      </c>
    </row>
    <row r="11">
      <c r="A11" s="160" t="s">
        <v>81</v>
      </c>
      <c r="B11" s="3">
        <v>10.5</v>
      </c>
      <c r="E11" s="3">
        <f t="shared" si="1"/>
        <v>621.6</v>
      </c>
      <c r="J11" s="3" t="s">
        <v>247</v>
      </c>
      <c r="K11" s="3" t="s">
        <v>248</v>
      </c>
      <c r="L11" s="3">
        <v>10.5</v>
      </c>
    </row>
    <row r="12">
      <c r="A12" s="160" t="s">
        <v>134</v>
      </c>
      <c r="B12" s="3">
        <v>8.25</v>
      </c>
      <c r="E12" s="3">
        <f t="shared" si="1"/>
        <v>488.4</v>
      </c>
      <c r="J12" s="3" t="s">
        <v>249</v>
      </c>
      <c r="K12" s="3" t="s">
        <v>250</v>
      </c>
      <c r="L12" s="3">
        <v>8.25</v>
      </c>
    </row>
    <row r="13">
      <c r="A13" s="160" t="s">
        <v>111</v>
      </c>
      <c r="B13" s="3">
        <v>10.5</v>
      </c>
      <c r="E13" s="3">
        <f t="shared" si="1"/>
        <v>621.6</v>
      </c>
      <c r="J13" s="3" t="s">
        <v>251</v>
      </c>
      <c r="L13" s="3">
        <v>10.5</v>
      </c>
    </row>
    <row r="14">
      <c r="A14" s="160" t="s">
        <v>112</v>
      </c>
      <c r="B14" s="3">
        <v>16.25</v>
      </c>
      <c r="E14" s="3">
        <f t="shared" si="1"/>
        <v>962</v>
      </c>
      <c r="J14" s="3" t="s">
        <v>252</v>
      </c>
      <c r="K14" s="3" t="s">
        <v>253</v>
      </c>
      <c r="L14" s="3">
        <v>16.25</v>
      </c>
    </row>
    <row r="15">
      <c r="A15" s="160" t="s">
        <v>129</v>
      </c>
      <c r="B15" s="3">
        <v>17.0</v>
      </c>
      <c r="E15" s="3">
        <f t="shared" si="1"/>
        <v>1006.4</v>
      </c>
      <c r="J15" s="3" t="s">
        <v>254</v>
      </c>
      <c r="L15" s="3">
        <v>17.0</v>
      </c>
    </row>
    <row r="16">
      <c r="A16" s="160" t="s">
        <v>98</v>
      </c>
      <c r="B16" s="3">
        <v>19.0</v>
      </c>
      <c r="E16" s="3">
        <f t="shared" si="1"/>
        <v>1124.8</v>
      </c>
      <c r="J16" s="3" t="s">
        <v>255</v>
      </c>
      <c r="K16" s="3" t="s">
        <v>256</v>
      </c>
      <c r="L16" s="3">
        <v>19.0</v>
      </c>
    </row>
    <row r="17">
      <c r="A17" s="3" t="s">
        <v>257</v>
      </c>
      <c r="B17" s="3">
        <v>18.0</v>
      </c>
      <c r="E17" s="3">
        <f t="shared" si="1"/>
        <v>1065.6</v>
      </c>
      <c r="J17" s="3" t="s">
        <v>258</v>
      </c>
      <c r="K17" s="3" t="s">
        <v>259</v>
      </c>
      <c r="L17" s="3">
        <v>18.0</v>
      </c>
    </row>
    <row r="18">
      <c r="A18" s="160" t="s">
        <v>114</v>
      </c>
      <c r="B18" s="3">
        <v>6.5</v>
      </c>
      <c r="E18" s="3">
        <f t="shared" si="1"/>
        <v>384.8</v>
      </c>
      <c r="J18" s="3" t="s">
        <v>260</v>
      </c>
      <c r="K18" s="3" t="s">
        <v>261</v>
      </c>
      <c r="L18" s="3">
        <v>6.5</v>
      </c>
    </row>
    <row r="19">
      <c r="A19" s="160" t="s">
        <v>142</v>
      </c>
      <c r="B19" s="3">
        <v>16.0</v>
      </c>
      <c r="E19" s="3">
        <f t="shared" si="1"/>
        <v>947.2</v>
      </c>
      <c r="J19" s="3" t="s">
        <v>262</v>
      </c>
      <c r="K19" s="3" t="s">
        <v>263</v>
      </c>
      <c r="L19" s="3">
        <v>16.0</v>
      </c>
    </row>
    <row r="20">
      <c r="A20" s="160" t="s">
        <v>83</v>
      </c>
      <c r="B20" s="3">
        <v>6.0</v>
      </c>
      <c r="E20" s="3">
        <f t="shared" si="1"/>
        <v>355.2</v>
      </c>
      <c r="J20" s="3" t="s">
        <v>264</v>
      </c>
      <c r="K20" s="3" t="s">
        <v>265</v>
      </c>
      <c r="L20" s="3">
        <v>6.0</v>
      </c>
    </row>
    <row r="21">
      <c r="A21" s="160" t="s">
        <v>84</v>
      </c>
      <c r="B21" s="3">
        <v>45.0</v>
      </c>
      <c r="E21" s="3">
        <f t="shared" si="1"/>
        <v>2664</v>
      </c>
      <c r="J21" s="3" t="s">
        <v>266</v>
      </c>
      <c r="L21" s="3">
        <v>45.0</v>
      </c>
    </row>
    <row r="22">
      <c r="A22" s="160" t="s">
        <v>267</v>
      </c>
      <c r="B22" s="3">
        <v>8.0</v>
      </c>
      <c r="E22" s="3">
        <f t="shared" si="1"/>
        <v>473.6</v>
      </c>
      <c r="J22" s="3" t="s">
        <v>268</v>
      </c>
      <c r="K22" s="3" t="s">
        <v>269</v>
      </c>
      <c r="L22" s="3">
        <v>8.0</v>
      </c>
    </row>
    <row r="23">
      <c r="A23" s="160" t="s">
        <v>59</v>
      </c>
      <c r="B23" s="3">
        <v>13.0</v>
      </c>
      <c r="E23" s="3">
        <f t="shared" si="1"/>
        <v>769.6</v>
      </c>
      <c r="J23" s="3" t="s">
        <v>270</v>
      </c>
      <c r="K23" s="3" t="s">
        <v>271</v>
      </c>
      <c r="L23" s="3">
        <v>13.0</v>
      </c>
    </row>
    <row r="24">
      <c r="A24" s="160" t="s">
        <v>71</v>
      </c>
      <c r="B24" s="3">
        <v>7.0</v>
      </c>
      <c r="E24" s="3">
        <f t="shared" si="1"/>
        <v>414.4</v>
      </c>
      <c r="J24" s="3" t="s">
        <v>272</v>
      </c>
      <c r="L24" s="3">
        <v>7.0</v>
      </c>
    </row>
    <row r="25">
      <c r="A25" s="160" t="s">
        <v>87</v>
      </c>
      <c r="B25" s="3">
        <v>7.0</v>
      </c>
      <c r="E25" s="3">
        <f t="shared" si="1"/>
        <v>414.4</v>
      </c>
      <c r="J25" s="3" t="s">
        <v>273</v>
      </c>
      <c r="K25" s="3" t="s">
        <v>274</v>
      </c>
      <c r="L25" s="3">
        <v>7.0</v>
      </c>
    </row>
    <row r="26">
      <c r="A26" s="160" t="s">
        <v>275</v>
      </c>
      <c r="B26" s="3">
        <v>8.379999999999999</v>
      </c>
      <c r="E26" s="3">
        <f t="shared" si="1"/>
        <v>496.096</v>
      </c>
      <c r="J26" s="3" t="s">
        <v>276</v>
      </c>
      <c r="L26" s="3">
        <v>8.379999999999999</v>
      </c>
    </row>
    <row r="27">
      <c r="A27" s="160" t="s">
        <v>201</v>
      </c>
      <c r="B27" s="3">
        <v>8.0</v>
      </c>
      <c r="E27" s="3">
        <f t="shared" si="1"/>
        <v>473.6</v>
      </c>
      <c r="J27" s="3" t="s">
        <v>277</v>
      </c>
      <c r="L27" s="3">
        <v>8.0</v>
      </c>
    </row>
    <row r="28">
      <c r="A28" s="160" t="s">
        <v>73</v>
      </c>
      <c r="B28" s="3">
        <v>45.0</v>
      </c>
      <c r="E28" s="3">
        <f t="shared" si="1"/>
        <v>2664</v>
      </c>
      <c r="J28" s="3" t="s">
        <v>73</v>
      </c>
      <c r="L28" s="3">
        <v>45.0</v>
      </c>
    </row>
    <row r="29">
      <c r="A29" s="160" t="s">
        <v>164</v>
      </c>
      <c r="B29" s="3">
        <v>7.0</v>
      </c>
      <c r="E29" s="3">
        <f t="shared" si="1"/>
        <v>414.4</v>
      </c>
      <c r="J29" s="3" t="s">
        <v>164</v>
      </c>
      <c r="L29" s="3">
        <v>7.0</v>
      </c>
    </row>
    <row r="30">
      <c r="A30" s="3" t="s">
        <v>278</v>
      </c>
      <c r="B30" s="3">
        <v>23.0</v>
      </c>
      <c r="E30" s="3">
        <f t="shared" si="1"/>
        <v>1361.6</v>
      </c>
      <c r="J30" s="3" t="s">
        <v>278</v>
      </c>
      <c r="L30" s="3">
        <v>23.0</v>
      </c>
    </row>
    <row r="31">
      <c r="A31" s="160" t="s">
        <v>279</v>
      </c>
      <c r="B31" s="3">
        <v>4.38</v>
      </c>
      <c r="E31" s="3">
        <f t="shared" si="1"/>
        <v>259.296</v>
      </c>
      <c r="J31" s="3" t="s">
        <v>280</v>
      </c>
      <c r="K31" s="3" t="s">
        <v>281</v>
      </c>
      <c r="L31" s="3">
        <v>4.38</v>
      </c>
    </row>
    <row r="32">
      <c r="A32" s="3" t="s">
        <v>282</v>
      </c>
      <c r="B32" s="3">
        <v>45.0</v>
      </c>
      <c r="E32" s="3">
        <f t="shared" si="1"/>
        <v>2664</v>
      </c>
      <c r="J32" s="3" t="s">
        <v>283</v>
      </c>
      <c r="K32" s="3" t="s">
        <v>284</v>
      </c>
      <c r="L32" s="3">
        <v>45.0</v>
      </c>
    </row>
    <row r="33">
      <c r="A33" s="160" t="s">
        <v>57</v>
      </c>
      <c r="B33" s="3">
        <v>4.5</v>
      </c>
      <c r="E33" s="3">
        <f t="shared" si="1"/>
        <v>266.4</v>
      </c>
      <c r="J33" s="3" t="s">
        <v>285</v>
      </c>
      <c r="K33" s="3" t="s">
        <v>286</v>
      </c>
      <c r="L33" s="3">
        <v>4.5</v>
      </c>
    </row>
    <row r="34">
      <c r="A34" s="160" t="s">
        <v>102</v>
      </c>
      <c r="B34" s="3">
        <v>18.0</v>
      </c>
      <c r="E34" s="3">
        <f t="shared" si="1"/>
        <v>1065.6</v>
      </c>
      <c r="J34" s="3" t="s">
        <v>102</v>
      </c>
      <c r="L34" s="3">
        <v>18.0</v>
      </c>
    </row>
    <row r="35">
      <c r="A35" s="160" t="s">
        <v>110</v>
      </c>
      <c r="B35" s="5">
        <v>20.0</v>
      </c>
      <c r="E35" s="3">
        <f t="shared" si="1"/>
        <v>1184</v>
      </c>
      <c r="J35" s="3" t="s">
        <v>287</v>
      </c>
      <c r="L35" s="3">
        <v>0.0</v>
      </c>
    </row>
    <row r="36">
      <c r="A36" s="160" t="s">
        <v>113</v>
      </c>
      <c r="B36" s="3">
        <v>27.0</v>
      </c>
      <c r="E36" s="3">
        <f t="shared" si="1"/>
        <v>1598.4</v>
      </c>
      <c r="J36" s="3" t="s">
        <v>288</v>
      </c>
      <c r="L36" s="3">
        <v>27.0</v>
      </c>
    </row>
    <row r="37">
      <c r="A37" s="160" t="s">
        <v>89</v>
      </c>
      <c r="B37" s="3">
        <v>19.0</v>
      </c>
      <c r="E37" s="3">
        <f t="shared" si="1"/>
        <v>1124.8</v>
      </c>
      <c r="J37" s="3" t="s">
        <v>289</v>
      </c>
      <c r="L37" s="3">
        <v>19.0</v>
      </c>
    </row>
    <row r="38">
      <c r="A38" s="3" t="s">
        <v>290</v>
      </c>
      <c r="B38" s="3">
        <v>15.0</v>
      </c>
      <c r="E38" s="3">
        <f t="shared" si="1"/>
        <v>888</v>
      </c>
      <c r="J38" s="3" t="s">
        <v>290</v>
      </c>
      <c r="L38" s="3">
        <v>15.0</v>
      </c>
    </row>
    <row r="39">
      <c r="A39" s="3" t="s">
        <v>291</v>
      </c>
      <c r="B39" s="3">
        <v>36.0</v>
      </c>
      <c r="E39" s="3">
        <f t="shared" si="1"/>
        <v>2131.2</v>
      </c>
      <c r="J39" s="3" t="s">
        <v>292</v>
      </c>
      <c r="K39" s="3" t="s">
        <v>293</v>
      </c>
      <c r="L39" s="3">
        <v>36.0</v>
      </c>
    </row>
    <row r="40">
      <c r="A40" s="160" t="s">
        <v>294</v>
      </c>
      <c r="B40" s="3">
        <v>8.379999999999999</v>
      </c>
      <c r="E40" s="3">
        <f t="shared" si="1"/>
        <v>496.096</v>
      </c>
      <c r="J40" s="3" t="s">
        <v>295</v>
      </c>
      <c r="L40" s="3">
        <v>8.379999999999999</v>
      </c>
    </row>
    <row r="41">
      <c r="A41" s="160" t="s">
        <v>107</v>
      </c>
      <c r="B41" s="3">
        <v>20.0</v>
      </c>
      <c r="E41" s="3">
        <f t="shared" si="1"/>
        <v>1184</v>
      </c>
      <c r="J41" s="3" t="s">
        <v>296</v>
      </c>
      <c r="L41" s="3">
        <v>20.0</v>
      </c>
    </row>
    <row r="42">
      <c r="A42" s="160" t="s">
        <v>297</v>
      </c>
      <c r="B42" s="3">
        <v>8.379999999999999</v>
      </c>
      <c r="E42" s="3">
        <f t="shared" si="1"/>
        <v>496.096</v>
      </c>
      <c r="J42" s="3" t="s">
        <v>298</v>
      </c>
      <c r="K42" s="3" t="s">
        <v>299</v>
      </c>
      <c r="L42" s="3">
        <v>8.379999999999999</v>
      </c>
    </row>
    <row r="43">
      <c r="A43" s="160" t="s">
        <v>117</v>
      </c>
      <c r="B43" s="3">
        <v>6.25</v>
      </c>
      <c r="E43" s="3">
        <f t="shared" si="1"/>
        <v>370</v>
      </c>
      <c r="J43" s="3" t="s">
        <v>117</v>
      </c>
      <c r="L43" s="3">
        <v>6.25</v>
      </c>
    </row>
    <row r="44">
      <c r="A44" s="160" t="s">
        <v>200</v>
      </c>
      <c r="B44" s="3">
        <v>7.0</v>
      </c>
      <c r="E44" s="3">
        <f t="shared" si="1"/>
        <v>414.4</v>
      </c>
      <c r="J44" s="3" t="s">
        <v>300</v>
      </c>
      <c r="K44" s="3" t="s">
        <v>301</v>
      </c>
      <c r="L44" s="3">
        <v>7.0</v>
      </c>
    </row>
    <row r="45">
      <c r="A45" s="160" t="s">
        <v>121</v>
      </c>
      <c r="B45" s="3">
        <v>9.0</v>
      </c>
      <c r="E45" s="3">
        <f t="shared" si="1"/>
        <v>532.8</v>
      </c>
      <c r="J45" s="3" t="s">
        <v>302</v>
      </c>
      <c r="L45" s="3">
        <v>9.0</v>
      </c>
    </row>
    <row r="46">
      <c r="A46" s="3" t="s">
        <v>303</v>
      </c>
      <c r="B46" s="3">
        <v>9.0</v>
      </c>
      <c r="E46" s="3">
        <f t="shared" si="1"/>
        <v>532.8</v>
      </c>
      <c r="J46" s="3" t="s">
        <v>304</v>
      </c>
      <c r="K46" s="3" t="s">
        <v>305</v>
      </c>
      <c r="L46" s="3">
        <v>9.0</v>
      </c>
    </row>
    <row r="47">
      <c r="A47" s="160" t="s">
        <v>306</v>
      </c>
      <c r="B47" s="3">
        <v>22.38</v>
      </c>
      <c r="E47" s="3">
        <f t="shared" si="1"/>
        <v>1324.896</v>
      </c>
      <c r="J47" s="3" t="s">
        <v>307</v>
      </c>
      <c r="L47" s="3">
        <v>22.38</v>
      </c>
    </row>
    <row r="48">
      <c r="A48" s="160" t="s">
        <v>126</v>
      </c>
      <c r="B48" s="3">
        <v>20.0</v>
      </c>
      <c r="E48" s="3">
        <f t="shared" si="1"/>
        <v>1184</v>
      </c>
      <c r="J48" s="3" t="s">
        <v>308</v>
      </c>
      <c r="L48" s="3">
        <v>20.0</v>
      </c>
    </row>
    <row r="49">
      <c r="A49" s="160" t="s">
        <v>103</v>
      </c>
      <c r="B49" s="3">
        <v>15.0</v>
      </c>
      <c r="E49" s="3">
        <f t="shared" si="1"/>
        <v>888</v>
      </c>
      <c r="J49" s="3" t="s">
        <v>309</v>
      </c>
      <c r="K49" s="3" t="s">
        <v>310</v>
      </c>
      <c r="L49" s="3">
        <v>15.0</v>
      </c>
    </row>
    <row r="50">
      <c r="A50" s="160" t="s">
        <v>79</v>
      </c>
      <c r="B50" s="3">
        <v>21.0</v>
      </c>
      <c r="E50" s="3">
        <f t="shared" si="1"/>
        <v>1243.2</v>
      </c>
      <c r="J50" s="3" t="s">
        <v>311</v>
      </c>
      <c r="L50" s="3">
        <v>21.0</v>
      </c>
    </row>
    <row r="51">
      <c r="A51" s="160" t="s">
        <v>109</v>
      </c>
      <c r="B51" s="3">
        <v>18.0</v>
      </c>
      <c r="E51" s="3">
        <f t="shared" si="1"/>
        <v>1065.6</v>
      </c>
      <c r="J51" s="3" t="s">
        <v>312</v>
      </c>
      <c r="L51" s="3">
        <v>18.0</v>
      </c>
    </row>
    <row r="52">
      <c r="A52" s="160" t="s">
        <v>101</v>
      </c>
      <c r="B52" s="3">
        <v>38.0</v>
      </c>
      <c r="E52" s="3">
        <f t="shared" si="1"/>
        <v>2249.6</v>
      </c>
      <c r="H52" s="161"/>
      <c r="J52" s="3" t="s">
        <v>313</v>
      </c>
      <c r="L52" s="3">
        <v>38.0</v>
      </c>
    </row>
    <row r="53">
      <c r="A53" s="3" t="s">
        <v>314</v>
      </c>
      <c r="B53" s="3">
        <v>53.0</v>
      </c>
      <c r="E53" s="3">
        <f t="shared" si="1"/>
        <v>3137.6</v>
      </c>
      <c r="H53" s="161"/>
      <c r="J53" s="3" t="s">
        <v>314</v>
      </c>
      <c r="L53" s="3">
        <v>53.0</v>
      </c>
    </row>
    <row r="54">
      <c r="A54" s="160" t="s">
        <v>70</v>
      </c>
      <c r="B54" s="3">
        <v>29.0</v>
      </c>
      <c r="E54" s="3">
        <f t="shared" si="1"/>
        <v>1716.8</v>
      </c>
      <c r="H54" s="161"/>
      <c r="J54" s="3" t="s">
        <v>70</v>
      </c>
      <c r="L54" s="3">
        <v>29.0</v>
      </c>
    </row>
    <row r="55">
      <c r="A55" s="160" t="s">
        <v>63</v>
      </c>
      <c r="B55" s="3">
        <v>22.0</v>
      </c>
      <c r="E55" s="3">
        <f t="shared" si="1"/>
        <v>1302.4</v>
      </c>
      <c r="J55" s="3" t="s">
        <v>315</v>
      </c>
      <c r="K55" s="3" t="s">
        <v>316</v>
      </c>
      <c r="L55" s="3">
        <v>22.0</v>
      </c>
    </row>
    <row r="56">
      <c r="A56" s="3" t="s">
        <v>166</v>
      </c>
      <c r="B56" s="3">
        <v>45.0</v>
      </c>
      <c r="E56" s="3">
        <f t="shared" si="1"/>
        <v>2664</v>
      </c>
      <c r="J56" s="3" t="s">
        <v>317</v>
      </c>
      <c r="K56" s="3" t="s">
        <v>318</v>
      </c>
      <c r="L56" s="3">
        <v>45.0</v>
      </c>
    </row>
    <row r="57">
      <c r="A57" s="3" t="s">
        <v>319</v>
      </c>
      <c r="B57" s="3">
        <v>8.38</v>
      </c>
      <c r="E57" s="3">
        <f t="shared" si="1"/>
        <v>496.096</v>
      </c>
      <c r="J57" s="3" t="s">
        <v>320</v>
      </c>
      <c r="K57" s="3" t="s">
        <v>321</v>
      </c>
      <c r="L57" s="3">
        <v>8.38</v>
      </c>
    </row>
    <row r="58">
      <c r="A58" s="3" t="s">
        <v>322</v>
      </c>
      <c r="B58" s="3">
        <v>8.0</v>
      </c>
      <c r="E58" s="3">
        <f t="shared" si="1"/>
        <v>473.6</v>
      </c>
      <c r="J58" s="3" t="s">
        <v>323</v>
      </c>
      <c r="K58" s="3" t="s">
        <v>324</v>
      </c>
      <c r="L58" s="3">
        <v>8.0</v>
      </c>
    </row>
    <row r="59">
      <c r="A59" s="160" t="s">
        <v>66</v>
      </c>
      <c r="B59" s="3">
        <v>29.0</v>
      </c>
      <c r="E59" s="3">
        <f t="shared" si="1"/>
        <v>1716.8</v>
      </c>
      <c r="J59" s="3" t="s">
        <v>325</v>
      </c>
      <c r="K59" s="3" t="s">
        <v>326</v>
      </c>
      <c r="L59" s="3">
        <v>29.0</v>
      </c>
    </row>
  </sheetData>
  <dataValidations>
    <dataValidation type="list" allowBlank="1" sqref="A5:A14 A16 A18:A22 A24:A29 A31 A33:A37 A40:A45 A47:A52 A54:A55 A59">
      <formula1>"Opción 1,Opción 2"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A1" s="3" t="e">
        <v>#REF!</v>
      </c>
      <c r="E1" s="3" t="e">
        <v>#REF!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1.0"/>
    <col customWidth="1" min="8" max="8" width="20.78"/>
    <col customWidth="1" min="16" max="16" width="7.22"/>
  </cols>
  <sheetData>
    <row r="1">
      <c r="A1" s="162" t="e">
        <v>#REF!</v>
      </c>
      <c r="B1" s="162"/>
      <c r="C1" s="163" t="s">
        <v>327</v>
      </c>
      <c r="D1" s="162"/>
      <c r="E1" s="162"/>
      <c r="F1" s="162"/>
      <c r="G1" s="162"/>
      <c r="H1" s="162" t="e">
        <v>#REF!</v>
      </c>
      <c r="I1" s="162"/>
      <c r="J1" s="164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>
      <c r="A2" s="162"/>
      <c r="B2" s="162"/>
      <c r="C2" s="164"/>
      <c r="D2" s="162"/>
      <c r="E2" s="162"/>
      <c r="F2" s="162"/>
      <c r="G2" s="162"/>
      <c r="H2" s="162"/>
      <c r="I2" s="162"/>
      <c r="J2" s="164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62"/>
      <c r="B3" s="162"/>
      <c r="C3" s="164"/>
      <c r="D3" s="162"/>
      <c r="E3" s="162"/>
      <c r="F3" s="162"/>
      <c r="G3" s="162"/>
      <c r="H3" s="162"/>
      <c r="I3" s="162"/>
      <c r="J3" s="164" t="str">
        <f t="shared" ref="J3:J8" si="1">I3/$I$9</f>
        <v>#DIV/0!</v>
      </c>
      <c r="K3" s="162"/>
      <c r="L3" s="162"/>
      <c r="M3" s="162"/>
      <c r="N3" s="165">
        <f>40*13</f>
        <v>520</v>
      </c>
      <c r="O3" s="162"/>
      <c r="P3" s="166">
        <f>I10-N3</f>
        <v>-520</v>
      </c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62"/>
      <c r="B4" s="162"/>
      <c r="C4" s="164"/>
      <c r="D4" s="162"/>
      <c r="E4" s="162"/>
      <c r="F4" s="162"/>
      <c r="G4" s="162"/>
      <c r="H4" s="162"/>
      <c r="I4" s="162"/>
      <c r="J4" s="164" t="str">
        <f t="shared" si="1"/>
        <v>#DIV/0!</v>
      </c>
      <c r="K4" s="162"/>
      <c r="L4" s="162"/>
      <c r="M4" s="162"/>
      <c r="N4" s="162"/>
      <c r="O4" s="162"/>
      <c r="P4" s="167" t="s">
        <v>328</v>
      </c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62"/>
      <c r="B5" s="162"/>
      <c r="C5" s="164"/>
      <c r="D5" s="162"/>
      <c r="E5" s="162"/>
      <c r="F5" s="162"/>
      <c r="G5" s="162"/>
      <c r="H5" s="162"/>
      <c r="I5" s="162"/>
      <c r="J5" s="164" t="str">
        <f t="shared" si="1"/>
        <v>#DIV/0!</v>
      </c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62"/>
      <c r="B6" s="162"/>
      <c r="C6" s="164"/>
      <c r="D6" s="162"/>
      <c r="E6" s="162"/>
      <c r="F6" s="162"/>
      <c r="G6" s="162"/>
      <c r="H6" s="162"/>
      <c r="I6" s="162"/>
      <c r="J6" s="164" t="str">
        <f t="shared" si="1"/>
        <v>#DIV/0!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62"/>
      <c r="B7" s="162"/>
      <c r="C7" s="164"/>
      <c r="D7" s="162"/>
      <c r="E7" s="162"/>
      <c r="F7" s="162"/>
      <c r="G7" s="162"/>
      <c r="H7" s="162"/>
      <c r="I7" s="162"/>
      <c r="J7" s="164" t="str">
        <f t="shared" si="1"/>
        <v>#DIV/0!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62"/>
      <c r="B8" s="162"/>
      <c r="C8" s="164"/>
      <c r="D8" s="162"/>
      <c r="E8" s="162"/>
      <c r="F8" s="162"/>
      <c r="G8" s="162"/>
      <c r="H8" s="162"/>
      <c r="I8" s="162"/>
      <c r="J8" s="164" t="str">
        <f t="shared" si="1"/>
        <v>#DIV/0!</v>
      </c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62"/>
      <c r="B9" s="162"/>
      <c r="C9" s="164"/>
      <c r="D9" s="162"/>
      <c r="E9" s="162"/>
      <c r="F9" s="162"/>
      <c r="G9" s="162"/>
      <c r="H9" s="162"/>
      <c r="I9" s="162"/>
      <c r="J9" s="164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62"/>
      <c r="B10" s="162"/>
      <c r="C10" s="164"/>
      <c r="D10" s="162"/>
      <c r="E10" s="162"/>
      <c r="F10" s="162"/>
      <c r="G10" s="162"/>
      <c r="H10" s="162"/>
      <c r="I10" s="162"/>
      <c r="J10" s="164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62"/>
      <c r="B11" s="162"/>
      <c r="C11" s="164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62"/>
      <c r="B12" s="162"/>
      <c r="C12" s="164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62"/>
      <c r="B13" s="162"/>
      <c r="C13" s="164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62"/>
      <c r="B14" s="162"/>
      <c r="C14" s="164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62"/>
      <c r="B15" s="162"/>
      <c r="C15" s="164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62"/>
      <c r="B16" s="162"/>
      <c r="C16" s="164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62"/>
      <c r="B17" s="162"/>
      <c r="C17" s="164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62"/>
      <c r="B18" s="162"/>
      <c r="C18" s="164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62"/>
      <c r="B19" s="162"/>
      <c r="C19" s="164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62"/>
      <c r="B20" s="162"/>
      <c r="C20" s="164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62"/>
      <c r="B21" s="162"/>
      <c r="C21" s="164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62"/>
      <c r="B22" s="162"/>
      <c r="C22" s="164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62"/>
      <c r="B23" s="162"/>
      <c r="C23" s="164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62"/>
      <c r="B24" s="162"/>
      <c r="C24" s="164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62"/>
      <c r="B25" s="162"/>
      <c r="C25" s="164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62"/>
      <c r="B26" s="162"/>
      <c r="C26" s="164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62"/>
      <c r="B27" s="162"/>
      <c r="C27" s="164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62"/>
      <c r="B28" s="162"/>
      <c r="C28" s="164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62"/>
      <c r="B29" s="162"/>
      <c r="C29" s="164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62"/>
      <c r="B30" s="162"/>
      <c r="C30" s="164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62"/>
      <c r="B31" s="162"/>
      <c r="C31" s="164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62"/>
      <c r="B32" s="162"/>
      <c r="C32" s="164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62"/>
      <c r="B33" s="162"/>
      <c r="C33" s="164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62"/>
      <c r="B34" s="162"/>
      <c r="C34" s="164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62"/>
      <c r="B35" s="162"/>
      <c r="C35" s="164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62"/>
      <c r="B36" s="162"/>
      <c r="C36" s="164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62"/>
      <c r="B37" s="162"/>
      <c r="C37" s="164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62"/>
      <c r="B38" s="162"/>
      <c r="C38" s="164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62"/>
      <c r="B39" s="162"/>
      <c r="C39" s="164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62"/>
      <c r="B40" s="162"/>
      <c r="C40" s="164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62"/>
      <c r="B41" s="162"/>
      <c r="C41" s="164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62"/>
      <c r="B42" s="162"/>
      <c r="C42" s="164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62"/>
      <c r="B43" s="162"/>
      <c r="C43" s="164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62"/>
      <c r="B44" s="162"/>
      <c r="C44" s="164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62"/>
      <c r="B45" s="162"/>
      <c r="C45" s="164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62"/>
      <c r="B46" s="162"/>
      <c r="C46" s="164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62"/>
      <c r="B47" s="162"/>
      <c r="C47" s="164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62"/>
      <c r="B48" s="162"/>
      <c r="C48" s="164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62"/>
      <c r="B49" s="162"/>
      <c r="C49" s="164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62"/>
      <c r="B50" s="162"/>
      <c r="C50" s="164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62"/>
      <c r="B51" s="162"/>
      <c r="C51" s="164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62"/>
      <c r="B52" s="162"/>
      <c r="C52" s="164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62"/>
      <c r="B53" s="162"/>
      <c r="C53" s="164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2"/>
      <c r="B54" s="162"/>
      <c r="C54" s="164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62"/>
      <c r="B55" s="162"/>
      <c r="C55" s="164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62"/>
      <c r="B56" s="162"/>
      <c r="C56" s="164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62"/>
      <c r="B57" s="162"/>
      <c r="C57" s="164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62"/>
      <c r="B58" s="162"/>
      <c r="C58" s="164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62"/>
      <c r="B59" s="162"/>
      <c r="C59" s="164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62"/>
      <c r="B60" s="162"/>
      <c r="C60" s="164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62"/>
      <c r="B61" s="162"/>
      <c r="C61" s="164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62"/>
      <c r="B62" s="162"/>
      <c r="C62" s="164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62"/>
      <c r="B63" s="162"/>
      <c r="C63" s="164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62"/>
      <c r="B64" s="162"/>
      <c r="C64" s="164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62"/>
      <c r="B65" s="162"/>
      <c r="C65" s="164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62"/>
      <c r="B66" s="162"/>
      <c r="C66" s="164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62"/>
      <c r="B67" s="162"/>
      <c r="C67" s="164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62"/>
      <c r="B68" s="162"/>
      <c r="C68" s="164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62"/>
      <c r="B69" s="162"/>
      <c r="C69" s="164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62"/>
      <c r="B70" s="162"/>
      <c r="C70" s="164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62"/>
      <c r="B71" s="162"/>
      <c r="C71" s="164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62"/>
      <c r="B72" s="162"/>
      <c r="C72" s="164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62"/>
      <c r="B73" s="162"/>
      <c r="C73" s="164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62"/>
      <c r="B74" s="162"/>
      <c r="C74" s="164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62"/>
      <c r="B75" s="162"/>
      <c r="C75" s="164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62"/>
      <c r="B76" s="162"/>
      <c r="C76" s="164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62"/>
      <c r="B77" s="162"/>
      <c r="C77" s="164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62"/>
      <c r="B78" s="162"/>
      <c r="C78" s="164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62"/>
      <c r="B79" s="162"/>
      <c r="C79" s="164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2"/>
      <c r="B80" s="162"/>
      <c r="C80" s="164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62"/>
      <c r="B81" s="162"/>
      <c r="C81" s="164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62"/>
      <c r="B82" s="162"/>
      <c r="C82" s="164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62"/>
      <c r="B83" s="162"/>
      <c r="C83" s="164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62"/>
      <c r="B84" s="162"/>
      <c r="C84" s="164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62"/>
      <c r="B85" s="162"/>
      <c r="C85" s="164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62"/>
      <c r="B86" s="162"/>
      <c r="C86" s="164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62"/>
      <c r="B87" s="162"/>
      <c r="C87" s="164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62"/>
      <c r="B88" s="162"/>
      <c r="C88" s="164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62"/>
      <c r="B89" s="162"/>
      <c r="C89" s="164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62"/>
      <c r="B90" s="162"/>
      <c r="C90" s="164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62"/>
      <c r="B91" s="162"/>
      <c r="C91" s="164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62"/>
      <c r="B92" s="162"/>
      <c r="C92" s="164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62"/>
      <c r="B93" s="162"/>
      <c r="C93" s="164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62"/>
      <c r="B94" s="162"/>
      <c r="C94" s="164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62"/>
      <c r="B95" s="162"/>
      <c r="C95" s="164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62"/>
      <c r="B96" s="162"/>
      <c r="C96" s="164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62"/>
      <c r="B97" s="162"/>
      <c r="C97" s="164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62"/>
      <c r="B98" s="162"/>
      <c r="C98" s="164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62"/>
      <c r="B99" s="162"/>
      <c r="C99" s="164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62"/>
      <c r="B100" s="162"/>
      <c r="C100" s="164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62"/>
      <c r="B101" s="162"/>
      <c r="C101" s="164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62"/>
      <c r="B102" s="162"/>
      <c r="C102" s="164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62"/>
      <c r="B103" s="162"/>
      <c r="C103" s="164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62"/>
      <c r="B104" s="162"/>
      <c r="C104" s="164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62"/>
      <c r="B105" s="162"/>
      <c r="C105" s="164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2"/>
      <c r="B106" s="162"/>
      <c r="C106" s="164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62"/>
      <c r="B107" s="162"/>
      <c r="C107" s="164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62"/>
      <c r="B108" s="162"/>
      <c r="C108" s="164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62"/>
      <c r="B109" s="162"/>
      <c r="C109" s="164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62"/>
      <c r="B110" s="162"/>
      <c r="C110" s="164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62"/>
      <c r="B111" s="162"/>
      <c r="C111" s="164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62"/>
      <c r="B112" s="162"/>
      <c r="C112" s="164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62"/>
      <c r="B113" s="162"/>
      <c r="C113" s="164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62"/>
      <c r="B114" s="162"/>
      <c r="C114" s="164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62"/>
      <c r="B115" s="162"/>
      <c r="C115" s="164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62"/>
      <c r="B116" s="162"/>
      <c r="C116" s="164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62"/>
      <c r="B117" s="162"/>
      <c r="C117" s="164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62"/>
      <c r="B118" s="162"/>
      <c r="C118" s="164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62"/>
      <c r="B119" s="162"/>
      <c r="C119" s="164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62"/>
      <c r="B120" s="162"/>
      <c r="C120" s="164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62"/>
      <c r="B121" s="162"/>
      <c r="C121" s="164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62"/>
      <c r="B122" s="162"/>
      <c r="C122" s="164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62"/>
      <c r="B123" s="162"/>
      <c r="C123" s="164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62"/>
      <c r="B124" s="162"/>
      <c r="C124" s="164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62"/>
      <c r="B125" s="162"/>
      <c r="C125" s="164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62"/>
      <c r="B126" s="162"/>
      <c r="C126" s="164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62"/>
      <c r="B127" s="162"/>
      <c r="C127" s="164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62"/>
      <c r="B128" s="162"/>
      <c r="C128" s="164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62"/>
      <c r="B129" s="162"/>
      <c r="C129" s="164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62"/>
      <c r="B130" s="162"/>
      <c r="C130" s="164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62"/>
      <c r="C131" s="164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62"/>
      <c r="C132" s="164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62"/>
      <c r="C133" s="164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62"/>
      <c r="C134" s="164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162"/>
      <c r="C135" s="164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162"/>
      <c r="C136" s="164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162"/>
      <c r="C137" s="164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162"/>
      <c r="C138" s="164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162"/>
      <c r="C139" s="164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162"/>
      <c r="C140" s="164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162"/>
      <c r="C141" s="164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162"/>
      <c r="C142" s="164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162"/>
      <c r="C143" s="164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162"/>
      <c r="C144" s="164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162"/>
      <c r="C145" s="164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62"/>
      <c r="C146" s="164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162"/>
      <c r="C147" s="164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162"/>
      <c r="C148" s="164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162"/>
      <c r="C149" s="164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162"/>
      <c r="C150" s="164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162"/>
      <c r="C151" s="164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162"/>
      <c r="C152" s="164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162"/>
      <c r="C153" s="164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162"/>
      <c r="C154" s="164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62"/>
      <c r="C155" s="164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62"/>
      <c r="C156" s="164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62"/>
      <c r="C157" s="164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62"/>
      <c r="C158" s="164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62"/>
      <c r="C159" s="164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62"/>
      <c r="C160" s="164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62"/>
      <c r="C161" s="164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62"/>
      <c r="C162" s="164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62"/>
      <c r="C163" s="164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62"/>
      <c r="C164" s="164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62"/>
      <c r="C165" s="164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62"/>
      <c r="C166" s="164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62"/>
      <c r="C167" s="164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62"/>
      <c r="C168" s="164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62"/>
      <c r="C169" s="164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62"/>
      <c r="C170" s="164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62"/>
      <c r="C171" s="164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62"/>
      <c r="C172" s="164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62"/>
      <c r="C173" s="164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62"/>
      <c r="C174" s="164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62"/>
      <c r="C175" s="164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62"/>
      <c r="C176" s="164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62"/>
      <c r="C177" s="164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62"/>
      <c r="C178" s="164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62"/>
      <c r="C179" s="164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62"/>
      <c r="C180" s="164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62"/>
      <c r="C181" s="164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62"/>
      <c r="C182" s="164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62"/>
      <c r="C183" s="164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62"/>
      <c r="C184" s="164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62"/>
      <c r="C185" s="164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62"/>
      <c r="C186" s="164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62"/>
      <c r="C187" s="164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62"/>
      <c r="C188" s="164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62"/>
      <c r="C189" s="164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62"/>
      <c r="C190" s="164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62"/>
      <c r="C191" s="164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62"/>
      <c r="C192" s="164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62"/>
      <c r="C193" s="164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62"/>
      <c r="C194" s="164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62"/>
      <c r="C195" s="164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62"/>
      <c r="C196" s="164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62"/>
      <c r="C197" s="164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62"/>
      <c r="C198" s="164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62"/>
      <c r="C199" s="164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62"/>
      <c r="C200" s="164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62"/>
      <c r="C201" s="164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62"/>
      <c r="C202" s="164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62"/>
      <c r="C203" s="164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62"/>
      <c r="C204" s="164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62"/>
      <c r="C205" s="164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62"/>
      <c r="C206" s="164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62"/>
      <c r="C207" s="164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62"/>
      <c r="C208" s="164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62"/>
      <c r="C209" s="164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62"/>
      <c r="C210" s="164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62"/>
      <c r="C211" s="164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62"/>
      <c r="C212" s="164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62"/>
      <c r="C213" s="164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62"/>
      <c r="C214" s="164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62"/>
      <c r="C215" s="164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62"/>
      <c r="C216" s="164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62"/>
      <c r="C217" s="164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62"/>
      <c r="C218" s="164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62"/>
      <c r="C219" s="164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62"/>
      <c r="C220" s="164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62"/>
      <c r="C221" s="164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62"/>
      <c r="C222" s="164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62"/>
      <c r="C223" s="164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62"/>
      <c r="C224" s="164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62"/>
      <c r="C225" s="164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62"/>
      <c r="C226" s="164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62"/>
      <c r="C227" s="164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62"/>
      <c r="C228" s="164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62"/>
      <c r="C229" s="164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62"/>
      <c r="C230" s="164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62"/>
      <c r="C231" s="164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62"/>
      <c r="C232" s="164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62"/>
      <c r="C233" s="164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62"/>
      <c r="C234" s="164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62"/>
      <c r="C235" s="164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62"/>
      <c r="C236" s="164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62"/>
      <c r="C237" s="164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62"/>
      <c r="C238" s="164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62"/>
      <c r="C239" s="164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62"/>
      <c r="C240" s="164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62"/>
      <c r="C241" s="164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62"/>
      <c r="C242" s="164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62"/>
      <c r="C243" s="164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62"/>
      <c r="C244" s="164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62"/>
      <c r="C245" s="164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62"/>
      <c r="C246" s="164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62"/>
      <c r="C247" s="164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62"/>
      <c r="C248" s="164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62"/>
      <c r="C249" s="164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62"/>
      <c r="C250" s="164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62"/>
      <c r="C251" s="164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62"/>
      <c r="C252" s="164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62"/>
      <c r="C253" s="164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62"/>
      <c r="C254" s="164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62"/>
      <c r="C255" s="164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62"/>
      <c r="C256" s="164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62"/>
      <c r="C257" s="164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62"/>
      <c r="C258" s="164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62"/>
      <c r="C259" s="164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62"/>
      <c r="C260" s="164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62"/>
      <c r="C261" s="164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62"/>
      <c r="C262" s="164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62"/>
      <c r="C263" s="164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62"/>
      <c r="C264" s="164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62"/>
      <c r="C265" s="164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62"/>
      <c r="C266" s="164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62"/>
      <c r="C267" s="164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62"/>
      <c r="C268" s="164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62"/>
      <c r="C269" s="164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62"/>
      <c r="C270" s="164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62"/>
      <c r="C271" s="164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62"/>
      <c r="C272" s="164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62"/>
      <c r="C273" s="164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62"/>
      <c r="C274" s="164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62"/>
      <c r="C275" s="164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62"/>
      <c r="C276" s="164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62"/>
      <c r="C277" s="164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62"/>
      <c r="C278" s="164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62"/>
      <c r="C279" s="164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62"/>
      <c r="C280" s="164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62"/>
      <c r="C281" s="164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62"/>
      <c r="C282" s="164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62"/>
      <c r="C283" s="164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62"/>
      <c r="C284" s="164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62"/>
      <c r="C285" s="164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62"/>
      <c r="C286" s="164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62"/>
      <c r="C287" s="164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62"/>
      <c r="C288" s="164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62"/>
      <c r="C289" s="164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62"/>
      <c r="C290" s="164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62"/>
      <c r="C291" s="164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62"/>
      <c r="C292" s="164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62"/>
      <c r="C293" s="164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62"/>
      <c r="C294" s="164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62"/>
      <c r="C295" s="164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62"/>
      <c r="C296" s="164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62"/>
      <c r="C297" s="164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62"/>
      <c r="C298" s="164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62"/>
      <c r="C299" s="164"/>
      <c r="D299" s="162"/>
      <c r="E299" s="162"/>
      <c r="F299" s="162"/>
      <c r="G299" s="162"/>
      <c r="H299" s="162"/>
      <c r="I299" s="162"/>
      <c r="J299" s="162"/>
      <c r="K299" s="162"/>
      <c r="L299" s="162"/>
      <c r="M299" s="162"/>
      <c r="N299" s="162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62"/>
      <c r="C300" s="164"/>
      <c r="D300" s="162"/>
      <c r="E300" s="162"/>
      <c r="F300" s="162"/>
      <c r="G300" s="162"/>
      <c r="H300" s="162"/>
      <c r="I300" s="162"/>
      <c r="J300" s="162"/>
      <c r="K300" s="162"/>
      <c r="L300" s="162"/>
      <c r="M300" s="162"/>
      <c r="N300" s="162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62"/>
      <c r="C301" s="164"/>
      <c r="D301" s="162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62"/>
      <c r="C302" s="164"/>
      <c r="D302" s="162"/>
      <c r="E302" s="162"/>
      <c r="F302" s="162"/>
      <c r="G302" s="162"/>
      <c r="H302" s="162"/>
      <c r="I302" s="162"/>
      <c r="J302" s="162"/>
      <c r="K302" s="162"/>
      <c r="L302" s="162"/>
      <c r="M302" s="162"/>
      <c r="N302" s="162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62"/>
      <c r="C303" s="164"/>
      <c r="D303" s="162"/>
      <c r="E303" s="162"/>
      <c r="F303" s="162"/>
      <c r="G303" s="162"/>
      <c r="H303" s="162"/>
      <c r="I303" s="162"/>
      <c r="J303" s="162"/>
      <c r="K303" s="162"/>
      <c r="L303" s="162"/>
      <c r="M303" s="162"/>
      <c r="N303" s="162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62"/>
      <c r="C304" s="164"/>
      <c r="D304" s="162"/>
      <c r="E304" s="162"/>
      <c r="F304" s="162"/>
      <c r="G304" s="162"/>
      <c r="H304" s="162"/>
      <c r="I304" s="162"/>
      <c r="J304" s="162"/>
      <c r="K304" s="162"/>
      <c r="L304" s="162"/>
      <c r="M304" s="162"/>
      <c r="N304" s="162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62"/>
      <c r="C305" s="164"/>
      <c r="D305" s="162"/>
      <c r="E305" s="162"/>
      <c r="F305" s="162"/>
      <c r="G305" s="162"/>
      <c r="H305" s="162"/>
      <c r="I305" s="162"/>
      <c r="J305" s="162"/>
      <c r="K305" s="162"/>
      <c r="L305" s="162"/>
      <c r="M305" s="162"/>
      <c r="N305" s="162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62"/>
      <c r="C306" s="164"/>
      <c r="D306" s="162"/>
      <c r="E306" s="162"/>
      <c r="F306" s="162"/>
      <c r="G306" s="162"/>
      <c r="H306" s="162"/>
      <c r="I306" s="162"/>
      <c r="J306" s="162"/>
      <c r="K306" s="162"/>
      <c r="L306" s="162"/>
      <c r="M306" s="162"/>
      <c r="N306" s="162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62"/>
      <c r="C307" s="164"/>
      <c r="D307" s="162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62"/>
      <c r="C308" s="164"/>
      <c r="D308" s="162"/>
      <c r="E308" s="162"/>
      <c r="F308" s="162"/>
      <c r="G308" s="162"/>
      <c r="H308" s="162"/>
      <c r="I308" s="162"/>
      <c r="J308" s="162"/>
      <c r="K308" s="162"/>
      <c r="L308" s="162"/>
      <c r="M308" s="162"/>
      <c r="N308" s="162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62"/>
      <c r="C309" s="164"/>
      <c r="D309" s="162"/>
      <c r="E309" s="162"/>
      <c r="F309" s="162"/>
      <c r="G309" s="162"/>
      <c r="H309" s="162"/>
      <c r="I309" s="162"/>
      <c r="J309" s="162"/>
      <c r="K309" s="162"/>
      <c r="L309" s="162"/>
      <c r="M309" s="162"/>
      <c r="N309" s="162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62"/>
      <c r="C310" s="164"/>
      <c r="D310" s="162"/>
      <c r="E310" s="162"/>
      <c r="F310" s="162"/>
      <c r="G310" s="162"/>
      <c r="H310" s="162"/>
      <c r="I310" s="162"/>
      <c r="J310" s="162"/>
      <c r="K310" s="162"/>
      <c r="L310" s="162"/>
      <c r="M310" s="162"/>
      <c r="N310" s="162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62"/>
      <c r="C311" s="164"/>
      <c r="D311" s="162"/>
      <c r="E311" s="162"/>
      <c r="F311" s="162"/>
      <c r="G311" s="162"/>
      <c r="H311" s="162"/>
      <c r="I311" s="162"/>
      <c r="J311" s="162"/>
      <c r="K311" s="162"/>
      <c r="L311" s="162"/>
      <c r="M311" s="162"/>
      <c r="N311" s="162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62"/>
      <c r="C312" s="164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62"/>
      <c r="C313" s="164"/>
      <c r="D313" s="162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62"/>
      <c r="C314" s="164"/>
      <c r="D314" s="162"/>
      <c r="E314" s="162"/>
      <c r="F314" s="162"/>
      <c r="G314" s="162"/>
      <c r="H314" s="162"/>
      <c r="I314" s="162"/>
      <c r="J314" s="162"/>
      <c r="K314" s="162"/>
      <c r="L314" s="162"/>
      <c r="M314" s="162"/>
      <c r="N314" s="162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62"/>
      <c r="C315" s="164"/>
      <c r="D315" s="162"/>
      <c r="E315" s="162"/>
      <c r="F315" s="162"/>
      <c r="G315" s="162"/>
      <c r="H315" s="162"/>
      <c r="I315" s="162"/>
      <c r="J315" s="162"/>
      <c r="K315" s="162"/>
      <c r="L315" s="162"/>
      <c r="M315" s="162"/>
      <c r="N315" s="162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62"/>
      <c r="C316" s="164"/>
      <c r="D316" s="162"/>
      <c r="E316" s="162"/>
      <c r="F316" s="162"/>
      <c r="G316" s="162"/>
      <c r="H316" s="162"/>
      <c r="I316" s="162"/>
      <c r="J316" s="162"/>
      <c r="K316" s="162"/>
      <c r="L316" s="162"/>
      <c r="M316" s="162"/>
      <c r="N316" s="162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62"/>
      <c r="C317" s="164"/>
      <c r="D317" s="162"/>
      <c r="E317" s="162"/>
      <c r="F317" s="162"/>
      <c r="G317" s="162"/>
      <c r="H317" s="162"/>
      <c r="I317" s="162"/>
      <c r="J317" s="162"/>
      <c r="K317" s="162"/>
      <c r="L317" s="162"/>
      <c r="M317" s="162"/>
      <c r="N317" s="162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62"/>
      <c r="C318" s="164"/>
      <c r="D318" s="162"/>
      <c r="E318" s="162"/>
      <c r="F318" s="162"/>
      <c r="G318" s="162"/>
      <c r="H318" s="162"/>
      <c r="I318" s="162"/>
      <c r="J318" s="162"/>
      <c r="K318" s="162"/>
      <c r="L318" s="162"/>
      <c r="M318" s="162"/>
      <c r="N318" s="162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62"/>
      <c r="C319" s="164"/>
      <c r="D319" s="162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62"/>
      <c r="C320" s="164"/>
      <c r="D320" s="162"/>
      <c r="E320" s="162"/>
      <c r="F320" s="162"/>
      <c r="G320" s="162"/>
      <c r="H320" s="162"/>
      <c r="I320" s="162"/>
      <c r="J320" s="162"/>
      <c r="K320" s="162"/>
      <c r="L320" s="162"/>
      <c r="M320" s="162"/>
      <c r="N320" s="162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62"/>
      <c r="C321" s="164"/>
      <c r="D321" s="162"/>
      <c r="E321" s="162"/>
      <c r="F321" s="162"/>
      <c r="G321" s="162"/>
      <c r="H321" s="162"/>
      <c r="I321" s="162"/>
      <c r="J321" s="162"/>
      <c r="K321" s="162"/>
      <c r="L321" s="162"/>
      <c r="M321" s="162"/>
      <c r="N321" s="162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62"/>
      <c r="C322" s="164"/>
      <c r="D322" s="162"/>
      <c r="E322" s="162"/>
      <c r="F322" s="162"/>
      <c r="G322" s="162"/>
      <c r="H322" s="162"/>
      <c r="I322" s="162"/>
      <c r="J322" s="162"/>
      <c r="K322" s="162"/>
      <c r="L322" s="162"/>
      <c r="M322" s="162"/>
      <c r="N322" s="162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62"/>
      <c r="C323" s="164"/>
      <c r="D323" s="162"/>
      <c r="E323" s="162"/>
      <c r="F323" s="162"/>
      <c r="G323" s="162"/>
      <c r="H323" s="162"/>
      <c r="I323" s="162"/>
      <c r="J323" s="162"/>
      <c r="K323" s="162"/>
      <c r="L323" s="162"/>
      <c r="M323" s="162"/>
      <c r="N323" s="162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62"/>
      <c r="C324" s="164"/>
      <c r="D324" s="162"/>
      <c r="E324" s="162"/>
      <c r="F324" s="162"/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62"/>
      <c r="C325" s="164"/>
      <c r="D325" s="162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62"/>
      <c r="C326" s="164"/>
      <c r="D326" s="162"/>
      <c r="E326" s="162"/>
      <c r="F326" s="162"/>
      <c r="G326" s="162"/>
      <c r="H326" s="162"/>
      <c r="I326" s="162"/>
      <c r="J326" s="162"/>
      <c r="K326" s="162"/>
      <c r="L326" s="162"/>
      <c r="M326" s="162"/>
      <c r="N326" s="162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62"/>
      <c r="C327" s="164"/>
      <c r="D327" s="162"/>
      <c r="E327" s="162"/>
      <c r="F327" s="162"/>
      <c r="G327" s="162"/>
      <c r="H327" s="162"/>
      <c r="I327" s="162"/>
      <c r="J327" s="162"/>
      <c r="K327" s="162"/>
      <c r="L327" s="162"/>
      <c r="M327" s="162"/>
      <c r="N327" s="162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62"/>
      <c r="C328" s="164"/>
      <c r="D328" s="162"/>
      <c r="E328" s="162"/>
      <c r="F328" s="162"/>
      <c r="G328" s="162"/>
      <c r="H328" s="162"/>
      <c r="I328" s="162"/>
      <c r="J328" s="162"/>
      <c r="K328" s="162"/>
      <c r="L328" s="162"/>
      <c r="M328" s="162"/>
      <c r="N328" s="162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62"/>
      <c r="C329" s="164"/>
      <c r="D329" s="162"/>
      <c r="E329" s="162"/>
      <c r="F329" s="162"/>
      <c r="G329" s="162"/>
      <c r="H329" s="162"/>
      <c r="I329" s="162"/>
      <c r="J329" s="162"/>
      <c r="K329" s="162"/>
      <c r="L329" s="162"/>
      <c r="M329" s="162"/>
      <c r="N329" s="162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62"/>
      <c r="C330" s="164"/>
      <c r="D330" s="162"/>
      <c r="E330" s="162"/>
      <c r="F330" s="162"/>
      <c r="G330" s="162"/>
      <c r="H330" s="162"/>
      <c r="I330" s="162"/>
      <c r="J330" s="162"/>
      <c r="K330" s="162"/>
      <c r="L330" s="162"/>
      <c r="M330" s="162"/>
      <c r="N330" s="162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62"/>
      <c r="C331" s="164"/>
      <c r="D331" s="162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62"/>
      <c r="C332" s="164"/>
      <c r="D332" s="162"/>
      <c r="E332" s="162"/>
      <c r="F332" s="162"/>
      <c r="G332" s="162"/>
      <c r="H332" s="162"/>
      <c r="I332" s="162"/>
      <c r="J332" s="162"/>
      <c r="K332" s="162"/>
      <c r="L332" s="162"/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62"/>
      <c r="C333" s="164"/>
      <c r="D333" s="162"/>
      <c r="E333" s="162"/>
      <c r="F333" s="162"/>
      <c r="G333" s="162"/>
      <c r="H333" s="162"/>
      <c r="I333" s="162"/>
      <c r="J333" s="162"/>
      <c r="K333" s="162"/>
      <c r="L333" s="162"/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62"/>
      <c r="C334" s="164"/>
      <c r="D334" s="162"/>
      <c r="E334" s="162"/>
      <c r="F334" s="162"/>
      <c r="G334" s="162"/>
      <c r="H334" s="162"/>
      <c r="I334" s="162"/>
      <c r="J334" s="162"/>
      <c r="K334" s="162"/>
      <c r="L334" s="162"/>
      <c r="M334" s="162"/>
      <c r="N334" s="162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62"/>
      <c r="C335" s="164"/>
      <c r="D335" s="162"/>
      <c r="E335" s="162"/>
      <c r="F335" s="162"/>
      <c r="G335" s="162"/>
      <c r="H335" s="162"/>
      <c r="I335" s="162"/>
      <c r="J335" s="162"/>
      <c r="K335" s="162"/>
      <c r="L335" s="162"/>
      <c r="M335" s="162"/>
      <c r="N335" s="162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62"/>
      <c r="C336" s="164"/>
      <c r="D336" s="162"/>
      <c r="E336" s="162"/>
      <c r="F336" s="162"/>
      <c r="G336" s="162"/>
      <c r="H336" s="162"/>
      <c r="I336" s="162"/>
      <c r="J336" s="162"/>
      <c r="K336" s="162"/>
      <c r="L336" s="162"/>
      <c r="M336" s="162"/>
      <c r="N336" s="162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62"/>
      <c r="C337" s="164"/>
      <c r="D337" s="162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62"/>
      <c r="C338" s="164"/>
      <c r="D338" s="162"/>
      <c r="E338" s="162"/>
      <c r="F338" s="162"/>
      <c r="G338" s="162"/>
      <c r="H338" s="162"/>
      <c r="I338" s="162"/>
      <c r="J338" s="162"/>
      <c r="K338" s="162"/>
      <c r="L338" s="162"/>
      <c r="M338" s="162"/>
      <c r="N338" s="162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62"/>
      <c r="C339" s="164"/>
      <c r="D339" s="162"/>
      <c r="E339" s="162"/>
      <c r="F339" s="162"/>
      <c r="G339" s="162"/>
      <c r="H339" s="162"/>
      <c r="I339" s="162"/>
      <c r="J339" s="162"/>
      <c r="K339" s="162"/>
      <c r="L339" s="162"/>
      <c r="M339" s="162"/>
      <c r="N339" s="162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62"/>
      <c r="C340" s="164"/>
      <c r="D340" s="162"/>
      <c r="E340" s="162"/>
      <c r="F340" s="162"/>
      <c r="G340" s="162"/>
      <c r="H340" s="162"/>
      <c r="I340" s="162"/>
      <c r="J340" s="162"/>
      <c r="K340" s="162"/>
      <c r="L340" s="162"/>
      <c r="M340" s="162"/>
      <c r="N340" s="162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62"/>
      <c r="C341" s="164"/>
      <c r="D341" s="162"/>
      <c r="E341" s="162"/>
      <c r="F341" s="162"/>
      <c r="G341" s="162"/>
      <c r="H341" s="162"/>
      <c r="I341" s="162"/>
      <c r="J341" s="162"/>
      <c r="K341" s="162"/>
      <c r="L341" s="162"/>
      <c r="M341" s="162"/>
      <c r="N341" s="162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62"/>
      <c r="C342" s="164"/>
      <c r="D342" s="162"/>
      <c r="E342" s="162"/>
      <c r="F342" s="162"/>
      <c r="G342" s="162"/>
      <c r="H342" s="162"/>
      <c r="I342" s="162"/>
      <c r="J342" s="162"/>
      <c r="K342" s="162"/>
      <c r="L342" s="162"/>
      <c r="M342" s="162"/>
      <c r="N342" s="162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62"/>
      <c r="C343" s="164"/>
      <c r="D343" s="162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62"/>
      <c r="C344" s="164"/>
      <c r="D344" s="162"/>
      <c r="E344" s="162"/>
      <c r="F344" s="162"/>
      <c r="G344" s="162"/>
      <c r="H344" s="162"/>
      <c r="I344" s="162"/>
      <c r="J344" s="162"/>
      <c r="K344" s="162"/>
      <c r="L344" s="162"/>
      <c r="M344" s="162"/>
      <c r="N344" s="162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62"/>
      <c r="C345" s="164"/>
      <c r="D345" s="162"/>
      <c r="E345" s="162"/>
      <c r="F345" s="162"/>
      <c r="G345" s="162"/>
      <c r="H345" s="162"/>
      <c r="I345" s="162"/>
      <c r="J345" s="162"/>
      <c r="K345" s="162"/>
      <c r="L345" s="162"/>
      <c r="M345" s="162"/>
      <c r="N345" s="162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62"/>
      <c r="C346" s="164"/>
      <c r="D346" s="162"/>
      <c r="E346" s="162"/>
      <c r="F346" s="162"/>
      <c r="G346" s="162"/>
      <c r="H346" s="162"/>
      <c r="I346" s="162"/>
      <c r="J346" s="162"/>
      <c r="K346" s="162"/>
      <c r="L346" s="162"/>
      <c r="M346" s="162"/>
      <c r="N346" s="162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62"/>
      <c r="C347" s="164"/>
      <c r="D347" s="162"/>
      <c r="E347" s="162"/>
      <c r="F347" s="162"/>
      <c r="G347" s="162"/>
      <c r="H347" s="162"/>
      <c r="I347" s="162"/>
      <c r="J347" s="162"/>
      <c r="K347" s="162"/>
      <c r="L347" s="162"/>
      <c r="M347" s="162"/>
      <c r="N347" s="162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62"/>
      <c r="C348" s="164"/>
      <c r="D348" s="162"/>
      <c r="E348" s="162"/>
      <c r="F348" s="162"/>
      <c r="G348" s="162"/>
      <c r="H348" s="162"/>
      <c r="I348" s="162"/>
      <c r="J348" s="162"/>
      <c r="K348" s="162"/>
      <c r="L348" s="162"/>
      <c r="M348" s="162"/>
      <c r="N348" s="162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62"/>
      <c r="C349" s="164"/>
      <c r="D349" s="162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62"/>
      <c r="C350" s="164"/>
      <c r="D350" s="162"/>
      <c r="E350" s="162"/>
      <c r="F350" s="162"/>
      <c r="G350" s="162"/>
      <c r="H350" s="162"/>
      <c r="I350" s="162"/>
      <c r="J350" s="162"/>
      <c r="K350" s="162"/>
      <c r="L350" s="162"/>
      <c r="M350" s="162"/>
      <c r="N350" s="162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62"/>
      <c r="C351" s="164"/>
      <c r="D351" s="162"/>
      <c r="E351" s="162"/>
      <c r="F351" s="162"/>
      <c r="G351" s="162"/>
      <c r="H351" s="162"/>
      <c r="I351" s="162"/>
      <c r="J351" s="162"/>
      <c r="K351" s="162"/>
      <c r="L351" s="162"/>
      <c r="M351" s="162"/>
      <c r="N351" s="162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62"/>
      <c r="C352" s="164"/>
      <c r="D352" s="162"/>
      <c r="E352" s="162"/>
      <c r="F352" s="162"/>
      <c r="G352" s="162"/>
      <c r="H352" s="162"/>
      <c r="I352" s="162"/>
      <c r="J352" s="162"/>
      <c r="K352" s="162"/>
      <c r="L352" s="162"/>
      <c r="M352" s="162"/>
      <c r="N352" s="162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62"/>
      <c r="C353" s="164"/>
      <c r="D353" s="162"/>
      <c r="E353" s="162"/>
      <c r="F353" s="162"/>
      <c r="G353" s="162"/>
      <c r="H353" s="162"/>
      <c r="I353" s="162"/>
      <c r="J353" s="162"/>
      <c r="K353" s="162"/>
      <c r="L353" s="162"/>
      <c r="M353" s="162"/>
      <c r="N353" s="162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62"/>
      <c r="C354" s="164"/>
      <c r="D354" s="162"/>
      <c r="E354" s="162"/>
      <c r="F354" s="162"/>
      <c r="G354" s="162"/>
      <c r="H354" s="162"/>
      <c r="I354" s="162"/>
      <c r="J354" s="162"/>
      <c r="K354" s="162"/>
      <c r="L354" s="162"/>
      <c r="M354" s="162"/>
      <c r="N354" s="162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62"/>
      <c r="C355" s="164"/>
      <c r="D355" s="162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62"/>
      <c r="C356" s="164"/>
      <c r="D356" s="162"/>
      <c r="E356" s="162"/>
      <c r="F356" s="162"/>
      <c r="G356" s="162"/>
      <c r="H356" s="162"/>
      <c r="I356" s="162"/>
      <c r="J356" s="162"/>
      <c r="K356" s="162"/>
      <c r="L356" s="162"/>
      <c r="M356" s="162"/>
      <c r="N356" s="162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62"/>
      <c r="C357" s="164"/>
      <c r="D357" s="162"/>
      <c r="E357" s="162"/>
      <c r="F357" s="162"/>
      <c r="G357" s="162"/>
      <c r="H357" s="162"/>
      <c r="I357" s="162"/>
      <c r="J357" s="162"/>
      <c r="K357" s="162"/>
      <c r="L357" s="162"/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62"/>
      <c r="C358" s="164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62"/>
      <c r="C359" s="164"/>
      <c r="D359" s="162"/>
      <c r="E359" s="162"/>
      <c r="F359" s="162"/>
      <c r="G359" s="162"/>
      <c r="H359" s="162"/>
      <c r="I359" s="162"/>
      <c r="J359" s="162"/>
      <c r="K359" s="162"/>
      <c r="L359" s="162"/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62"/>
      <c r="C360" s="164"/>
      <c r="D360" s="162"/>
      <c r="E360" s="162"/>
      <c r="F360" s="162"/>
      <c r="G360" s="162"/>
      <c r="H360" s="162"/>
      <c r="I360" s="162"/>
      <c r="J360" s="162"/>
      <c r="K360" s="162"/>
      <c r="L360" s="162"/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62"/>
      <c r="C361" s="164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62"/>
      <c r="C362" s="164"/>
      <c r="D362" s="162"/>
      <c r="E362" s="162"/>
      <c r="F362" s="162"/>
      <c r="G362" s="162"/>
      <c r="H362" s="162"/>
      <c r="I362" s="162"/>
      <c r="J362" s="162"/>
      <c r="K362" s="162"/>
      <c r="L362" s="162"/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62"/>
      <c r="C363" s="164"/>
      <c r="D363" s="162"/>
      <c r="E363" s="162"/>
      <c r="F363" s="162"/>
      <c r="G363" s="162"/>
      <c r="H363" s="162"/>
      <c r="I363" s="162"/>
      <c r="J363" s="162"/>
      <c r="K363" s="162"/>
      <c r="L363" s="162"/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62"/>
      <c r="C364" s="164"/>
      <c r="D364" s="162"/>
      <c r="E364" s="162"/>
      <c r="F364" s="162"/>
      <c r="G364" s="162"/>
      <c r="H364" s="162"/>
      <c r="I364" s="162"/>
      <c r="J364" s="162"/>
      <c r="K364" s="162"/>
      <c r="L364" s="162"/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62"/>
      <c r="C365" s="164"/>
      <c r="D365" s="162"/>
      <c r="E365" s="162"/>
      <c r="F365" s="162"/>
      <c r="G365" s="162"/>
      <c r="H365" s="162"/>
      <c r="I365" s="162"/>
      <c r="J365" s="162"/>
      <c r="K365" s="162"/>
      <c r="L365" s="162"/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62"/>
      <c r="C366" s="164"/>
      <c r="D366" s="162"/>
      <c r="E366" s="162"/>
      <c r="F366" s="162"/>
      <c r="G366" s="162"/>
      <c r="H366" s="162"/>
      <c r="I366" s="162"/>
      <c r="J366" s="162"/>
      <c r="K366" s="162"/>
      <c r="L366" s="162"/>
      <c r="M366" s="162"/>
      <c r="N366" s="162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62"/>
      <c r="C367" s="164"/>
      <c r="D367" s="162"/>
      <c r="E367" s="162"/>
      <c r="F367" s="162"/>
      <c r="G367" s="162"/>
      <c r="H367" s="162"/>
      <c r="I367" s="162"/>
      <c r="J367" s="162"/>
      <c r="K367" s="162"/>
      <c r="L367" s="162"/>
      <c r="M367" s="162"/>
      <c r="N367" s="162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62"/>
      <c r="C368" s="164"/>
      <c r="D368" s="162"/>
      <c r="E368" s="162"/>
      <c r="F368" s="162"/>
      <c r="G368" s="162"/>
      <c r="H368" s="162"/>
      <c r="I368" s="162"/>
      <c r="J368" s="162"/>
      <c r="K368" s="162"/>
      <c r="L368" s="162"/>
      <c r="M368" s="162"/>
      <c r="N368" s="162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62"/>
      <c r="C369" s="164"/>
      <c r="D369" s="162"/>
      <c r="E369" s="162"/>
      <c r="F369" s="162"/>
      <c r="G369" s="162"/>
      <c r="H369" s="162"/>
      <c r="I369" s="162"/>
      <c r="J369" s="162"/>
      <c r="K369" s="162"/>
      <c r="L369" s="162"/>
      <c r="M369" s="162"/>
      <c r="N369" s="162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62"/>
      <c r="C370" s="164"/>
      <c r="D370" s="162"/>
      <c r="E370" s="162"/>
      <c r="F370" s="162"/>
      <c r="G370" s="162"/>
      <c r="H370" s="162"/>
      <c r="I370" s="162"/>
      <c r="J370" s="162"/>
      <c r="K370" s="162"/>
      <c r="L370" s="162"/>
      <c r="M370" s="162"/>
      <c r="N370" s="162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62"/>
      <c r="C371" s="164"/>
      <c r="D371" s="162"/>
      <c r="E371" s="162"/>
      <c r="F371" s="162"/>
      <c r="G371" s="162"/>
      <c r="H371" s="162"/>
      <c r="I371" s="162"/>
      <c r="J371" s="162"/>
      <c r="K371" s="162"/>
      <c r="L371" s="162"/>
      <c r="M371" s="162"/>
      <c r="N371" s="162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62"/>
      <c r="C372" s="164"/>
      <c r="D372" s="162"/>
      <c r="E372" s="162"/>
      <c r="F372" s="162"/>
      <c r="G372" s="162"/>
      <c r="H372" s="162"/>
      <c r="I372" s="162"/>
      <c r="J372" s="162"/>
      <c r="K372" s="162"/>
      <c r="L372" s="162"/>
      <c r="M372" s="162"/>
      <c r="N372" s="162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62"/>
      <c r="C373" s="164"/>
      <c r="D373" s="162"/>
      <c r="E373" s="162"/>
      <c r="F373" s="162"/>
      <c r="G373" s="162"/>
      <c r="H373" s="162"/>
      <c r="I373" s="162"/>
      <c r="J373" s="162"/>
      <c r="K373" s="162"/>
      <c r="L373" s="162"/>
      <c r="M373" s="162"/>
      <c r="N373" s="162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62"/>
      <c r="C374" s="164"/>
      <c r="D374" s="162"/>
      <c r="E374" s="162"/>
      <c r="F374" s="162"/>
      <c r="G374" s="162"/>
      <c r="H374" s="162"/>
      <c r="I374" s="162"/>
      <c r="J374" s="162"/>
      <c r="K374" s="162"/>
      <c r="L374" s="162"/>
      <c r="M374" s="162"/>
      <c r="N374" s="162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62"/>
      <c r="C375" s="164"/>
      <c r="D375" s="162"/>
      <c r="E375" s="162"/>
      <c r="F375" s="162"/>
      <c r="G375" s="162"/>
      <c r="H375" s="162"/>
      <c r="I375" s="162"/>
      <c r="J375" s="162"/>
      <c r="K375" s="162"/>
      <c r="L375" s="162"/>
      <c r="M375" s="162"/>
      <c r="N375" s="162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62"/>
      <c r="C376" s="164"/>
      <c r="D376" s="162"/>
      <c r="E376" s="162"/>
      <c r="F376" s="162"/>
      <c r="G376" s="162"/>
      <c r="H376" s="162"/>
      <c r="I376" s="162"/>
      <c r="J376" s="162"/>
      <c r="K376" s="162"/>
      <c r="L376" s="162"/>
      <c r="M376" s="162"/>
      <c r="N376" s="162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62"/>
      <c r="C377" s="164"/>
      <c r="D377" s="162"/>
      <c r="E377" s="162"/>
      <c r="F377" s="162"/>
      <c r="G377" s="162"/>
      <c r="H377" s="162"/>
      <c r="I377" s="162"/>
      <c r="J377" s="162"/>
      <c r="K377" s="162"/>
      <c r="L377" s="162"/>
      <c r="M377" s="162"/>
      <c r="N377" s="162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62"/>
      <c r="C378" s="164"/>
      <c r="D378" s="162"/>
      <c r="E378" s="162"/>
      <c r="F378" s="162"/>
      <c r="G378" s="162"/>
      <c r="H378" s="162"/>
      <c r="I378" s="162"/>
      <c r="J378" s="162"/>
      <c r="K378" s="162"/>
      <c r="L378" s="162"/>
      <c r="M378" s="162"/>
      <c r="N378" s="162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62"/>
      <c r="C379" s="164"/>
      <c r="D379" s="162"/>
      <c r="E379" s="162"/>
      <c r="F379" s="162"/>
      <c r="G379" s="162"/>
      <c r="H379" s="162"/>
      <c r="I379" s="162"/>
      <c r="J379" s="162"/>
      <c r="K379" s="162"/>
      <c r="L379" s="162"/>
      <c r="M379" s="162"/>
      <c r="N379" s="162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62"/>
      <c r="C380" s="164"/>
      <c r="D380" s="162"/>
      <c r="E380" s="162"/>
      <c r="F380" s="162"/>
      <c r="G380" s="162"/>
      <c r="H380" s="162"/>
      <c r="I380" s="162"/>
      <c r="J380" s="162"/>
      <c r="K380" s="162"/>
      <c r="L380" s="162"/>
      <c r="M380" s="162"/>
      <c r="N380" s="162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62"/>
      <c r="C381" s="164"/>
      <c r="D381" s="162"/>
      <c r="E381" s="162"/>
      <c r="F381" s="162"/>
      <c r="G381" s="162"/>
      <c r="H381" s="162"/>
      <c r="I381" s="162"/>
      <c r="J381" s="162"/>
      <c r="K381" s="162"/>
      <c r="L381" s="162"/>
      <c r="M381" s="162"/>
      <c r="N381" s="162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62"/>
      <c r="C382" s="164"/>
      <c r="D382" s="162"/>
      <c r="E382" s="162"/>
      <c r="F382" s="162"/>
      <c r="G382" s="162"/>
      <c r="H382" s="162"/>
      <c r="I382" s="162"/>
      <c r="J382" s="162"/>
      <c r="K382" s="162"/>
      <c r="L382" s="162"/>
      <c r="M382" s="162"/>
      <c r="N382" s="162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62"/>
      <c r="C383" s="164"/>
      <c r="D383" s="162"/>
      <c r="E383" s="162"/>
      <c r="F383" s="162"/>
      <c r="G383" s="162"/>
      <c r="H383" s="162"/>
      <c r="I383" s="162"/>
      <c r="J383" s="162"/>
      <c r="K383" s="162"/>
      <c r="L383" s="162"/>
      <c r="M383" s="162"/>
      <c r="N383" s="162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62"/>
      <c r="C384" s="164"/>
      <c r="D384" s="162"/>
      <c r="E384" s="162"/>
      <c r="F384" s="162"/>
      <c r="G384" s="162"/>
      <c r="H384" s="162"/>
      <c r="I384" s="162"/>
      <c r="J384" s="162"/>
      <c r="K384" s="162"/>
      <c r="L384" s="162"/>
      <c r="M384" s="162"/>
      <c r="N384" s="162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62"/>
      <c r="C385" s="164"/>
      <c r="D385" s="162"/>
      <c r="E385" s="162"/>
      <c r="F385" s="162"/>
      <c r="G385" s="162"/>
      <c r="H385" s="162"/>
      <c r="I385" s="162"/>
      <c r="J385" s="162"/>
      <c r="K385" s="162"/>
      <c r="L385" s="162"/>
      <c r="M385" s="162"/>
      <c r="N385" s="162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62"/>
      <c r="C386" s="164"/>
      <c r="D386" s="162"/>
      <c r="E386" s="162"/>
      <c r="F386" s="162"/>
      <c r="G386" s="162"/>
      <c r="H386" s="162"/>
      <c r="I386" s="162"/>
      <c r="J386" s="162"/>
      <c r="K386" s="162"/>
      <c r="L386" s="162"/>
      <c r="M386" s="162"/>
      <c r="N386" s="162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62"/>
      <c r="C387" s="164"/>
      <c r="D387" s="162"/>
      <c r="E387" s="162"/>
      <c r="F387" s="162"/>
      <c r="G387" s="162"/>
      <c r="H387" s="162"/>
      <c r="I387" s="162"/>
      <c r="J387" s="162"/>
      <c r="K387" s="162"/>
      <c r="L387" s="162"/>
      <c r="M387" s="162"/>
      <c r="N387" s="162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62"/>
      <c r="C388" s="164"/>
      <c r="D388" s="162"/>
      <c r="E388" s="162"/>
      <c r="F388" s="162"/>
      <c r="G388" s="162"/>
      <c r="H388" s="162"/>
      <c r="I388" s="162"/>
      <c r="J388" s="162"/>
      <c r="K388" s="162"/>
      <c r="L388" s="162"/>
      <c r="M388" s="162"/>
      <c r="N388" s="162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62"/>
      <c r="C389" s="164"/>
      <c r="D389" s="162"/>
      <c r="E389" s="162"/>
      <c r="F389" s="162"/>
      <c r="G389" s="162"/>
      <c r="H389" s="162"/>
      <c r="I389" s="162"/>
      <c r="J389" s="162"/>
      <c r="K389" s="162"/>
      <c r="L389" s="162"/>
      <c r="M389" s="162"/>
      <c r="N389" s="162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62"/>
      <c r="C390" s="164"/>
      <c r="D390" s="162"/>
      <c r="E390" s="162"/>
      <c r="F390" s="162"/>
      <c r="G390" s="162"/>
      <c r="H390" s="162"/>
      <c r="I390" s="162"/>
      <c r="J390" s="162"/>
      <c r="K390" s="162"/>
      <c r="L390" s="162"/>
      <c r="M390" s="162"/>
      <c r="N390" s="162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62"/>
      <c r="C391" s="164"/>
      <c r="D391" s="162"/>
      <c r="E391" s="162"/>
      <c r="F391" s="162"/>
      <c r="G391" s="162"/>
      <c r="H391" s="162"/>
      <c r="I391" s="162"/>
      <c r="J391" s="162"/>
      <c r="K391" s="162"/>
      <c r="L391" s="162"/>
      <c r="M391" s="162"/>
      <c r="N391" s="162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62"/>
      <c r="C392" s="164"/>
      <c r="D392" s="162"/>
      <c r="E392" s="162"/>
      <c r="F392" s="162"/>
      <c r="G392" s="162"/>
      <c r="H392" s="162"/>
      <c r="I392" s="162"/>
      <c r="J392" s="162"/>
      <c r="K392" s="162"/>
      <c r="L392" s="162"/>
      <c r="M392" s="162"/>
      <c r="N392" s="162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62"/>
      <c r="C393" s="164"/>
      <c r="D393" s="162"/>
      <c r="E393" s="162"/>
      <c r="F393" s="162"/>
      <c r="G393" s="162"/>
      <c r="H393" s="162"/>
      <c r="I393" s="162"/>
      <c r="J393" s="162"/>
      <c r="K393" s="162"/>
      <c r="L393" s="162"/>
      <c r="M393" s="162"/>
      <c r="N393" s="162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62"/>
      <c r="C394" s="164"/>
      <c r="D394" s="162"/>
      <c r="E394" s="162"/>
      <c r="F394" s="162"/>
      <c r="G394" s="162"/>
      <c r="H394" s="162"/>
      <c r="I394" s="162"/>
      <c r="J394" s="162"/>
      <c r="K394" s="162"/>
      <c r="L394" s="162"/>
      <c r="M394" s="162"/>
      <c r="N394" s="162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62"/>
      <c r="C395" s="164"/>
      <c r="D395" s="162"/>
      <c r="E395" s="162"/>
      <c r="F395" s="162"/>
      <c r="G395" s="162"/>
      <c r="H395" s="162"/>
      <c r="I395" s="162"/>
      <c r="J395" s="162"/>
      <c r="K395" s="162"/>
      <c r="L395" s="162"/>
      <c r="M395" s="162"/>
      <c r="N395" s="162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62"/>
      <c r="C396" s="164"/>
      <c r="D396" s="162"/>
      <c r="E396" s="162"/>
      <c r="F396" s="162"/>
      <c r="G396" s="162"/>
      <c r="H396" s="162"/>
      <c r="I396" s="162"/>
      <c r="J396" s="162"/>
      <c r="K396" s="162"/>
      <c r="L396" s="162"/>
      <c r="M396" s="162"/>
      <c r="N396" s="162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62"/>
      <c r="C397" s="164"/>
      <c r="D397" s="162"/>
      <c r="E397" s="162"/>
      <c r="F397" s="162"/>
      <c r="G397" s="162"/>
      <c r="H397" s="162"/>
      <c r="I397" s="162"/>
      <c r="J397" s="162"/>
      <c r="K397" s="162"/>
      <c r="L397" s="162"/>
      <c r="M397" s="162"/>
      <c r="N397" s="162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62"/>
      <c r="C398" s="164"/>
      <c r="D398" s="162"/>
      <c r="E398" s="162"/>
      <c r="F398" s="162"/>
      <c r="G398" s="162"/>
      <c r="H398" s="162"/>
      <c r="I398" s="162"/>
      <c r="J398" s="162"/>
      <c r="K398" s="162"/>
      <c r="L398" s="162"/>
      <c r="M398" s="162"/>
      <c r="N398" s="162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62"/>
      <c r="C399" s="164"/>
      <c r="D399" s="162"/>
      <c r="E399" s="162"/>
      <c r="F399" s="162"/>
      <c r="G399" s="162"/>
      <c r="H399" s="162"/>
      <c r="I399" s="162"/>
      <c r="J399" s="162"/>
      <c r="K399" s="162"/>
      <c r="L399" s="162"/>
      <c r="M399" s="162"/>
      <c r="N399" s="162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62"/>
      <c r="C400" s="164"/>
      <c r="D400" s="162"/>
      <c r="E400" s="162"/>
      <c r="F400" s="162"/>
      <c r="G400" s="162"/>
      <c r="H400" s="162"/>
      <c r="I400" s="162"/>
      <c r="J400" s="162"/>
      <c r="K400" s="162"/>
      <c r="L400" s="162"/>
      <c r="M400" s="162"/>
      <c r="N400" s="162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62"/>
      <c r="C401" s="164"/>
      <c r="D401" s="162"/>
      <c r="E401" s="162"/>
      <c r="F401" s="162"/>
      <c r="G401" s="162"/>
      <c r="H401" s="162"/>
      <c r="I401" s="162"/>
      <c r="J401" s="162"/>
      <c r="K401" s="162"/>
      <c r="L401" s="162"/>
      <c r="M401" s="162"/>
      <c r="N401" s="162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62"/>
      <c r="C402" s="164"/>
      <c r="D402" s="162"/>
      <c r="E402" s="162"/>
      <c r="F402" s="162"/>
      <c r="G402" s="162"/>
      <c r="H402" s="162"/>
      <c r="I402" s="162"/>
      <c r="J402" s="162"/>
      <c r="K402" s="162"/>
      <c r="L402" s="162"/>
      <c r="M402" s="162"/>
      <c r="N402" s="162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62"/>
      <c r="C403" s="164"/>
      <c r="D403" s="162"/>
      <c r="E403" s="162"/>
      <c r="F403" s="162"/>
      <c r="G403" s="162"/>
      <c r="H403" s="162"/>
      <c r="I403" s="162"/>
      <c r="J403" s="162"/>
      <c r="K403" s="162"/>
      <c r="L403" s="162"/>
      <c r="M403" s="162"/>
      <c r="N403" s="162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62"/>
      <c r="C404" s="164"/>
      <c r="D404" s="162"/>
      <c r="E404" s="162"/>
      <c r="F404" s="162"/>
      <c r="G404" s="162"/>
      <c r="H404" s="162"/>
      <c r="I404" s="162"/>
      <c r="J404" s="162"/>
      <c r="K404" s="162"/>
      <c r="L404" s="162"/>
      <c r="M404" s="162"/>
      <c r="N404" s="162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62"/>
      <c r="C405" s="164"/>
      <c r="D405" s="162"/>
      <c r="E405" s="162"/>
      <c r="F405" s="162"/>
      <c r="G405" s="162"/>
      <c r="H405" s="162"/>
      <c r="I405" s="162"/>
      <c r="J405" s="162"/>
      <c r="K405" s="162"/>
      <c r="L405" s="162"/>
      <c r="M405" s="162"/>
      <c r="N405" s="162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62"/>
      <c r="C406" s="164"/>
      <c r="D406" s="162"/>
      <c r="E406" s="162"/>
      <c r="F406" s="162"/>
      <c r="G406" s="162"/>
      <c r="H406" s="162"/>
      <c r="I406" s="162"/>
      <c r="J406" s="162"/>
      <c r="K406" s="162"/>
      <c r="L406" s="162"/>
      <c r="M406" s="162"/>
      <c r="N406" s="162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62"/>
      <c r="C407" s="164"/>
      <c r="D407" s="162"/>
      <c r="E407" s="162"/>
      <c r="F407" s="162"/>
      <c r="G407" s="162"/>
      <c r="H407" s="162"/>
      <c r="I407" s="162"/>
      <c r="J407" s="162"/>
      <c r="K407" s="162"/>
      <c r="L407" s="162"/>
      <c r="M407" s="162"/>
      <c r="N407" s="162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62"/>
      <c r="C408" s="164"/>
      <c r="D408" s="162"/>
      <c r="E408" s="162"/>
      <c r="F408" s="162"/>
      <c r="G408" s="162"/>
      <c r="H408" s="162"/>
      <c r="I408" s="162"/>
      <c r="J408" s="162"/>
      <c r="K408" s="162"/>
      <c r="L408" s="162"/>
      <c r="M408" s="162"/>
      <c r="N408" s="162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62"/>
      <c r="C409" s="164"/>
      <c r="D409" s="162"/>
      <c r="E409" s="162"/>
      <c r="F409" s="162"/>
      <c r="G409" s="162"/>
      <c r="H409" s="162"/>
      <c r="I409" s="162"/>
      <c r="J409" s="162"/>
      <c r="K409" s="162"/>
      <c r="L409" s="162"/>
      <c r="M409" s="162"/>
      <c r="N409" s="162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62"/>
      <c r="C410" s="164"/>
      <c r="D410" s="162"/>
      <c r="E410" s="162"/>
      <c r="F410" s="162"/>
      <c r="G410" s="162"/>
      <c r="H410" s="162"/>
      <c r="I410" s="162"/>
      <c r="J410" s="162"/>
      <c r="K410" s="162"/>
      <c r="L410" s="162"/>
      <c r="M410" s="162"/>
      <c r="N410" s="162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62"/>
      <c r="C411" s="164"/>
      <c r="D411" s="162"/>
      <c r="E411" s="162"/>
      <c r="F411" s="162"/>
      <c r="G411" s="162"/>
      <c r="H411" s="162"/>
      <c r="I411" s="162"/>
      <c r="J411" s="162"/>
      <c r="K411" s="162"/>
      <c r="L411" s="162"/>
      <c r="M411" s="162"/>
      <c r="N411" s="162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62"/>
      <c r="C412" s="164"/>
      <c r="D412" s="162"/>
      <c r="E412" s="162"/>
      <c r="F412" s="162"/>
      <c r="G412" s="162"/>
      <c r="H412" s="162"/>
      <c r="I412" s="162"/>
      <c r="J412" s="162"/>
      <c r="K412" s="162"/>
      <c r="L412" s="162"/>
      <c r="M412" s="162"/>
      <c r="N412" s="162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62"/>
      <c r="C413" s="164"/>
      <c r="D413" s="162"/>
      <c r="E413" s="162"/>
      <c r="F413" s="162"/>
      <c r="G413" s="162"/>
      <c r="H413" s="162"/>
      <c r="I413" s="162"/>
      <c r="J413" s="162"/>
      <c r="K413" s="162"/>
      <c r="L413" s="162"/>
      <c r="M413" s="162"/>
      <c r="N413" s="162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62"/>
      <c r="C414" s="164"/>
      <c r="D414" s="162"/>
      <c r="E414" s="162"/>
      <c r="F414" s="162"/>
      <c r="G414" s="162"/>
      <c r="H414" s="162"/>
      <c r="I414" s="162"/>
      <c r="J414" s="162"/>
      <c r="K414" s="162"/>
      <c r="L414" s="162"/>
      <c r="M414" s="162"/>
      <c r="N414" s="162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62"/>
      <c r="C415" s="164"/>
      <c r="D415" s="162"/>
      <c r="E415" s="162"/>
      <c r="F415" s="162"/>
      <c r="G415" s="162"/>
      <c r="H415" s="162"/>
      <c r="I415" s="162"/>
      <c r="J415" s="162"/>
      <c r="K415" s="162"/>
      <c r="L415" s="162"/>
      <c r="M415" s="162"/>
      <c r="N415" s="162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62"/>
      <c r="C416" s="164"/>
      <c r="D416" s="162"/>
      <c r="E416" s="162"/>
      <c r="F416" s="162"/>
      <c r="G416" s="162"/>
      <c r="H416" s="162"/>
      <c r="I416" s="162"/>
      <c r="J416" s="162"/>
      <c r="K416" s="162"/>
      <c r="L416" s="162"/>
      <c r="M416" s="162"/>
      <c r="N416" s="162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62"/>
      <c r="C417" s="164"/>
      <c r="D417" s="162"/>
      <c r="E417" s="162"/>
      <c r="F417" s="162"/>
      <c r="G417" s="162"/>
      <c r="H417" s="162"/>
      <c r="I417" s="162"/>
      <c r="J417" s="162"/>
      <c r="K417" s="162"/>
      <c r="L417" s="162"/>
      <c r="M417" s="162"/>
      <c r="N417" s="162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62"/>
      <c r="C418" s="164"/>
      <c r="D418" s="162"/>
      <c r="E418" s="162"/>
      <c r="F418" s="162"/>
      <c r="G418" s="162"/>
      <c r="H418" s="162"/>
      <c r="I418" s="162"/>
      <c r="J418" s="162"/>
      <c r="K418" s="162"/>
      <c r="L418" s="162"/>
      <c r="M418" s="162"/>
      <c r="N418" s="162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62"/>
      <c r="C419" s="164"/>
      <c r="D419" s="162"/>
      <c r="E419" s="162"/>
      <c r="F419" s="162"/>
      <c r="G419" s="162"/>
      <c r="H419" s="162"/>
      <c r="I419" s="162"/>
      <c r="J419" s="162"/>
      <c r="K419" s="162"/>
      <c r="L419" s="162"/>
      <c r="M419" s="162"/>
      <c r="N419" s="162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62"/>
      <c r="C420" s="164"/>
      <c r="D420" s="162"/>
      <c r="E420" s="162"/>
      <c r="F420" s="162"/>
      <c r="G420" s="162"/>
      <c r="H420" s="162"/>
      <c r="I420" s="162"/>
      <c r="J420" s="162"/>
      <c r="K420" s="162"/>
      <c r="L420" s="162"/>
      <c r="M420" s="162"/>
      <c r="N420" s="162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62"/>
      <c r="C421" s="164"/>
      <c r="D421" s="162"/>
      <c r="E421" s="162"/>
      <c r="F421" s="162"/>
      <c r="G421" s="162"/>
      <c r="H421" s="162"/>
      <c r="I421" s="162"/>
      <c r="J421" s="162"/>
      <c r="K421" s="162"/>
      <c r="L421" s="162"/>
      <c r="M421" s="162"/>
      <c r="N421" s="162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62"/>
      <c r="C422" s="164"/>
      <c r="D422" s="162"/>
      <c r="E422" s="162"/>
      <c r="F422" s="162"/>
      <c r="G422" s="162"/>
      <c r="H422" s="162"/>
      <c r="I422" s="162"/>
      <c r="J422" s="162"/>
      <c r="K422" s="162"/>
      <c r="L422" s="162"/>
      <c r="M422" s="162"/>
      <c r="N422" s="162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62"/>
      <c r="C423" s="164"/>
      <c r="D423" s="162"/>
      <c r="E423" s="162"/>
      <c r="F423" s="162"/>
      <c r="G423" s="162"/>
      <c r="H423" s="162"/>
      <c r="I423" s="162"/>
      <c r="J423" s="162"/>
      <c r="K423" s="162"/>
      <c r="L423" s="162"/>
      <c r="M423" s="162"/>
      <c r="N423" s="162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62"/>
      <c r="C424" s="164"/>
      <c r="D424" s="162"/>
      <c r="E424" s="162"/>
      <c r="F424" s="162"/>
      <c r="G424" s="162"/>
      <c r="H424" s="162"/>
      <c r="I424" s="162"/>
      <c r="J424" s="162"/>
      <c r="K424" s="162"/>
      <c r="L424" s="162"/>
      <c r="M424" s="162"/>
      <c r="N424" s="162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62"/>
      <c r="C425" s="164"/>
      <c r="D425" s="162"/>
      <c r="E425" s="162"/>
      <c r="F425" s="162"/>
      <c r="G425" s="162"/>
      <c r="H425" s="162"/>
      <c r="I425" s="162"/>
      <c r="J425" s="162"/>
      <c r="K425" s="162"/>
      <c r="L425" s="162"/>
      <c r="M425" s="162"/>
      <c r="N425" s="162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62"/>
      <c r="C426" s="164"/>
      <c r="D426" s="162"/>
      <c r="E426" s="162"/>
      <c r="F426" s="162"/>
      <c r="G426" s="162"/>
      <c r="H426" s="162"/>
      <c r="I426" s="162"/>
      <c r="J426" s="162"/>
      <c r="K426" s="162"/>
      <c r="L426" s="162"/>
      <c r="M426" s="162"/>
      <c r="N426" s="162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62"/>
      <c r="C427" s="164"/>
      <c r="D427" s="162"/>
      <c r="E427" s="162"/>
      <c r="F427" s="162"/>
      <c r="G427" s="162"/>
      <c r="H427" s="162"/>
      <c r="I427" s="162"/>
      <c r="J427" s="162"/>
      <c r="K427" s="162"/>
      <c r="L427" s="162"/>
      <c r="M427" s="162"/>
      <c r="N427" s="162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62"/>
      <c r="C428" s="164"/>
      <c r="D428" s="162"/>
      <c r="E428" s="162"/>
      <c r="F428" s="162"/>
      <c r="G428" s="162"/>
      <c r="H428" s="162"/>
      <c r="I428" s="162"/>
      <c r="J428" s="162"/>
      <c r="K428" s="162"/>
      <c r="L428" s="162"/>
      <c r="M428" s="162"/>
      <c r="N428" s="162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62"/>
      <c r="C429" s="164"/>
      <c r="D429" s="162"/>
      <c r="E429" s="162"/>
      <c r="F429" s="162"/>
      <c r="G429" s="162"/>
      <c r="H429" s="162"/>
      <c r="I429" s="162"/>
      <c r="J429" s="162"/>
      <c r="K429" s="162"/>
      <c r="L429" s="162"/>
      <c r="M429" s="162"/>
      <c r="N429" s="162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62"/>
      <c r="C430" s="164"/>
      <c r="D430" s="162"/>
      <c r="E430" s="162"/>
      <c r="F430" s="162"/>
      <c r="G430" s="162"/>
      <c r="H430" s="162"/>
      <c r="I430" s="162"/>
      <c r="J430" s="162"/>
      <c r="K430" s="162"/>
      <c r="L430" s="162"/>
      <c r="M430" s="162"/>
      <c r="N430" s="162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62"/>
      <c r="C431" s="164"/>
      <c r="D431" s="162"/>
      <c r="E431" s="162"/>
      <c r="F431" s="162"/>
      <c r="G431" s="162"/>
      <c r="H431" s="162"/>
      <c r="I431" s="162"/>
      <c r="J431" s="162"/>
      <c r="K431" s="162"/>
      <c r="L431" s="162"/>
      <c r="M431" s="162"/>
      <c r="N431" s="162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62"/>
      <c r="C432" s="164"/>
      <c r="D432" s="162"/>
      <c r="E432" s="162"/>
      <c r="F432" s="162"/>
      <c r="G432" s="162"/>
      <c r="H432" s="162"/>
      <c r="I432" s="162"/>
      <c r="J432" s="162"/>
      <c r="K432" s="162"/>
      <c r="L432" s="162"/>
      <c r="M432" s="162"/>
      <c r="N432" s="162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62"/>
      <c r="C433" s="164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62"/>
      <c r="C434" s="164"/>
      <c r="D434" s="162"/>
      <c r="E434" s="162"/>
      <c r="F434" s="162"/>
      <c r="G434" s="162"/>
      <c r="H434" s="162"/>
      <c r="I434" s="162"/>
      <c r="J434" s="162"/>
      <c r="K434" s="162"/>
      <c r="L434" s="162"/>
      <c r="M434" s="162"/>
      <c r="N434" s="162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62"/>
      <c r="C435" s="164"/>
      <c r="D435" s="162"/>
      <c r="E435" s="162"/>
      <c r="F435" s="162"/>
      <c r="G435" s="162"/>
      <c r="H435" s="162"/>
      <c r="I435" s="162"/>
      <c r="J435" s="162"/>
      <c r="K435" s="162"/>
      <c r="L435" s="162"/>
      <c r="M435" s="162"/>
      <c r="N435" s="162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62"/>
      <c r="C436" s="164"/>
      <c r="D436" s="162"/>
      <c r="E436" s="162"/>
      <c r="F436" s="162"/>
      <c r="G436" s="162"/>
      <c r="H436" s="162"/>
      <c r="I436" s="162"/>
      <c r="J436" s="162"/>
      <c r="K436" s="162"/>
      <c r="L436" s="162"/>
      <c r="M436" s="162"/>
      <c r="N436" s="162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62"/>
      <c r="C437" s="164"/>
      <c r="D437" s="162"/>
      <c r="E437" s="162"/>
      <c r="F437" s="162"/>
      <c r="G437" s="162"/>
      <c r="H437" s="162"/>
      <c r="I437" s="162"/>
      <c r="J437" s="162"/>
      <c r="K437" s="162"/>
      <c r="L437" s="162"/>
      <c r="M437" s="162"/>
      <c r="N437" s="162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62"/>
      <c r="C438" s="164"/>
      <c r="D438" s="162"/>
      <c r="E438" s="162"/>
      <c r="F438" s="162"/>
      <c r="G438" s="162"/>
      <c r="H438" s="162"/>
      <c r="I438" s="162"/>
      <c r="J438" s="162"/>
      <c r="K438" s="162"/>
      <c r="L438" s="162"/>
      <c r="M438" s="162"/>
      <c r="N438" s="162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62"/>
      <c r="C439" s="164"/>
      <c r="D439" s="162"/>
      <c r="E439" s="162"/>
      <c r="F439" s="162"/>
      <c r="G439" s="162"/>
      <c r="H439" s="162"/>
      <c r="I439" s="162"/>
      <c r="J439" s="162"/>
      <c r="K439" s="162"/>
      <c r="L439" s="162"/>
      <c r="M439" s="162"/>
      <c r="N439" s="162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62"/>
      <c r="C440" s="164"/>
      <c r="D440" s="162"/>
      <c r="E440" s="162"/>
      <c r="F440" s="162"/>
      <c r="G440" s="162"/>
      <c r="H440" s="162"/>
      <c r="I440" s="162"/>
      <c r="J440" s="162"/>
      <c r="K440" s="162"/>
      <c r="L440" s="162"/>
      <c r="M440" s="162"/>
      <c r="N440" s="162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62"/>
      <c r="C441" s="164"/>
      <c r="D441" s="162"/>
      <c r="E441" s="162"/>
      <c r="F441" s="162"/>
      <c r="G441" s="162"/>
      <c r="H441" s="162"/>
      <c r="I441" s="162"/>
      <c r="J441" s="162"/>
      <c r="K441" s="162"/>
      <c r="L441" s="162"/>
      <c r="M441" s="162"/>
      <c r="N441" s="162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62"/>
      <c r="C442" s="164"/>
      <c r="D442" s="162"/>
      <c r="E442" s="162"/>
      <c r="F442" s="162"/>
      <c r="G442" s="162"/>
      <c r="H442" s="162"/>
      <c r="I442" s="162"/>
      <c r="J442" s="162"/>
      <c r="K442" s="162"/>
      <c r="L442" s="162"/>
      <c r="M442" s="162"/>
      <c r="N442" s="162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62"/>
      <c r="C443" s="164"/>
      <c r="D443" s="162"/>
      <c r="E443" s="162"/>
      <c r="F443" s="162"/>
      <c r="G443" s="162"/>
      <c r="H443" s="162"/>
      <c r="I443" s="162"/>
      <c r="J443" s="162"/>
      <c r="K443" s="162"/>
      <c r="L443" s="162"/>
      <c r="M443" s="162"/>
      <c r="N443" s="162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62"/>
      <c r="C444" s="164"/>
      <c r="D444" s="162"/>
      <c r="E444" s="162"/>
      <c r="F444" s="162"/>
      <c r="G444" s="162"/>
      <c r="H444" s="162"/>
      <c r="I444" s="162"/>
      <c r="J444" s="162"/>
      <c r="K444" s="162"/>
      <c r="L444" s="162"/>
      <c r="M444" s="162"/>
      <c r="N444" s="162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62"/>
      <c r="C445" s="164"/>
      <c r="D445" s="162"/>
      <c r="E445" s="162"/>
      <c r="F445" s="162"/>
      <c r="G445" s="162"/>
      <c r="H445" s="162"/>
      <c r="I445" s="162"/>
      <c r="J445" s="162"/>
      <c r="K445" s="162"/>
      <c r="L445" s="162"/>
      <c r="M445" s="162"/>
      <c r="N445" s="162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62"/>
      <c r="C446" s="164"/>
      <c r="D446" s="162"/>
      <c r="E446" s="162"/>
      <c r="F446" s="162"/>
      <c r="G446" s="162"/>
      <c r="H446" s="162"/>
      <c r="I446" s="162"/>
      <c r="J446" s="162"/>
      <c r="K446" s="162"/>
      <c r="L446" s="162"/>
      <c r="M446" s="162"/>
      <c r="N446" s="162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62"/>
      <c r="C447" s="164"/>
      <c r="D447" s="162"/>
      <c r="E447" s="162"/>
      <c r="F447" s="162"/>
      <c r="G447" s="162"/>
      <c r="H447" s="162"/>
      <c r="I447" s="162"/>
      <c r="J447" s="162"/>
      <c r="K447" s="162"/>
      <c r="L447" s="162"/>
      <c r="M447" s="162"/>
      <c r="N447" s="162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62"/>
      <c r="C448" s="164"/>
      <c r="D448" s="162"/>
      <c r="E448" s="162"/>
      <c r="F448" s="162"/>
      <c r="G448" s="162"/>
      <c r="H448" s="162"/>
      <c r="I448" s="162"/>
      <c r="J448" s="162"/>
      <c r="K448" s="162"/>
      <c r="L448" s="162"/>
      <c r="M448" s="162"/>
      <c r="N448" s="162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62"/>
      <c r="C449" s="164"/>
      <c r="D449" s="162"/>
      <c r="E449" s="162"/>
      <c r="F449" s="162"/>
      <c r="G449" s="162"/>
      <c r="H449" s="162"/>
      <c r="I449" s="162"/>
      <c r="J449" s="162"/>
      <c r="K449" s="162"/>
      <c r="L449" s="162"/>
      <c r="M449" s="162"/>
      <c r="N449" s="162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62"/>
      <c r="C450" s="164"/>
      <c r="D450" s="162"/>
      <c r="E450" s="162"/>
      <c r="F450" s="162"/>
      <c r="G450" s="162"/>
      <c r="H450" s="162"/>
      <c r="I450" s="162"/>
      <c r="J450" s="162"/>
      <c r="K450" s="162"/>
      <c r="L450" s="162"/>
      <c r="M450" s="162"/>
      <c r="N450" s="162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62"/>
      <c r="C451" s="164"/>
      <c r="D451" s="162"/>
      <c r="E451" s="162"/>
      <c r="F451" s="162"/>
      <c r="G451" s="162"/>
      <c r="H451" s="162"/>
      <c r="I451" s="162"/>
      <c r="J451" s="162"/>
      <c r="K451" s="162"/>
      <c r="L451" s="162"/>
      <c r="M451" s="162"/>
      <c r="N451" s="162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62"/>
      <c r="C452" s="164"/>
      <c r="D452" s="162"/>
      <c r="E452" s="162"/>
      <c r="F452" s="162"/>
      <c r="G452" s="162"/>
      <c r="H452" s="162"/>
      <c r="I452" s="162"/>
      <c r="J452" s="162"/>
      <c r="K452" s="162"/>
      <c r="L452" s="162"/>
      <c r="M452" s="162"/>
      <c r="N452" s="162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62"/>
      <c r="C453" s="164"/>
      <c r="D453" s="162"/>
      <c r="E453" s="162"/>
      <c r="F453" s="162"/>
      <c r="G453" s="162"/>
      <c r="H453" s="162"/>
      <c r="I453" s="162"/>
      <c r="J453" s="162"/>
      <c r="K453" s="162"/>
      <c r="L453" s="162"/>
      <c r="M453" s="162"/>
      <c r="N453" s="162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62"/>
      <c r="C454" s="164"/>
      <c r="D454" s="162"/>
      <c r="E454" s="162"/>
      <c r="F454" s="162"/>
      <c r="G454" s="162"/>
      <c r="H454" s="162"/>
      <c r="I454" s="162"/>
      <c r="J454" s="162"/>
      <c r="K454" s="162"/>
      <c r="L454" s="162"/>
      <c r="M454" s="162"/>
      <c r="N454" s="162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62"/>
      <c r="C455" s="164"/>
      <c r="D455" s="162"/>
      <c r="E455" s="162"/>
      <c r="F455" s="162"/>
      <c r="G455" s="162"/>
      <c r="H455" s="162"/>
      <c r="I455" s="162"/>
      <c r="J455" s="162"/>
      <c r="K455" s="162"/>
      <c r="L455" s="162"/>
      <c r="M455" s="162"/>
      <c r="N455" s="162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62"/>
      <c r="C456" s="164"/>
      <c r="D456" s="162"/>
      <c r="E456" s="162"/>
      <c r="F456" s="162"/>
      <c r="G456" s="162"/>
      <c r="H456" s="162"/>
      <c r="I456" s="162"/>
      <c r="J456" s="162"/>
      <c r="K456" s="162"/>
      <c r="L456" s="162"/>
      <c r="M456" s="162"/>
      <c r="N456" s="162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62"/>
      <c r="C457" s="164"/>
      <c r="D457" s="162"/>
      <c r="E457" s="162"/>
      <c r="F457" s="162"/>
      <c r="G457" s="162"/>
      <c r="H457" s="162"/>
      <c r="I457" s="162"/>
      <c r="J457" s="162"/>
      <c r="K457" s="162"/>
      <c r="L457" s="162"/>
      <c r="M457" s="162"/>
      <c r="N457" s="162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62"/>
      <c r="C458" s="164"/>
      <c r="D458" s="162"/>
      <c r="E458" s="162"/>
      <c r="F458" s="162"/>
      <c r="G458" s="162"/>
      <c r="H458" s="162"/>
      <c r="I458" s="162"/>
      <c r="J458" s="162"/>
      <c r="K458" s="162"/>
      <c r="L458" s="162"/>
      <c r="M458" s="162"/>
      <c r="N458" s="162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62"/>
      <c r="C459" s="164"/>
      <c r="D459" s="162"/>
      <c r="E459" s="162"/>
      <c r="F459" s="162"/>
      <c r="G459" s="162"/>
      <c r="H459" s="162"/>
      <c r="I459" s="162"/>
      <c r="J459" s="162"/>
      <c r="K459" s="162"/>
      <c r="L459" s="162"/>
      <c r="M459" s="162"/>
      <c r="N459" s="162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62"/>
      <c r="C460" s="164"/>
      <c r="D460" s="162"/>
      <c r="E460" s="162"/>
      <c r="F460" s="162"/>
      <c r="G460" s="162"/>
      <c r="H460" s="162"/>
      <c r="I460" s="162"/>
      <c r="J460" s="162"/>
      <c r="K460" s="162"/>
      <c r="L460" s="162"/>
      <c r="M460" s="162"/>
      <c r="N460" s="162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62"/>
      <c r="C461" s="164"/>
      <c r="D461" s="162"/>
      <c r="E461" s="162"/>
      <c r="F461" s="162"/>
      <c r="G461" s="162"/>
      <c r="H461" s="162"/>
      <c r="I461" s="162"/>
      <c r="J461" s="162"/>
      <c r="K461" s="162"/>
      <c r="L461" s="162"/>
      <c r="M461" s="162"/>
      <c r="N461" s="162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62"/>
      <c r="C462" s="164"/>
      <c r="D462" s="162"/>
      <c r="E462" s="162"/>
      <c r="F462" s="162"/>
      <c r="G462" s="162"/>
      <c r="H462" s="162"/>
      <c r="I462" s="162"/>
      <c r="J462" s="162"/>
      <c r="K462" s="162"/>
      <c r="L462" s="162"/>
      <c r="M462" s="162"/>
      <c r="N462" s="162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62"/>
      <c r="C463" s="164"/>
      <c r="D463" s="162"/>
      <c r="E463" s="162"/>
      <c r="F463" s="162"/>
      <c r="G463" s="162"/>
      <c r="H463" s="162"/>
      <c r="I463" s="162"/>
      <c r="J463" s="162"/>
      <c r="K463" s="162"/>
      <c r="L463" s="162"/>
      <c r="M463" s="162"/>
      <c r="N463" s="162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62"/>
      <c r="C464" s="164"/>
      <c r="D464" s="162"/>
      <c r="E464" s="162"/>
      <c r="F464" s="162"/>
      <c r="G464" s="162"/>
      <c r="H464" s="162"/>
      <c r="I464" s="162"/>
      <c r="J464" s="162"/>
      <c r="K464" s="162"/>
      <c r="L464" s="162"/>
      <c r="M464" s="162"/>
      <c r="N464" s="162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62"/>
      <c r="C465" s="164"/>
      <c r="D465" s="162"/>
      <c r="E465" s="162"/>
      <c r="F465" s="162"/>
      <c r="G465" s="162"/>
      <c r="H465" s="162"/>
      <c r="I465" s="162"/>
      <c r="J465" s="162"/>
      <c r="K465" s="162"/>
      <c r="L465" s="162"/>
      <c r="M465" s="162"/>
      <c r="N465" s="162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62"/>
      <c r="C466" s="164"/>
      <c r="D466" s="162"/>
      <c r="E466" s="162"/>
      <c r="F466" s="162"/>
      <c r="G466" s="162"/>
      <c r="H466" s="162"/>
      <c r="I466" s="162"/>
      <c r="J466" s="162"/>
      <c r="K466" s="162"/>
      <c r="L466" s="162"/>
      <c r="M466" s="162"/>
      <c r="N466" s="162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62"/>
      <c r="C467" s="164"/>
      <c r="D467" s="162"/>
      <c r="E467" s="162"/>
      <c r="F467" s="162"/>
      <c r="G467" s="162"/>
      <c r="H467" s="162"/>
      <c r="I467" s="162"/>
      <c r="J467" s="162"/>
      <c r="K467" s="162"/>
      <c r="L467" s="162"/>
      <c r="M467" s="162"/>
      <c r="N467" s="162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62"/>
      <c r="C468" s="164"/>
      <c r="D468" s="162"/>
      <c r="E468" s="162"/>
      <c r="F468" s="162"/>
      <c r="G468" s="162"/>
      <c r="H468" s="162"/>
      <c r="I468" s="162"/>
      <c r="J468" s="162"/>
      <c r="K468" s="162"/>
      <c r="L468" s="162"/>
      <c r="M468" s="162"/>
      <c r="N468" s="162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62"/>
      <c r="C469" s="164"/>
      <c r="D469" s="162"/>
      <c r="E469" s="162"/>
      <c r="F469" s="162"/>
      <c r="G469" s="162"/>
      <c r="H469" s="162"/>
      <c r="I469" s="162"/>
      <c r="J469" s="162"/>
      <c r="K469" s="162"/>
      <c r="L469" s="162"/>
      <c r="M469" s="162"/>
      <c r="N469" s="162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62"/>
      <c r="C470" s="164"/>
      <c r="D470" s="162"/>
      <c r="E470" s="162"/>
      <c r="F470" s="162"/>
      <c r="G470" s="162"/>
      <c r="H470" s="162"/>
      <c r="I470" s="162"/>
      <c r="J470" s="162"/>
      <c r="K470" s="162"/>
      <c r="L470" s="162"/>
      <c r="M470" s="162"/>
      <c r="N470" s="162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62"/>
      <c r="C471" s="164"/>
      <c r="D471" s="162"/>
      <c r="E471" s="162"/>
      <c r="F471" s="162"/>
      <c r="G471" s="162"/>
      <c r="H471" s="162"/>
      <c r="I471" s="162"/>
      <c r="J471" s="162"/>
      <c r="K471" s="162"/>
      <c r="L471" s="162"/>
      <c r="M471" s="162"/>
      <c r="N471" s="162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62"/>
      <c r="C472" s="164"/>
      <c r="D472" s="162"/>
      <c r="E472" s="162"/>
      <c r="F472" s="162"/>
      <c r="G472" s="162"/>
      <c r="H472" s="162"/>
      <c r="I472" s="162"/>
      <c r="J472" s="162"/>
      <c r="K472" s="162"/>
      <c r="L472" s="162"/>
      <c r="M472" s="162"/>
      <c r="N472" s="162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62"/>
      <c r="C473" s="164"/>
      <c r="D473" s="162"/>
      <c r="E473" s="162"/>
      <c r="F473" s="162"/>
      <c r="G473" s="162"/>
      <c r="H473" s="162"/>
      <c r="I473" s="162"/>
      <c r="J473" s="162"/>
      <c r="K473" s="162"/>
      <c r="L473" s="162"/>
      <c r="M473" s="162"/>
      <c r="N473" s="162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62"/>
      <c r="C474" s="164"/>
      <c r="D474" s="162"/>
      <c r="E474" s="162"/>
      <c r="F474" s="162"/>
      <c r="G474" s="162"/>
      <c r="H474" s="162"/>
      <c r="I474" s="162"/>
      <c r="J474" s="162"/>
      <c r="K474" s="162"/>
      <c r="L474" s="162"/>
      <c r="M474" s="162"/>
      <c r="N474" s="162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62"/>
      <c r="C475" s="164"/>
      <c r="D475" s="162"/>
      <c r="E475" s="162"/>
      <c r="F475" s="162"/>
      <c r="G475" s="162"/>
      <c r="H475" s="162"/>
      <c r="I475" s="162"/>
      <c r="J475" s="162"/>
      <c r="K475" s="162"/>
      <c r="L475" s="162"/>
      <c r="M475" s="162"/>
      <c r="N475" s="162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62"/>
      <c r="C476" s="164"/>
      <c r="D476" s="162"/>
      <c r="E476" s="162"/>
      <c r="F476" s="162"/>
      <c r="G476" s="162"/>
      <c r="H476" s="162"/>
      <c r="I476" s="162"/>
      <c r="J476" s="162"/>
      <c r="K476" s="162"/>
      <c r="L476" s="162"/>
      <c r="M476" s="162"/>
      <c r="N476" s="162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62"/>
      <c r="C477" s="164"/>
      <c r="D477" s="162"/>
      <c r="E477" s="162"/>
      <c r="F477" s="162"/>
      <c r="G477" s="162"/>
      <c r="H477" s="162"/>
      <c r="I477" s="162"/>
      <c r="J477" s="162"/>
      <c r="K477" s="162"/>
      <c r="L477" s="162"/>
      <c r="M477" s="162"/>
      <c r="N477" s="162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62"/>
      <c r="C478" s="164"/>
      <c r="D478" s="162"/>
      <c r="E478" s="162"/>
      <c r="F478" s="162"/>
      <c r="G478" s="162"/>
      <c r="H478" s="162"/>
      <c r="I478" s="162"/>
      <c r="J478" s="162"/>
      <c r="K478" s="162"/>
      <c r="L478" s="162"/>
      <c r="M478" s="162"/>
      <c r="N478" s="162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62"/>
      <c r="C479" s="164"/>
      <c r="D479" s="162"/>
      <c r="E479" s="162"/>
      <c r="F479" s="162"/>
      <c r="G479" s="162"/>
      <c r="H479" s="162"/>
      <c r="I479" s="162"/>
      <c r="J479" s="162"/>
      <c r="K479" s="162"/>
      <c r="L479" s="162"/>
      <c r="M479" s="162"/>
      <c r="N479" s="162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62"/>
      <c r="C480" s="164"/>
      <c r="D480" s="162"/>
      <c r="E480" s="162"/>
      <c r="F480" s="162"/>
      <c r="G480" s="162"/>
      <c r="H480" s="162"/>
      <c r="I480" s="162"/>
      <c r="J480" s="162"/>
      <c r="K480" s="162"/>
      <c r="L480" s="162"/>
      <c r="M480" s="162"/>
      <c r="N480" s="162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62"/>
      <c r="C481" s="164"/>
      <c r="D481" s="162"/>
      <c r="E481" s="162"/>
      <c r="F481" s="162"/>
      <c r="G481" s="162"/>
      <c r="H481" s="162"/>
      <c r="I481" s="162"/>
      <c r="J481" s="162"/>
      <c r="K481" s="162"/>
      <c r="L481" s="162"/>
      <c r="M481" s="162"/>
      <c r="N481" s="162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62"/>
      <c r="C482" s="164"/>
      <c r="D482" s="162"/>
      <c r="E482" s="162"/>
      <c r="F482" s="162"/>
      <c r="G482" s="162"/>
      <c r="H482" s="162"/>
      <c r="I482" s="162"/>
      <c r="J482" s="162"/>
      <c r="K482" s="162"/>
      <c r="L482" s="162"/>
      <c r="M482" s="162"/>
      <c r="N482" s="162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62"/>
      <c r="C483" s="164"/>
      <c r="D483" s="162"/>
      <c r="E483" s="162"/>
      <c r="F483" s="162"/>
      <c r="G483" s="162"/>
      <c r="H483" s="162"/>
      <c r="I483" s="162"/>
      <c r="J483" s="162"/>
      <c r="K483" s="162"/>
      <c r="L483" s="162"/>
      <c r="M483" s="162"/>
      <c r="N483" s="162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62"/>
      <c r="C484" s="164"/>
      <c r="D484" s="162"/>
      <c r="E484" s="162"/>
      <c r="F484" s="162"/>
      <c r="G484" s="162"/>
      <c r="H484" s="162"/>
      <c r="I484" s="162"/>
      <c r="J484" s="162"/>
      <c r="K484" s="162"/>
      <c r="L484" s="162"/>
      <c r="M484" s="162"/>
      <c r="N484" s="162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62"/>
      <c r="C485" s="164"/>
      <c r="D485" s="162"/>
      <c r="E485" s="162"/>
      <c r="F485" s="162"/>
      <c r="G485" s="162"/>
      <c r="H485" s="162"/>
      <c r="I485" s="162"/>
      <c r="J485" s="162"/>
      <c r="K485" s="162"/>
      <c r="L485" s="162"/>
      <c r="M485" s="162"/>
      <c r="N485" s="162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62"/>
      <c r="C486" s="164"/>
      <c r="D486" s="162"/>
      <c r="E486" s="162"/>
      <c r="F486" s="162"/>
      <c r="G486" s="162"/>
      <c r="H486" s="162"/>
      <c r="I486" s="162"/>
      <c r="J486" s="162"/>
      <c r="K486" s="162"/>
      <c r="L486" s="162"/>
      <c r="M486" s="162"/>
      <c r="N486" s="162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62"/>
      <c r="C487" s="164"/>
      <c r="D487" s="162"/>
      <c r="E487" s="162"/>
      <c r="F487" s="162"/>
      <c r="G487" s="162"/>
      <c r="H487" s="162"/>
      <c r="I487" s="162"/>
      <c r="J487" s="162"/>
      <c r="K487" s="162"/>
      <c r="L487" s="162"/>
      <c r="M487" s="162"/>
      <c r="N487" s="162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62"/>
      <c r="C488" s="164"/>
      <c r="D488" s="162"/>
      <c r="E488" s="162"/>
      <c r="F488" s="162"/>
      <c r="G488" s="162"/>
      <c r="H488" s="162"/>
      <c r="I488" s="162"/>
      <c r="J488" s="162"/>
      <c r="K488" s="162"/>
      <c r="L488" s="162"/>
      <c r="M488" s="162"/>
      <c r="N488" s="162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62"/>
      <c r="C489" s="164"/>
      <c r="D489" s="162"/>
      <c r="E489" s="162"/>
      <c r="F489" s="162"/>
      <c r="G489" s="162"/>
      <c r="H489" s="162"/>
      <c r="I489" s="162"/>
      <c r="J489" s="162"/>
      <c r="K489" s="162"/>
      <c r="L489" s="162"/>
      <c r="M489" s="162"/>
      <c r="N489" s="162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62"/>
      <c r="C490" s="164"/>
      <c r="D490" s="162"/>
      <c r="E490" s="162"/>
      <c r="F490" s="162"/>
      <c r="G490" s="162"/>
      <c r="H490" s="162"/>
      <c r="I490" s="162"/>
      <c r="J490" s="162"/>
      <c r="K490" s="162"/>
      <c r="L490" s="162"/>
      <c r="M490" s="162"/>
      <c r="N490" s="162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62"/>
      <c r="C491" s="164"/>
      <c r="D491" s="162"/>
      <c r="E491" s="162"/>
      <c r="F491" s="162"/>
      <c r="G491" s="162"/>
      <c r="H491" s="162"/>
      <c r="I491" s="162"/>
      <c r="J491" s="162"/>
      <c r="K491" s="162"/>
      <c r="L491" s="162"/>
      <c r="M491" s="162"/>
      <c r="N491" s="162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62"/>
      <c r="C492" s="164"/>
      <c r="D492" s="162"/>
      <c r="E492" s="162"/>
      <c r="F492" s="162"/>
      <c r="G492" s="162"/>
      <c r="H492" s="162"/>
      <c r="I492" s="162"/>
      <c r="J492" s="162"/>
      <c r="K492" s="162"/>
      <c r="L492" s="162"/>
      <c r="M492" s="162"/>
      <c r="N492" s="162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62"/>
      <c r="C493" s="164"/>
      <c r="D493" s="162"/>
      <c r="E493" s="162"/>
      <c r="F493" s="162"/>
      <c r="G493" s="162"/>
      <c r="H493" s="162"/>
      <c r="I493" s="162"/>
      <c r="J493" s="162"/>
      <c r="K493" s="162"/>
      <c r="L493" s="162"/>
      <c r="M493" s="162"/>
      <c r="N493" s="162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62"/>
      <c r="C494" s="164"/>
      <c r="D494" s="162"/>
      <c r="E494" s="162"/>
      <c r="F494" s="162"/>
      <c r="G494" s="162"/>
      <c r="H494" s="162"/>
      <c r="I494" s="162"/>
      <c r="J494" s="162"/>
      <c r="K494" s="162"/>
      <c r="L494" s="162"/>
      <c r="M494" s="162"/>
      <c r="N494" s="162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62"/>
      <c r="C495" s="164"/>
      <c r="D495" s="162"/>
      <c r="E495" s="162"/>
      <c r="F495" s="162"/>
      <c r="G495" s="162"/>
      <c r="H495" s="162"/>
      <c r="I495" s="162"/>
      <c r="J495" s="162"/>
      <c r="K495" s="162"/>
      <c r="L495" s="162"/>
      <c r="M495" s="162"/>
      <c r="N495" s="162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62"/>
      <c r="C496" s="164"/>
      <c r="D496" s="162"/>
      <c r="E496" s="162"/>
      <c r="F496" s="162"/>
      <c r="G496" s="162"/>
      <c r="H496" s="162"/>
      <c r="I496" s="162"/>
      <c r="J496" s="162"/>
      <c r="K496" s="162"/>
      <c r="L496" s="162"/>
      <c r="M496" s="162"/>
      <c r="N496" s="162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62"/>
      <c r="C497" s="164"/>
      <c r="D497" s="162"/>
      <c r="E497" s="162"/>
      <c r="F497" s="162"/>
      <c r="G497" s="162"/>
      <c r="H497" s="162"/>
      <c r="I497" s="162"/>
      <c r="J497" s="162"/>
      <c r="K497" s="162"/>
      <c r="L497" s="162"/>
      <c r="M497" s="162"/>
      <c r="N497" s="162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62"/>
      <c r="C498" s="164"/>
      <c r="D498" s="162"/>
      <c r="E498" s="162"/>
      <c r="F498" s="162"/>
      <c r="G498" s="162"/>
      <c r="H498" s="162"/>
      <c r="I498" s="162"/>
      <c r="J498" s="162"/>
      <c r="K498" s="162"/>
      <c r="L498" s="162"/>
      <c r="M498" s="162"/>
      <c r="N498" s="162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62"/>
      <c r="C499" s="164"/>
      <c r="D499" s="162"/>
      <c r="E499" s="162"/>
      <c r="F499" s="162"/>
      <c r="G499" s="162"/>
      <c r="H499" s="162"/>
      <c r="I499" s="162"/>
      <c r="J499" s="162"/>
      <c r="K499" s="162"/>
      <c r="L499" s="162"/>
      <c r="M499" s="162"/>
      <c r="N499" s="162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62"/>
      <c r="C500" s="164"/>
      <c r="D500" s="162"/>
      <c r="E500" s="162"/>
      <c r="F500" s="162"/>
      <c r="G500" s="162"/>
      <c r="H500" s="162"/>
      <c r="I500" s="162"/>
      <c r="J500" s="162"/>
      <c r="K500" s="162"/>
      <c r="L500" s="162"/>
      <c r="M500" s="162"/>
      <c r="N500" s="162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62"/>
      <c r="C501" s="164"/>
      <c r="D501" s="162"/>
      <c r="E501" s="162"/>
      <c r="F501" s="162"/>
      <c r="G501" s="162"/>
      <c r="H501" s="162"/>
      <c r="I501" s="162"/>
      <c r="J501" s="162"/>
      <c r="K501" s="162"/>
      <c r="L501" s="162"/>
      <c r="M501" s="162"/>
      <c r="N501" s="162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62"/>
      <c r="C502" s="164"/>
      <c r="D502" s="162"/>
      <c r="E502" s="162"/>
      <c r="F502" s="162"/>
      <c r="G502" s="162"/>
      <c r="H502" s="162"/>
      <c r="I502" s="162"/>
      <c r="J502" s="162"/>
      <c r="K502" s="162"/>
      <c r="L502" s="162"/>
      <c r="M502" s="162"/>
      <c r="N502" s="162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62"/>
      <c r="C503" s="164"/>
      <c r="D503" s="162"/>
      <c r="E503" s="162"/>
      <c r="F503" s="162"/>
      <c r="G503" s="162"/>
      <c r="H503" s="162"/>
      <c r="I503" s="162"/>
      <c r="J503" s="162"/>
      <c r="K503" s="162"/>
      <c r="L503" s="162"/>
      <c r="M503" s="162"/>
      <c r="N503" s="162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62"/>
      <c r="C504" s="164"/>
      <c r="D504" s="162"/>
      <c r="E504" s="162"/>
      <c r="F504" s="162"/>
      <c r="G504" s="162"/>
      <c r="H504" s="162"/>
      <c r="I504" s="162"/>
      <c r="J504" s="162"/>
      <c r="K504" s="162"/>
      <c r="L504" s="162"/>
      <c r="M504" s="162"/>
      <c r="N504" s="162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62"/>
      <c r="C505" s="164"/>
      <c r="D505" s="162"/>
      <c r="E505" s="162"/>
      <c r="F505" s="162"/>
      <c r="G505" s="162"/>
      <c r="H505" s="162"/>
      <c r="I505" s="162"/>
      <c r="J505" s="162"/>
      <c r="K505" s="162"/>
      <c r="L505" s="162"/>
      <c r="M505" s="162"/>
      <c r="N505" s="162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62"/>
      <c r="C506" s="164"/>
      <c r="D506" s="162"/>
      <c r="E506" s="162"/>
      <c r="F506" s="162"/>
      <c r="G506" s="162"/>
      <c r="H506" s="162"/>
      <c r="I506" s="162"/>
      <c r="J506" s="162"/>
      <c r="K506" s="162"/>
      <c r="L506" s="162"/>
      <c r="M506" s="162"/>
      <c r="N506" s="162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62"/>
      <c r="C507" s="164"/>
      <c r="D507" s="162"/>
      <c r="E507" s="162"/>
      <c r="F507" s="162"/>
      <c r="G507" s="162"/>
      <c r="H507" s="162"/>
      <c r="I507" s="162"/>
      <c r="J507" s="162"/>
      <c r="K507" s="162"/>
      <c r="L507" s="162"/>
      <c r="M507" s="162"/>
      <c r="N507" s="162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62"/>
      <c r="C508" s="164"/>
      <c r="D508" s="162"/>
      <c r="E508" s="162"/>
      <c r="F508" s="162"/>
      <c r="G508" s="162"/>
      <c r="H508" s="162"/>
      <c r="I508" s="162"/>
      <c r="J508" s="162"/>
      <c r="K508" s="162"/>
      <c r="L508" s="162"/>
      <c r="M508" s="162"/>
      <c r="N508" s="162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62"/>
      <c r="C509" s="164"/>
      <c r="D509" s="162"/>
      <c r="E509" s="162"/>
      <c r="F509" s="162"/>
      <c r="G509" s="162"/>
      <c r="H509" s="162"/>
      <c r="I509" s="162"/>
      <c r="J509" s="162"/>
      <c r="K509" s="162"/>
      <c r="L509" s="162"/>
      <c r="M509" s="162"/>
      <c r="N509" s="162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62"/>
      <c r="C510" s="164"/>
      <c r="D510" s="162"/>
      <c r="E510" s="162"/>
      <c r="F510" s="162"/>
      <c r="G510" s="162"/>
      <c r="H510" s="162"/>
      <c r="I510" s="162"/>
      <c r="J510" s="162"/>
      <c r="K510" s="162"/>
      <c r="L510" s="162"/>
      <c r="M510" s="162"/>
      <c r="N510" s="162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62"/>
      <c r="C511" s="164"/>
      <c r="D511" s="162"/>
      <c r="E511" s="162"/>
      <c r="F511" s="162"/>
      <c r="G511" s="162"/>
      <c r="H511" s="162"/>
      <c r="I511" s="162"/>
      <c r="J511" s="162"/>
      <c r="K511" s="162"/>
      <c r="L511" s="162"/>
      <c r="M511" s="162"/>
      <c r="N511" s="162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62"/>
      <c r="C512" s="164"/>
      <c r="D512" s="162"/>
      <c r="E512" s="162"/>
      <c r="F512" s="162"/>
      <c r="G512" s="162"/>
      <c r="H512" s="162"/>
      <c r="I512" s="162"/>
      <c r="J512" s="162"/>
      <c r="K512" s="162"/>
      <c r="L512" s="162"/>
      <c r="M512" s="162"/>
      <c r="N512" s="162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62"/>
      <c r="C513" s="164"/>
      <c r="D513" s="162"/>
      <c r="E513" s="162"/>
      <c r="F513" s="162"/>
      <c r="G513" s="162"/>
      <c r="H513" s="162"/>
      <c r="I513" s="162"/>
      <c r="J513" s="162"/>
      <c r="K513" s="162"/>
      <c r="L513" s="162"/>
      <c r="M513" s="162"/>
      <c r="N513" s="162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62"/>
      <c r="C514" s="164"/>
      <c r="D514" s="162"/>
      <c r="E514" s="162"/>
      <c r="F514" s="162"/>
      <c r="G514" s="162"/>
      <c r="H514" s="162"/>
      <c r="I514" s="162"/>
      <c r="J514" s="162"/>
      <c r="K514" s="162"/>
      <c r="L514" s="162"/>
      <c r="M514" s="162"/>
      <c r="N514" s="162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62"/>
      <c r="C515" s="164"/>
      <c r="D515" s="162"/>
      <c r="E515" s="162"/>
      <c r="F515" s="162"/>
      <c r="G515" s="162"/>
      <c r="H515" s="162"/>
      <c r="I515" s="162"/>
      <c r="J515" s="162"/>
      <c r="K515" s="162"/>
      <c r="L515" s="162"/>
      <c r="M515" s="162"/>
      <c r="N515" s="162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62"/>
      <c r="C516" s="164"/>
      <c r="D516" s="162"/>
      <c r="E516" s="162"/>
      <c r="F516" s="162"/>
      <c r="G516" s="162"/>
      <c r="H516" s="162"/>
      <c r="I516" s="162"/>
      <c r="J516" s="162"/>
      <c r="K516" s="162"/>
      <c r="L516" s="162"/>
      <c r="M516" s="162"/>
      <c r="N516" s="162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62"/>
      <c r="C517" s="164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62"/>
      <c r="C518" s="164"/>
      <c r="D518" s="162"/>
      <c r="E518" s="162"/>
      <c r="F518" s="162"/>
      <c r="G518" s="162"/>
      <c r="H518" s="162"/>
      <c r="I518" s="162"/>
      <c r="J518" s="162"/>
      <c r="K518" s="162"/>
      <c r="L518" s="162"/>
      <c r="M518" s="162"/>
      <c r="N518" s="162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62"/>
      <c r="C519" s="164"/>
      <c r="D519" s="162"/>
      <c r="E519" s="162"/>
      <c r="F519" s="162"/>
      <c r="G519" s="162"/>
      <c r="H519" s="162"/>
      <c r="I519" s="162"/>
      <c r="J519" s="162"/>
      <c r="K519" s="162"/>
      <c r="L519" s="162"/>
      <c r="M519" s="162"/>
      <c r="N519" s="162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62"/>
      <c r="C520" s="164"/>
      <c r="D520" s="162"/>
      <c r="E520" s="162"/>
      <c r="F520" s="162"/>
      <c r="G520" s="162"/>
      <c r="H520" s="162"/>
      <c r="I520" s="162"/>
      <c r="J520" s="162"/>
      <c r="K520" s="162"/>
      <c r="L520" s="162"/>
      <c r="M520" s="162"/>
      <c r="N520" s="162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62"/>
      <c r="C521" s="164"/>
      <c r="D521" s="162"/>
      <c r="E521" s="162"/>
      <c r="F521" s="162"/>
      <c r="G521" s="162"/>
      <c r="H521" s="162"/>
      <c r="I521" s="162"/>
      <c r="J521" s="162"/>
      <c r="K521" s="162"/>
      <c r="L521" s="162"/>
      <c r="M521" s="162"/>
      <c r="N521" s="162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62"/>
      <c r="C522" s="164"/>
      <c r="D522" s="162"/>
      <c r="E522" s="162"/>
      <c r="F522" s="162"/>
      <c r="G522" s="162"/>
      <c r="H522" s="162"/>
      <c r="I522" s="162"/>
      <c r="J522" s="162"/>
      <c r="K522" s="162"/>
      <c r="L522" s="162"/>
      <c r="M522" s="162"/>
      <c r="N522" s="162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62"/>
      <c r="C523" s="164"/>
      <c r="D523" s="162"/>
      <c r="E523" s="162"/>
      <c r="F523" s="162"/>
      <c r="G523" s="162"/>
      <c r="H523" s="162"/>
      <c r="I523" s="162"/>
      <c r="J523" s="162"/>
      <c r="K523" s="162"/>
      <c r="L523" s="162"/>
      <c r="M523" s="162"/>
      <c r="N523" s="162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62"/>
      <c r="C524" s="164"/>
      <c r="D524" s="162"/>
      <c r="E524" s="162"/>
      <c r="F524" s="162"/>
      <c r="G524" s="162"/>
      <c r="H524" s="162"/>
      <c r="I524" s="162"/>
      <c r="J524" s="162"/>
      <c r="K524" s="162"/>
      <c r="L524" s="162"/>
      <c r="M524" s="162"/>
      <c r="N524" s="162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62"/>
      <c r="C525" s="164"/>
      <c r="D525" s="162"/>
      <c r="E525" s="162"/>
      <c r="F525" s="162"/>
      <c r="G525" s="162"/>
      <c r="H525" s="162"/>
      <c r="I525" s="162"/>
      <c r="J525" s="162"/>
      <c r="K525" s="162"/>
      <c r="L525" s="162"/>
      <c r="M525" s="162"/>
      <c r="N525" s="162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62"/>
      <c r="C526" s="164"/>
      <c r="D526" s="162"/>
      <c r="E526" s="162"/>
      <c r="F526" s="162"/>
      <c r="G526" s="162"/>
      <c r="H526" s="162"/>
      <c r="I526" s="162"/>
      <c r="J526" s="162"/>
      <c r="K526" s="162"/>
      <c r="L526" s="162"/>
      <c r="M526" s="162"/>
      <c r="N526" s="162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62"/>
      <c r="C527" s="164"/>
      <c r="D527" s="162"/>
      <c r="E527" s="162"/>
      <c r="F527" s="162"/>
      <c r="G527" s="162"/>
      <c r="H527" s="162"/>
      <c r="I527" s="162"/>
      <c r="J527" s="162"/>
      <c r="K527" s="162"/>
      <c r="L527" s="162"/>
      <c r="M527" s="162"/>
      <c r="N527" s="162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62"/>
      <c r="C528" s="164"/>
      <c r="D528" s="162"/>
      <c r="E528" s="162"/>
      <c r="F528" s="162"/>
      <c r="G528" s="162"/>
      <c r="H528" s="162"/>
      <c r="I528" s="162"/>
      <c r="J528" s="162"/>
      <c r="K528" s="162"/>
      <c r="L528" s="162"/>
      <c r="M528" s="162"/>
      <c r="N528" s="162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62"/>
      <c r="C529" s="164"/>
      <c r="D529" s="162"/>
      <c r="E529" s="162"/>
      <c r="F529" s="162"/>
      <c r="G529" s="162"/>
      <c r="H529" s="162"/>
      <c r="I529" s="162"/>
      <c r="J529" s="162"/>
      <c r="K529" s="162"/>
      <c r="L529" s="162"/>
      <c r="M529" s="162"/>
      <c r="N529" s="162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62"/>
      <c r="C530" s="164"/>
      <c r="D530" s="162"/>
      <c r="E530" s="162"/>
      <c r="F530" s="162"/>
      <c r="G530" s="162"/>
      <c r="H530" s="162"/>
      <c r="I530" s="162"/>
      <c r="J530" s="162"/>
      <c r="K530" s="162"/>
      <c r="L530" s="162"/>
      <c r="M530" s="162"/>
      <c r="N530" s="162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62"/>
      <c r="C531" s="164"/>
      <c r="D531" s="162"/>
      <c r="E531" s="162"/>
      <c r="F531" s="162"/>
      <c r="G531" s="162"/>
      <c r="H531" s="162"/>
      <c r="I531" s="162"/>
      <c r="J531" s="162"/>
      <c r="K531" s="162"/>
      <c r="L531" s="162"/>
      <c r="M531" s="162"/>
      <c r="N531" s="162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62"/>
      <c r="C532" s="164"/>
      <c r="D532" s="162"/>
      <c r="E532" s="162"/>
      <c r="F532" s="162"/>
      <c r="G532" s="162"/>
      <c r="H532" s="162"/>
      <c r="I532" s="162"/>
      <c r="J532" s="162"/>
      <c r="K532" s="162"/>
      <c r="L532" s="162"/>
      <c r="M532" s="162"/>
      <c r="N532" s="162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62"/>
      <c r="C533" s="164"/>
      <c r="D533" s="162"/>
      <c r="E533" s="162"/>
      <c r="F533" s="162"/>
      <c r="G533" s="162"/>
      <c r="H533" s="162"/>
      <c r="I533" s="162"/>
      <c r="J533" s="162"/>
      <c r="K533" s="162"/>
      <c r="L533" s="162"/>
      <c r="M533" s="162"/>
      <c r="N533" s="162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62"/>
      <c r="C534" s="164"/>
      <c r="D534" s="162"/>
      <c r="E534" s="162"/>
      <c r="F534" s="162"/>
      <c r="G534" s="162"/>
      <c r="H534" s="162"/>
      <c r="I534" s="162"/>
      <c r="J534" s="162"/>
      <c r="K534" s="162"/>
      <c r="L534" s="162"/>
      <c r="M534" s="162"/>
      <c r="N534" s="162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62"/>
      <c r="C535" s="164"/>
      <c r="D535" s="162"/>
      <c r="E535" s="162"/>
      <c r="F535" s="162"/>
      <c r="G535" s="162"/>
      <c r="H535" s="162"/>
      <c r="I535" s="162"/>
      <c r="J535" s="162"/>
      <c r="K535" s="162"/>
      <c r="L535" s="162"/>
      <c r="M535" s="162"/>
      <c r="N535" s="162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62"/>
      <c r="C536" s="164"/>
      <c r="D536" s="162"/>
      <c r="E536" s="162"/>
      <c r="F536" s="162"/>
      <c r="G536" s="162"/>
      <c r="H536" s="162"/>
      <c r="I536" s="162"/>
      <c r="J536" s="162"/>
      <c r="K536" s="162"/>
      <c r="L536" s="162"/>
      <c r="M536" s="162"/>
      <c r="N536" s="162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62"/>
      <c r="C537" s="164"/>
      <c r="D537" s="162"/>
      <c r="E537" s="162"/>
      <c r="F537" s="162"/>
      <c r="G537" s="162"/>
      <c r="H537" s="162"/>
      <c r="I537" s="162"/>
      <c r="J537" s="162"/>
      <c r="K537" s="162"/>
      <c r="L537" s="162"/>
      <c r="M537" s="162"/>
      <c r="N537" s="162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62"/>
      <c r="C538" s="164"/>
      <c r="D538" s="162"/>
      <c r="E538" s="162"/>
      <c r="F538" s="162"/>
      <c r="G538" s="162"/>
      <c r="H538" s="162"/>
      <c r="I538" s="162"/>
      <c r="J538" s="162"/>
      <c r="K538" s="162"/>
      <c r="L538" s="162"/>
      <c r="M538" s="162"/>
      <c r="N538" s="162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62"/>
      <c r="C539" s="164"/>
      <c r="D539" s="162"/>
      <c r="E539" s="162"/>
      <c r="F539" s="162"/>
      <c r="G539" s="162"/>
      <c r="H539" s="162"/>
      <c r="I539" s="162"/>
      <c r="J539" s="162"/>
      <c r="K539" s="162"/>
      <c r="L539" s="162"/>
      <c r="M539" s="162"/>
      <c r="N539" s="162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62"/>
      <c r="C540" s="164"/>
      <c r="D540" s="162"/>
      <c r="E540" s="162"/>
      <c r="F540" s="162"/>
      <c r="G540" s="162"/>
      <c r="H540" s="162"/>
      <c r="I540" s="162"/>
      <c r="J540" s="162"/>
      <c r="K540" s="162"/>
      <c r="L540" s="162"/>
      <c r="M540" s="162"/>
      <c r="N540" s="162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62"/>
      <c r="C541" s="164"/>
      <c r="D541" s="162"/>
      <c r="E541" s="162"/>
      <c r="F541" s="162"/>
      <c r="G541" s="162"/>
      <c r="H541" s="162"/>
      <c r="I541" s="162"/>
      <c r="J541" s="162"/>
      <c r="K541" s="162"/>
      <c r="L541" s="162"/>
      <c r="M541" s="162"/>
      <c r="N541" s="162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62"/>
      <c r="C542" s="164"/>
      <c r="D542" s="162"/>
      <c r="E542" s="162"/>
      <c r="F542" s="162"/>
      <c r="G542" s="162"/>
      <c r="H542" s="162"/>
      <c r="I542" s="162"/>
      <c r="J542" s="162"/>
      <c r="K542" s="162"/>
      <c r="L542" s="162"/>
      <c r="M542" s="162"/>
      <c r="N542" s="162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62"/>
      <c r="C543" s="164"/>
      <c r="D543" s="162"/>
      <c r="E543" s="162"/>
      <c r="F543" s="162"/>
      <c r="G543" s="162"/>
      <c r="H543" s="162"/>
      <c r="I543" s="162"/>
      <c r="J543" s="162"/>
      <c r="K543" s="162"/>
      <c r="L543" s="162"/>
      <c r="M543" s="162"/>
      <c r="N543" s="162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62"/>
      <c r="C544" s="164"/>
      <c r="D544" s="162"/>
      <c r="E544" s="162"/>
      <c r="F544" s="162"/>
      <c r="G544" s="162"/>
      <c r="H544" s="162"/>
      <c r="I544" s="162"/>
      <c r="J544" s="162"/>
      <c r="K544" s="162"/>
      <c r="L544" s="162"/>
      <c r="M544" s="162"/>
      <c r="N544" s="162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62"/>
      <c r="C545" s="164"/>
      <c r="D545" s="162"/>
      <c r="E545" s="162"/>
      <c r="F545" s="162"/>
      <c r="G545" s="162"/>
      <c r="H545" s="162"/>
      <c r="I545" s="162"/>
      <c r="J545" s="162"/>
      <c r="K545" s="162"/>
      <c r="L545" s="162"/>
      <c r="M545" s="162"/>
      <c r="N545" s="162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62"/>
      <c r="C546" s="164"/>
      <c r="D546" s="162"/>
      <c r="E546" s="162"/>
      <c r="F546" s="162"/>
      <c r="G546" s="162"/>
      <c r="H546" s="162"/>
      <c r="I546" s="162"/>
      <c r="J546" s="162"/>
      <c r="K546" s="162"/>
      <c r="L546" s="162"/>
      <c r="M546" s="162"/>
      <c r="N546" s="162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62"/>
      <c r="C547" s="164"/>
      <c r="D547" s="162"/>
      <c r="E547" s="162"/>
      <c r="F547" s="162"/>
      <c r="G547" s="162"/>
      <c r="H547" s="162"/>
      <c r="I547" s="162"/>
      <c r="J547" s="162"/>
      <c r="K547" s="162"/>
      <c r="L547" s="162"/>
      <c r="M547" s="162"/>
      <c r="N547" s="162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62"/>
      <c r="C548" s="164"/>
      <c r="D548" s="162"/>
      <c r="E548" s="162"/>
      <c r="F548" s="162"/>
      <c r="G548" s="162"/>
      <c r="H548" s="162"/>
      <c r="I548" s="162"/>
      <c r="J548" s="162"/>
      <c r="K548" s="162"/>
      <c r="L548" s="162"/>
      <c r="M548" s="162"/>
      <c r="N548" s="162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62"/>
      <c r="C549" s="164"/>
      <c r="D549" s="162"/>
      <c r="E549" s="162"/>
      <c r="F549" s="162"/>
      <c r="G549" s="162"/>
      <c r="H549" s="162"/>
      <c r="I549" s="162"/>
      <c r="J549" s="162"/>
      <c r="K549" s="162"/>
      <c r="L549" s="162"/>
      <c r="M549" s="162"/>
      <c r="N549" s="162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62"/>
      <c r="C550" s="164"/>
      <c r="D550" s="162"/>
      <c r="E550" s="162"/>
      <c r="F550" s="162"/>
      <c r="G550" s="162"/>
      <c r="H550" s="162"/>
      <c r="I550" s="162"/>
      <c r="J550" s="162"/>
      <c r="K550" s="162"/>
      <c r="L550" s="162"/>
      <c r="M550" s="162"/>
      <c r="N550" s="162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62"/>
      <c r="C551" s="164"/>
      <c r="D551" s="162"/>
      <c r="E551" s="162"/>
      <c r="F551" s="162"/>
      <c r="G551" s="162"/>
      <c r="H551" s="162"/>
      <c r="I551" s="162"/>
      <c r="J551" s="162"/>
      <c r="K551" s="162"/>
      <c r="L551" s="162"/>
      <c r="M551" s="162"/>
      <c r="N551" s="162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62"/>
      <c r="C552" s="164"/>
      <c r="D552" s="162"/>
      <c r="E552" s="162"/>
      <c r="F552" s="162"/>
      <c r="G552" s="162"/>
      <c r="H552" s="162"/>
      <c r="I552" s="162"/>
      <c r="J552" s="162"/>
      <c r="K552" s="162"/>
      <c r="L552" s="162"/>
      <c r="M552" s="162"/>
      <c r="N552" s="162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62"/>
      <c r="C553" s="164"/>
      <c r="D553" s="162"/>
      <c r="E553" s="162"/>
      <c r="F553" s="162"/>
      <c r="G553" s="162"/>
      <c r="H553" s="162"/>
      <c r="I553" s="162"/>
      <c r="J553" s="162"/>
      <c r="K553" s="162"/>
      <c r="L553" s="162"/>
      <c r="M553" s="162"/>
      <c r="N553" s="162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62"/>
      <c r="C554" s="164"/>
      <c r="D554" s="162"/>
      <c r="E554" s="162"/>
      <c r="F554" s="162"/>
      <c r="G554" s="162"/>
      <c r="H554" s="162"/>
      <c r="I554" s="162"/>
      <c r="J554" s="162"/>
      <c r="K554" s="162"/>
      <c r="L554" s="162"/>
      <c r="M554" s="162"/>
      <c r="N554" s="162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62"/>
      <c r="C555" s="164"/>
      <c r="D555" s="162"/>
      <c r="E555" s="162"/>
      <c r="F555" s="162"/>
      <c r="G555" s="162"/>
      <c r="H555" s="162"/>
      <c r="I555" s="162"/>
      <c r="J555" s="162"/>
      <c r="K555" s="162"/>
      <c r="L555" s="162"/>
      <c r="M555" s="162"/>
      <c r="N555" s="162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62"/>
      <c r="C556" s="164"/>
      <c r="D556" s="162"/>
      <c r="E556" s="162"/>
      <c r="F556" s="162"/>
      <c r="G556" s="162"/>
      <c r="H556" s="162"/>
      <c r="I556" s="162"/>
      <c r="J556" s="162"/>
      <c r="K556" s="162"/>
      <c r="L556" s="162"/>
      <c r="M556" s="162"/>
      <c r="N556" s="162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62"/>
      <c r="C557" s="164"/>
      <c r="D557" s="162"/>
      <c r="E557" s="162"/>
      <c r="F557" s="162"/>
      <c r="G557" s="162"/>
      <c r="H557" s="162"/>
      <c r="I557" s="162"/>
      <c r="J557" s="162"/>
      <c r="K557" s="162"/>
      <c r="L557" s="162"/>
      <c r="M557" s="162"/>
      <c r="N557" s="162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62"/>
      <c r="C558" s="164"/>
      <c r="D558" s="162"/>
      <c r="E558" s="162"/>
      <c r="F558" s="162"/>
      <c r="G558" s="162"/>
      <c r="H558" s="162"/>
      <c r="I558" s="162"/>
      <c r="J558" s="162"/>
      <c r="K558" s="162"/>
      <c r="L558" s="162"/>
      <c r="M558" s="162"/>
      <c r="N558" s="162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62"/>
      <c r="C559" s="164"/>
      <c r="D559" s="162"/>
      <c r="E559" s="162"/>
      <c r="F559" s="162"/>
      <c r="G559" s="162"/>
      <c r="H559" s="162"/>
      <c r="I559" s="162"/>
      <c r="J559" s="162"/>
      <c r="K559" s="162"/>
      <c r="L559" s="162"/>
      <c r="M559" s="162"/>
      <c r="N559" s="162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62"/>
      <c r="C560" s="164"/>
      <c r="D560" s="162"/>
      <c r="E560" s="162"/>
      <c r="F560" s="162"/>
      <c r="G560" s="162"/>
      <c r="H560" s="162"/>
      <c r="I560" s="162"/>
      <c r="J560" s="162"/>
      <c r="K560" s="162"/>
      <c r="L560" s="162"/>
      <c r="M560" s="162"/>
      <c r="N560" s="162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62"/>
      <c r="C561" s="164"/>
      <c r="D561" s="162"/>
      <c r="E561" s="162"/>
      <c r="F561" s="162"/>
      <c r="G561" s="162"/>
      <c r="H561" s="162"/>
      <c r="I561" s="162"/>
      <c r="J561" s="162"/>
      <c r="K561" s="162"/>
      <c r="L561" s="162"/>
      <c r="M561" s="162"/>
      <c r="N561" s="162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62"/>
      <c r="C562" s="164"/>
      <c r="D562" s="162"/>
      <c r="E562" s="162"/>
      <c r="F562" s="162"/>
      <c r="G562" s="162"/>
      <c r="H562" s="162"/>
      <c r="I562" s="162"/>
      <c r="J562" s="162"/>
      <c r="K562" s="162"/>
      <c r="L562" s="162"/>
      <c r="M562" s="162"/>
      <c r="N562" s="162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62"/>
      <c r="C563" s="164"/>
      <c r="D563" s="162"/>
      <c r="E563" s="162"/>
      <c r="F563" s="162"/>
      <c r="G563" s="162"/>
      <c r="H563" s="162"/>
      <c r="I563" s="162"/>
      <c r="J563" s="162"/>
      <c r="K563" s="162"/>
      <c r="L563" s="162"/>
      <c r="M563" s="162"/>
      <c r="N563" s="162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62"/>
      <c r="C564" s="164"/>
      <c r="D564" s="162"/>
      <c r="E564" s="162"/>
      <c r="F564" s="162"/>
      <c r="G564" s="162"/>
      <c r="H564" s="162"/>
      <c r="I564" s="162"/>
      <c r="J564" s="162"/>
      <c r="K564" s="162"/>
      <c r="L564" s="162"/>
      <c r="M564" s="162"/>
      <c r="N564" s="162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62"/>
      <c r="C565" s="164"/>
      <c r="D565" s="162"/>
      <c r="E565" s="162"/>
      <c r="F565" s="162"/>
      <c r="G565" s="162"/>
      <c r="H565" s="162"/>
      <c r="I565" s="162"/>
      <c r="J565" s="162"/>
      <c r="K565" s="162"/>
      <c r="L565" s="162"/>
      <c r="M565" s="162"/>
      <c r="N565" s="162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62"/>
      <c r="C566" s="164"/>
      <c r="D566" s="162"/>
      <c r="E566" s="162"/>
      <c r="F566" s="162"/>
      <c r="G566" s="162"/>
      <c r="H566" s="162"/>
      <c r="I566" s="162"/>
      <c r="J566" s="162"/>
      <c r="K566" s="162"/>
      <c r="L566" s="162"/>
      <c r="M566" s="162"/>
      <c r="N566" s="162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62"/>
      <c r="C567" s="164"/>
      <c r="D567" s="162"/>
      <c r="E567" s="162"/>
      <c r="F567" s="162"/>
      <c r="G567" s="162"/>
      <c r="H567" s="162"/>
      <c r="I567" s="162"/>
      <c r="J567" s="162"/>
      <c r="K567" s="162"/>
      <c r="L567" s="162"/>
      <c r="M567" s="162"/>
      <c r="N567" s="162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62"/>
      <c r="C568" s="164"/>
      <c r="D568" s="162"/>
      <c r="E568" s="162"/>
      <c r="F568" s="162"/>
      <c r="G568" s="162"/>
      <c r="H568" s="162"/>
      <c r="I568" s="162"/>
      <c r="J568" s="162"/>
      <c r="K568" s="162"/>
      <c r="L568" s="162"/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62"/>
      <c r="C569" s="164"/>
      <c r="D569" s="162"/>
      <c r="E569" s="162"/>
      <c r="F569" s="162"/>
      <c r="G569" s="162"/>
      <c r="H569" s="162"/>
      <c r="I569" s="162"/>
      <c r="J569" s="162"/>
      <c r="K569" s="162"/>
      <c r="L569" s="162"/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62"/>
      <c r="C570" s="164"/>
      <c r="D570" s="162"/>
      <c r="E570" s="162"/>
      <c r="F570" s="162"/>
      <c r="G570" s="162"/>
      <c r="H570" s="162"/>
      <c r="I570" s="162"/>
      <c r="J570" s="162"/>
      <c r="K570" s="162"/>
      <c r="L570" s="162"/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62"/>
      <c r="C571" s="164"/>
      <c r="D571" s="162"/>
      <c r="E571" s="162"/>
      <c r="F571" s="162"/>
      <c r="G571" s="162"/>
      <c r="H571" s="162"/>
      <c r="I571" s="162"/>
      <c r="J571" s="162"/>
      <c r="K571" s="162"/>
      <c r="L571" s="162"/>
      <c r="M571" s="162"/>
      <c r="N571" s="162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62"/>
      <c r="C572" s="164"/>
      <c r="D572" s="162"/>
      <c r="E572" s="162"/>
      <c r="F572" s="162"/>
      <c r="G572" s="162"/>
      <c r="H572" s="162"/>
      <c r="I572" s="162"/>
      <c r="J572" s="162"/>
      <c r="K572" s="162"/>
      <c r="L572" s="162"/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62"/>
      <c r="C573" s="164"/>
      <c r="D573" s="162"/>
      <c r="E573" s="162"/>
      <c r="F573" s="162"/>
      <c r="G573" s="162"/>
      <c r="H573" s="162"/>
      <c r="I573" s="162"/>
      <c r="J573" s="162"/>
      <c r="K573" s="162"/>
      <c r="L573" s="162"/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62"/>
      <c r="C574" s="164"/>
      <c r="D574" s="162"/>
      <c r="E574" s="162"/>
      <c r="F574" s="162"/>
      <c r="G574" s="162"/>
      <c r="H574" s="162"/>
      <c r="I574" s="162"/>
      <c r="J574" s="162"/>
      <c r="K574" s="162"/>
      <c r="L574" s="162"/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62"/>
      <c r="C575" s="164"/>
      <c r="D575" s="162"/>
      <c r="E575" s="162"/>
      <c r="F575" s="162"/>
      <c r="G575" s="162"/>
      <c r="H575" s="162"/>
      <c r="I575" s="162"/>
      <c r="J575" s="162"/>
      <c r="K575" s="162"/>
      <c r="L575" s="162"/>
      <c r="M575" s="162"/>
      <c r="N575" s="162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62"/>
      <c r="C576" s="164"/>
      <c r="D576" s="162"/>
      <c r="E576" s="162"/>
      <c r="F576" s="162"/>
      <c r="G576" s="162"/>
      <c r="H576" s="162"/>
      <c r="I576" s="162"/>
      <c r="J576" s="162"/>
      <c r="K576" s="162"/>
      <c r="L576" s="162"/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62"/>
      <c r="C577" s="164"/>
      <c r="D577" s="162"/>
      <c r="E577" s="162"/>
      <c r="F577" s="162"/>
      <c r="G577" s="162"/>
      <c r="H577" s="162"/>
      <c r="I577" s="162"/>
      <c r="J577" s="162"/>
      <c r="K577" s="162"/>
      <c r="L577" s="162"/>
      <c r="M577" s="162"/>
      <c r="N577" s="162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62"/>
      <c r="C578" s="164"/>
      <c r="D578" s="162"/>
      <c r="E578" s="162"/>
      <c r="F578" s="162"/>
      <c r="G578" s="162"/>
      <c r="H578" s="162"/>
      <c r="I578" s="162"/>
      <c r="J578" s="162"/>
      <c r="K578" s="162"/>
      <c r="L578" s="162"/>
      <c r="M578" s="162"/>
      <c r="N578" s="162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62"/>
      <c r="C579" s="164"/>
      <c r="D579" s="162"/>
      <c r="E579" s="162"/>
      <c r="F579" s="162"/>
      <c r="G579" s="162"/>
      <c r="H579" s="162"/>
      <c r="I579" s="162"/>
      <c r="J579" s="162"/>
      <c r="K579" s="162"/>
      <c r="L579" s="162"/>
      <c r="M579" s="162"/>
      <c r="N579" s="162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62"/>
      <c r="C580" s="164"/>
      <c r="D580" s="162"/>
      <c r="E580" s="162"/>
      <c r="F580" s="162"/>
      <c r="G580" s="162"/>
      <c r="H580" s="162"/>
      <c r="I580" s="162"/>
      <c r="J580" s="162"/>
      <c r="K580" s="162"/>
      <c r="L580" s="162"/>
      <c r="M580" s="162"/>
      <c r="N580" s="162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62"/>
      <c r="C581" s="164"/>
      <c r="D581" s="162"/>
      <c r="E581" s="162"/>
      <c r="F581" s="162"/>
      <c r="G581" s="162"/>
      <c r="H581" s="162"/>
      <c r="I581" s="162"/>
      <c r="J581" s="162"/>
      <c r="K581" s="162"/>
      <c r="L581" s="162"/>
      <c r="M581" s="162"/>
      <c r="N581" s="162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62"/>
      <c r="C582" s="164"/>
      <c r="D582" s="162"/>
      <c r="E582" s="162"/>
      <c r="F582" s="162"/>
      <c r="G582" s="162"/>
      <c r="H582" s="162"/>
      <c r="I582" s="162"/>
      <c r="J582" s="162"/>
      <c r="K582" s="162"/>
      <c r="L582" s="162"/>
      <c r="M582" s="162"/>
      <c r="N582" s="162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62"/>
      <c r="C583" s="164"/>
      <c r="D583" s="162"/>
      <c r="E583" s="162"/>
      <c r="F583" s="162"/>
      <c r="G583" s="162"/>
      <c r="H583" s="162"/>
      <c r="I583" s="162"/>
      <c r="J583" s="162"/>
      <c r="K583" s="162"/>
      <c r="L583" s="162"/>
      <c r="M583" s="162"/>
      <c r="N583" s="162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62"/>
      <c r="C584" s="164"/>
      <c r="D584" s="162"/>
      <c r="E584" s="162"/>
      <c r="F584" s="162"/>
      <c r="G584" s="162"/>
      <c r="H584" s="162"/>
      <c r="I584" s="162"/>
      <c r="J584" s="162"/>
      <c r="K584" s="162"/>
      <c r="L584" s="162"/>
      <c r="M584" s="162"/>
      <c r="N584" s="162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62"/>
      <c r="C585" s="164"/>
      <c r="D585" s="162"/>
      <c r="E585" s="162"/>
      <c r="F585" s="162"/>
      <c r="G585" s="162"/>
      <c r="H585" s="162"/>
      <c r="I585" s="162"/>
      <c r="J585" s="162"/>
      <c r="K585" s="162"/>
      <c r="L585" s="162"/>
      <c r="M585" s="162"/>
      <c r="N585" s="162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62"/>
      <c r="C586" s="164"/>
      <c r="D586" s="162"/>
      <c r="E586" s="162"/>
      <c r="F586" s="162"/>
      <c r="G586" s="162"/>
      <c r="H586" s="162"/>
      <c r="I586" s="162"/>
      <c r="J586" s="162"/>
      <c r="K586" s="162"/>
      <c r="L586" s="162"/>
      <c r="M586" s="162"/>
      <c r="N586" s="162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62"/>
      <c r="C587" s="164"/>
      <c r="D587" s="162"/>
      <c r="E587" s="162"/>
      <c r="F587" s="162"/>
      <c r="G587" s="162"/>
      <c r="H587" s="162"/>
      <c r="I587" s="162"/>
      <c r="J587" s="162"/>
      <c r="K587" s="162"/>
      <c r="L587" s="162"/>
      <c r="M587" s="162"/>
      <c r="N587" s="162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62"/>
      <c r="C588" s="164"/>
      <c r="D588" s="162"/>
      <c r="E588" s="162"/>
      <c r="F588" s="162"/>
      <c r="G588" s="162"/>
      <c r="H588" s="162"/>
      <c r="I588" s="162"/>
      <c r="J588" s="162"/>
      <c r="K588" s="162"/>
      <c r="L588" s="162"/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62"/>
      <c r="C589" s="164"/>
      <c r="D589" s="162"/>
      <c r="E589" s="162"/>
      <c r="F589" s="162"/>
      <c r="G589" s="162"/>
      <c r="H589" s="162"/>
      <c r="I589" s="162"/>
      <c r="J589" s="162"/>
      <c r="K589" s="16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62"/>
      <c r="C590" s="164"/>
      <c r="D590" s="162"/>
      <c r="E590" s="162"/>
      <c r="F590" s="162"/>
      <c r="G590" s="162"/>
      <c r="H590" s="162"/>
      <c r="I590" s="162"/>
      <c r="J590" s="162"/>
      <c r="K590" s="162"/>
      <c r="L590" s="162"/>
      <c r="M590" s="162"/>
      <c r="N590" s="162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62"/>
      <c r="C591" s="164"/>
      <c r="D591" s="162"/>
      <c r="E591" s="162"/>
      <c r="F591" s="162"/>
      <c r="G591" s="162"/>
      <c r="H591" s="162"/>
      <c r="I591" s="162"/>
      <c r="J591" s="162"/>
      <c r="K591" s="162"/>
      <c r="L591" s="162"/>
      <c r="M591" s="162"/>
      <c r="N591" s="162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62"/>
      <c r="C592" s="164"/>
      <c r="D592" s="162"/>
      <c r="E592" s="162"/>
      <c r="F592" s="162"/>
      <c r="G592" s="162"/>
      <c r="H592" s="162"/>
      <c r="I592" s="162"/>
      <c r="J592" s="162"/>
      <c r="K592" s="162"/>
      <c r="L592" s="162"/>
      <c r="M592" s="162"/>
      <c r="N592" s="162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62"/>
      <c r="C593" s="164"/>
      <c r="D593" s="162"/>
      <c r="E593" s="162"/>
      <c r="F593" s="162"/>
      <c r="G593" s="162"/>
      <c r="H593" s="162"/>
      <c r="I593" s="162"/>
      <c r="J593" s="162"/>
      <c r="K593" s="162"/>
      <c r="L593" s="162"/>
      <c r="M593" s="162"/>
      <c r="N593" s="162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62"/>
      <c r="C594" s="164"/>
      <c r="D594" s="162"/>
      <c r="E594" s="162"/>
      <c r="F594" s="162"/>
      <c r="G594" s="162"/>
      <c r="H594" s="162"/>
      <c r="I594" s="162"/>
      <c r="J594" s="162"/>
      <c r="K594" s="162"/>
      <c r="L594" s="162"/>
      <c r="M594" s="162"/>
      <c r="N594" s="162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62"/>
      <c r="C595" s="164"/>
      <c r="D595" s="162"/>
      <c r="E595" s="162"/>
      <c r="F595" s="162"/>
      <c r="G595" s="162"/>
      <c r="H595" s="162"/>
      <c r="I595" s="162"/>
      <c r="J595" s="162"/>
      <c r="K595" s="162"/>
      <c r="L595" s="162"/>
      <c r="M595" s="162"/>
      <c r="N595" s="162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62"/>
      <c r="C596" s="164"/>
      <c r="D596" s="162"/>
      <c r="E596" s="162"/>
      <c r="F596" s="162"/>
      <c r="G596" s="162"/>
      <c r="H596" s="162"/>
      <c r="I596" s="162"/>
      <c r="J596" s="162"/>
      <c r="K596" s="162"/>
      <c r="L596" s="162"/>
      <c r="M596" s="162"/>
      <c r="N596" s="162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62"/>
      <c r="C597" s="164"/>
      <c r="D597" s="162"/>
      <c r="E597" s="162"/>
      <c r="F597" s="162"/>
      <c r="G597" s="162"/>
      <c r="H597" s="162"/>
      <c r="I597" s="162"/>
      <c r="J597" s="162"/>
      <c r="K597" s="162"/>
      <c r="L597" s="162"/>
      <c r="M597" s="162"/>
      <c r="N597" s="162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62"/>
      <c r="C598" s="164"/>
      <c r="D598" s="162"/>
      <c r="E598" s="162"/>
      <c r="F598" s="162"/>
      <c r="G598" s="162"/>
      <c r="H598" s="162"/>
      <c r="I598" s="162"/>
      <c r="J598" s="162"/>
      <c r="K598" s="162"/>
      <c r="L598" s="162"/>
      <c r="M598" s="162"/>
      <c r="N598" s="162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62"/>
      <c r="C599" s="164"/>
      <c r="D599" s="162"/>
      <c r="E599" s="162"/>
      <c r="F599" s="162"/>
      <c r="G599" s="162"/>
      <c r="H599" s="162"/>
      <c r="I599" s="162"/>
      <c r="J599" s="162"/>
      <c r="K599" s="162"/>
      <c r="L599" s="162"/>
      <c r="M599" s="162"/>
      <c r="N599" s="162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62"/>
      <c r="C600" s="164"/>
      <c r="D600" s="162"/>
      <c r="E600" s="162"/>
      <c r="F600" s="162"/>
      <c r="G600" s="162"/>
      <c r="H600" s="162"/>
      <c r="I600" s="162"/>
      <c r="J600" s="162"/>
      <c r="K600" s="162"/>
      <c r="L600" s="162"/>
      <c r="M600" s="162"/>
      <c r="N600" s="162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62"/>
      <c r="C601" s="164"/>
      <c r="D601" s="162"/>
      <c r="E601" s="162"/>
      <c r="F601" s="162"/>
      <c r="G601" s="162"/>
      <c r="H601" s="162"/>
      <c r="I601" s="162"/>
      <c r="J601" s="162"/>
      <c r="K601" s="162"/>
      <c r="L601" s="162"/>
      <c r="M601" s="162"/>
      <c r="N601" s="162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62"/>
      <c r="C602" s="164"/>
      <c r="D602" s="162"/>
      <c r="E602" s="162"/>
      <c r="F602" s="162"/>
      <c r="G602" s="162"/>
      <c r="H602" s="162"/>
      <c r="I602" s="162"/>
      <c r="J602" s="162"/>
      <c r="K602" s="162"/>
      <c r="L602" s="162"/>
      <c r="M602" s="162"/>
      <c r="N602" s="162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62"/>
      <c r="C603" s="164"/>
      <c r="D603" s="162"/>
      <c r="E603" s="162"/>
      <c r="F603" s="162"/>
      <c r="G603" s="162"/>
      <c r="H603" s="162"/>
      <c r="I603" s="162"/>
      <c r="J603" s="162"/>
      <c r="K603" s="162"/>
      <c r="L603" s="162"/>
      <c r="M603" s="162"/>
      <c r="N603" s="162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62"/>
      <c r="C604" s="164"/>
      <c r="D604" s="162"/>
      <c r="E604" s="162"/>
      <c r="F604" s="162"/>
      <c r="G604" s="162"/>
      <c r="H604" s="162"/>
      <c r="I604" s="162"/>
      <c r="J604" s="162"/>
      <c r="K604" s="162"/>
      <c r="L604" s="162"/>
      <c r="M604" s="162"/>
      <c r="N604" s="162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62"/>
      <c r="C605" s="164"/>
      <c r="D605" s="162"/>
      <c r="E605" s="162"/>
      <c r="F605" s="162"/>
      <c r="G605" s="162"/>
      <c r="H605" s="162"/>
      <c r="I605" s="162"/>
      <c r="J605" s="162"/>
      <c r="K605" s="162"/>
      <c r="L605" s="162"/>
      <c r="M605" s="162"/>
      <c r="N605" s="162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62"/>
      <c r="C606" s="164"/>
      <c r="D606" s="162"/>
      <c r="E606" s="162"/>
      <c r="F606" s="162"/>
      <c r="G606" s="162"/>
      <c r="H606" s="162"/>
      <c r="I606" s="162"/>
      <c r="J606" s="162"/>
      <c r="K606" s="162"/>
      <c r="L606" s="162"/>
      <c r="M606" s="162"/>
      <c r="N606" s="162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62"/>
      <c r="C607" s="164"/>
      <c r="D607" s="162"/>
      <c r="E607" s="162"/>
      <c r="F607" s="162"/>
      <c r="G607" s="162"/>
      <c r="H607" s="162"/>
      <c r="I607" s="162"/>
      <c r="J607" s="162"/>
      <c r="K607" s="162"/>
      <c r="L607" s="162"/>
      <c r="M607" s="162"/>
      <c r="N607" s="162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62"/>
      <c r="C608" s="164"/>
      <c r="D608" s="162"/>
      <c r="E608" s="162"/>
      <c r="F608" s="162"/>
      <c r="G608" s="162"/>
      <c r="H608" s="162"/>
      <c r="I608" s="162"/>
      <c r="J608" s="162"/>
      <c r="K608" s="162"/>
      <c r="L608" s="162"/>
      <c r="M608" s="162"/>
      <c r="N608" s="162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62"/>
      <c r="C609" s="164"/>
      <c r="D609" s="162"/>
      <c r="E609" s="162"/>
      <c r="F609" s="162"/>
      <c r="G609" s="162"/>
      <c r="H609" s="162"/>
      <c r="I609" s="162"/>
      <c r="J609" s="162"/>
      <c r="K609" s="162"/>
      <c r="L609" s="162"/>
      <c r="M609" s="162"/>
      <c r="N609" s="162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62"/>
      <c r="C610" s="164"/>
      <c r="D610" s="162"/>
      <c r="E610" s="162"/>
      <c r="F610" s="162"/>
      <c r="G610" s="162"/>
      <c r="H610" s="162"/>
      <c r="I610" s="162"/>
      <c r="J610" s="162"/>
      <c r="K610" s="162"/>
      <c r="L610" s="162"/>
      <c r="M610" s="162"/>
      <c r="N610" s="162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62"/>
      <c r="C611" s="164"/>
      <c r="D611" s="162"/>
      <c r="E611" s="162"/>
      <c r="F611" s="162"/>
      <c r="G611" s="162"/>
      <c r="H611" s="162"/>
      <c r="I611" s="162"/>
      <c r="J611" s="162"/>
      <c r="K611" s="162"/>
      <c r="L611" s="162"/>
      <c r="M611" s="162"/>
      <c r="N611" s="162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62"/>
      <c r="C612" s="164"/>
      <c r="D612" s="162"/>
      <c r="E612" s="162"/>
      <c r="F612" s="162"/>
      <c r="G612" s="162"/>
      <c r="H612" s="162"/>
      <c r="I612" s="162"/>
      <c r="J612" s="162"/>
      <c r="K612" s="162"/>
      <c r="L612" s="162"/>
      <c r="M612" s="162"/>
      <c r="N612" s="162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62"/>
      <c r="C613" s="164"/>
      <c r="D613" s="162"/>
      <c r="E613" s="162"/>
      <c r="F613" s="162"/>
      <c r="G613" s="162"/>
      <c r="H613" s="162"/>
      <c r="I613" s="162"/>
      <c r="J613" s="162"/>
      <c r="K613" s="162"/>
      <c r="L613" s="162"/>
      <c r="M613" s="162"/>
      <c r="N613" s="162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62"/>
      <c r="C614" s="164"/>
      <c r="D614" s="162"/>
      <c r="E614" s="162"/>
      <c r="F614" s="162"/>
      <c r="G614" s="162"/>
      <c r="H614" s="162"/>
      <c r="I614" s="162"/>
      <c r="J614" s="162"/>
      <c r="K614" s="162"/>
      <c r="L614" s="162"/>
      <c r="M614" s="162"/>
      <c r="N614" s="162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62"/>
      <c r="C615" s="164"/>
      <c r="D615" s="162"/>
      <c r="E615" s="162"/>
      <c r="F615" s="162"/>
      <c r="G615" s="162"/>
      <c r="H615" s="162"/>
      <c r="I615" s="162"/>
      <c r="J615" s="162"/>
      <c r="K615" s="162"/>
      <c r="L615" s="162"/>
      <c r="M615" s="162"/>
      <c r="N615" s="162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62"/>
      <c r="C616" s="164"/>
      <c r="D616" s="162"/>
      <c r="E616" s="162"/>
      <c r="F616" s="162"/>
      <c r="G616" s="162"/>
      <c r="H616" s="162"/>
      <c r="I616" s="162"/>
      <c r="J616" s="162"/>
      <c r="K616" s="162"/>
      <c r="L616" s="162"/>
      <c r="M616" s="162"/>
      <c r="N616" s="162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62"/>
      <c r="C617" s="164"/>
      <c r="D617" s="162"/>
      <c r="E617" s="162"/>
      <c r="F617" s="162"/>
      <c r="G617" s="162"/>
      <c r="H617" s="162"/>
      <c r="I617" s="162"/>
      <c r="J617" s="162"/>
      <c r="K617" s="162"/>
      <c r="L617" s="162"/>
      <c r="M617" s="162"/>
      <c r="N617" s="162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62"/>
      <c r="C618" s="164"/>
      <c r="D618" s="162"/>
      <c r="E618" s="162"/>
      <c r="F618" s="162"/>
      <c r="G618" s="162"/>
      <c r="H618" s="162"/>
      <c r="I618" s="162"/>
      <c r="J618" s="162"/>
      <c r="K618" s="162"/>
      <c r="L618" s="162"/>
      <c r="M618" s="162"/>
      <c r="N618" s="162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62"/>
      <c r="C619" s="164"/>
      <c r="D619" s="162"/>
      <c r="E619" s="162"/>
      <c r="F619" s="162"/>
      <c r="G619" s="162"/>
      <c r="H619" s="162"/>
      <c r="I619" s="162"/>
      <c r="J619" s="162"/>
      <c r="K619" s="162"/>
      <c r="L619" s="162"/>
      <c r="M619" s="162"/>
      <c r="N619" s="162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62"/>
      <c r="C620" s="164"/>
      <c r="D620" s="162"/>
      <c r="E620" s="162"/>
      <c r="F620" s="162"/>
      <c r="G620" s="162"/>
      <c r="H620" s="162"/>
      <c r="I620" s="162"/>
      <c r="J620" s="162"/>
      <c r="K620" s="162"/>
      <c r="L620" s="162"/>
      <c r="M620" s="162"/>
      <c r="N620" s="162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62"/>
      <c r="C621" s="164"/>
      <c r="D621" s="162"/>
      <c r="E621" s="162"/>
      <c r="F621" s="162"/>
      <c r="G621" s="162"/>
      <c r="H621" s="162"/>
      <c r="I621" s="162"/>
      <c r="J621" s="162"/>
      <c r="K621" s="162"/>
      <c r="L621" s="162"/>
      <c r="M621" s="162"/>
      <c r="N621" s="162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62"/>
      <c r="C622" s="164"/>
      <c r="D622" s="162"/>
      <c r="E622" s="162"/>
      <c r="F622" s="162"/>
      <c r="G622" s="162"/>
      <c r="H622" s="162"/>
      <c r="I622" s="162"/>
      <c r="J622" s="162"/>
      <c r="K622" s="162"/>
      <c r="L622" s="162"/>
      <c r="M622" s="162"/>
      <c r="N622" s="162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62"/>
      <c r="C623" s="164"/>
      <c r="D623" s="162"/>
      <c r="E623" s="162"/>
      <c r="F623" s="162"/>
      <c r="G623" s="162"/>
      <c r="H623" s="162"/>
      <c r="I623" s="162"/>
      <c r="J623" s="162"/>
      <c r="K623" s="162"/>
      <c r="L623" s="162"/>
      <c r="M623" s="162"/>
      <c r="N623" s="162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62"/>
      <c r="C624" s="164"/>
      <c r="D624" s="162"/>
      <c r="E624" s="162"/>
      <c r="F624" s="162"/>
      <c r="G624" s="162"/>
      <c r="H624" s="162"/>
      <c r="I624" s="162"/>
      <c r="J624" s="162"/>
      <c r="K624" s="162"/>
      <c r="L624" s="162"/>
      <c r="M624" s="162"/>
      <c r="N624" s="162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62"/>
      <c r="C625" s="164"/>
      <c r="D625" s="162"/>
      <c r="E625" s="162"/>
      <c r="F625" s="162"/>
      <c r="G625" s="162"/>
      <c r="H625" s="162"/>
      <c r="I625" s="162"/>
      <c r="J625" s="162"/>
      <c r="K625" s="162"/>
      <c r="L625" s="162"/>
      <c r="M625" s="162"/>
      <c r="N625" s="162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62"/>
      <c r="C626" s="164"/>
      <c r="D626" s="162"/>
      <c r="E626" s="162"/>
      <c r="F626" s="162"/>
      <c r="G626" s="162"/>
      <c r="H626" s="162"/>
      <c r="I626" s="162"/>
      <c r="J626" s="162"/>
      <c r="K626" s="162"/>
      <c r="L626" s="162"/>
      <c r="M626" s="162"/>
      <c r="N626" s="162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62"/>
      <c r="C627" s="164"/>
      <c r="D627" s="162"/>
      <c r="E627" s="162"/>
      <c r="F627" s="162"/>
      <c r="G627" s="162"/>
      <c r="H627" s="162"/>
      <c r="I627" s="162"/>
      <c r="J627" s="162"/>
      <c r="K627" s="162"/>
      <c r="L627" s="162"/>
      <c r="M627" s="162"/>
      <c r="N627" s="162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62"/>
      <c r="C628" s="164"/>
      <c r="D628" s="162"/>
      <c r="E628" s="162"/>
      <c r="F628" s="162"/>
      <c r="G628" s="162"/>
      <c r="H628" s="162"/>
      <c r="I628" s="162"/>
      <c r="J628" s="162"/>
      <c r="K628" s="162"/>
      <c r="L628" s="162"/>
      <c r="M628" s="162"/>
      <c r="N628" s="162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62"/>
      <c r="C629" s="164"/>
      <c r="D629" s="162"/>
      <c r="E629" s="162"/>
      <c r="F629" s="162"/>
      <c r="G629" s="162"/>
      <c r="H629" s="162"/>
      <c r="I629" s="162"/>
      <c r="J629" s="162"/>
      <c r="K629" s="162"/>
      <c r="L629" s="162"/>
      <c r="M629" s="162"/>
      <c r="N629" s="162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62"/>
      <c r="C630" s="164"/>
      <c r="D630" s="162"/>
      <c r="E630" s="162"/>
      <c r="F630" s="162"/>
      <c r="G630" s="162"/>
      <c r="H630" s="162"/>
      <c r="I630" s="162"/>
      <c r="J630" s="162"/>
      <c r="K630" s="162"/>
      <c r="L630" s="162"/>
      <c r="M630" s="162"/>
      <c r="N630" s="162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62"/>
      <c r="C631" s="164"/>
      <c r="D631" s="162"/>
      <c r="E631" s="162"/>
      <c r="F631" s="162"/>
      <c r="G631" s="162"/>
      <c r="H631" s="162"/>
      <c r="I631" s="162"/>
      <c r="J631" s="162"/>
      <c r="K631" s="162"/>
      <c r="L631" s="162"/>
      <c r="M631" s="162"/>
      <c r="N631" s="162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62"/>
      <c r="C632" s="164"/>
      <c r="D632" s="162"/>
      <c r="E632" s="162"/>
      <c r="F632" s="162"/>
      <c r="G632" s="162"/>
      <c r="H632" s="162"/>
      <c r="I632" s="162"/>
      <c r="J632" s="162"/>
      <c r="K632" s="162"/>
      <c r="L632" s="162"/>
      <c r="M632" s="162"/>
      <c r="N632" s="162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62"/>
      <c r="C633" s="164"/>
      <c r="D633" s="162"/>
      <c r="E633" s="162"/>
      <c r="F633" s="162"/>
      <c r="G633" s="162"/>
      <c r="H633" s="162"/>
      <c r="I633" s="162"/>
      <c r="J633" s="162"/>
      <c r="K633" s="162"/>
      <c r="L633" s="162"/>
      <c r="M633" s="162"/>
      <c r="N633" s="162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62"/>
      <c r="C634" s="164"/>
      <c r="D634" s="162"/>
      <c r="E634" s="162"/>
      <c r="F634" s="162"/>
      <c r="G634" s="162"/>
      <c r="H634" s="162"/>
      <c r="I634" s="162"/>
      <c r="J634" s="162"/>
      <c r="K634" s="162"/>
      <c r="L634" s="162"/>
      <c r="M634" s="162"/>
      <c r="N634" s="162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62"/>
      <c r="C635" s="164"/>
      <c r="D635" s="162"/>
      <c r="E635" s="162"/>
      <c r="F635" s="162"/>
      <c r="G635" s="162"/>
      <c r="H635" s="162"/>
      <c r="I635" s="162"/>
      <c r="J635" s="162"/>
      <c r="K635" s="162"/>
      <c r="L635" s="162"/>
      <c r="M635" s="162"/>
      <c r="N635" s="162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62"/>
      <c r="C636" s="164"/>
      <c r="D636" s="162"/>
      <c r="E636" s="162"/>
      <c r="F636" s="162"/>
      <c r="G636" s="162"/>
      <c r="H636" s="162"/>
      <c r="I636" s="162"/>
      <c r="J636" s="162"/>
      <c r="K636" s="162"/>
      <c r="L636" s="162"/>
      <c r="M636" s="162"/>
      <c r="N636" s="162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62"/>
      <c r="C637" s="164"/>
      <c r="D637" s="162"/>
      <c r="E637" s="162"/>
      <c r="F637" s="162"/>
      <c r="G637" s="162"/>
      <c r="H637" s="162"/>
      <c r="I637" s="162"/>
      <c r="J637" s="162"/>
      <c r="K637" s="162"/>
      <c r="L637" s="162"/>
      <c r="M637" s="162"/>
      <c r="N637" s="162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62"/>
      <c r="C638" s="164"/>
      <c r="D638" s="162"/>
      <c r="E638" s="162"/>
      <c r="F638" s="162"/>
      <c r="G638" s="162"/>
      <c r="H638" s="162"/>
      <c r="I638" s="162"/>
      <c r="J638" s="162"/>
      <c r="K638" s="162"/>
      <c r="L638" s="162"/>
      <c r="M638" s="162"/>
      <c r="N638" s="162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62"/>
      <c r="C639" s="164"/>
      <c r="D639" s="162"/>
      <c r="E639" s="162"/>
      <c r="F639" s="162"/>
      <c r="G639" s="162"/>
      <c r="H639" s="162"/>
      <c r="I639" s="162"/>
      <c r="J639" s="162"/>
      <c r="K639" s="162"/>
      <c r="L639" s="162"/>
      <c r="M639" s="162"/>
      <c r="N639" s="162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62"/>
      <c r="C640" s="164"/>
      <c r="D640" s="162"/>
      <c r="E640" s="162"/>
      <c r="F640" s="162"/>
      <c r="G640" s="162"/>
      <c r="H640" s="162"/>
      <c r="I640" s="162"/>
      <c r="J640" s="162"/>
      <c r="K640" s="162"/>
      <c r="L640" s="162"/>
      <c r="M640" s="162"/>
      <c r="N640" s="162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62"/>
      <c r="C641" s="164"/>
      <c r="D641" s="162"/>
      <c r="E641" s="162"/>
      <c r="F641" s="162"/>
      <c r="G641" s="162"/>
      <c r="H641" s="162"/>
      <c r="I641" s="162"/>
      <c r="J641" s="162"/>
      <c r="K641" s="162"/>
      <c r="L641" s="162"/>
      <c r="M641" s="162"/>
      <c r="N641" s="162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62"/>
      <c r="C642" s="164"/>
      <c r="D642" s="162"/>
      <c r="E642" s="162"/>
      <c r="F642" s="162"/>
      <c r="G642" s="162"/>
      <c r="H642" s="162"/>
      <c r="I642" s="162"/>
      <c r="J642" s="162"/>
      <c r="K642" s="162"/>
      <c r="L642" s="162"/>
      <c r="M642" s="162"/>
      <c r="N642" s="162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62"/>
      <c r="C643" s="164"/>
      <c r="D643" s="162"/>
      <c r="E643" s="162"/>
      <c r="F643" s="162"/>
      <c r="G643" s="162"/>
      <c r="H643" s="162"/>
      <c r="I643" s="162"/>
      <c r="J643" s="162"/>
      <c r="K643" s="162"/>
      <c r="L643" s="162"/>
      <c r="M643" s="162"/>
      <c r="N643" s="162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62"/>
      <c r="C644" s="164"/>
      <c r="D644" s="162"/>
      <c r="E644" s="162"/>
      <c r="F644" s="162"/>
      <c r="G644" s="162"/>
      <c r="H644" s="162"/>
      <c r="I644" s="162"/>
      <c r="J644" s="162"/>
      <c r="K644" s="162"/>
      <c r="L644" s="162"/>
      <c r="M644" s="162"/>
      <c r="N644" s="162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62"/>
      <c r="C645" s="164"/>
      <c r="D645" s="162"/>
      <c r="E645" s="162"/>
      <c r="F645" s="162"/>
      <c r="G645" s="162"/>
      <c r="H645" s="162"/>
      <c r="I645" s="162"/>
      <c r="J645" s="162"/>
      <c r="K645" s="162"/>
      <c r="L645" s="162"/>
      <c r="M645" s="162"/>
      <c r="N645" s="162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62"/>
      <c r="C646" s="164"/>
      <c r="D646" s="162"/>
      <c r="E646" s="162"/>
      <c r="F646" s="162"/>
      <c r="G646" s="162"/>
      <c r="H646" s="162"/>
      <c r="I646" s="162"/>
      <c r="J646" s="162"/>
      <c r="K646" s="162"/>
      <c r="L646" s="162"/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62"/>
      <c r="C647" s="164"/>
      <c r="D647" s="162"/>
      <c r="E647" s="162"/>
      <c r="F647" s="162"/>
      <c r="G647" s="162"/>
      <c r="H647" s="162"/>
      <c r="I647" s="162"/>
      <c r="J647" s="162"/>
      <c r="K647" s="162"/>
      <c r="L647" s="162"/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62"/>
      <c r="C648" s="164"/>
      <c r="D648" s="162"/>
      <c r="E648" s="162"/>
      <c r="F648" s="162"/>
      <c r="G648" s="162"/>
      <c r="H648" s="162"/>
      <c r="I648" s="162"/>
      <c r="J648" s="162"/>
      <c r="K648" s="162"/>
      <c r="L648" s="162"/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62"/>
      <c r="C649" s="164"/>
      <c r="D649" s="162"/>
      <c r="E649" s="162"/>
      <c r="F649" s="162"/>
      <c r="G649" s="162"/>
      <c r="H649" s="162"/>
      <c r="I649" s="162"/>
      <c r="J649" s="162"/>
      <c r="K649" s="162"/>
      <c r="L649" s="162"/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62"/>
      <c r="C650" s="164"/>
      <c r="D650" s="162"/>
      <c r="E650" s="162"/>
      <c r="F650" s="162"/>
      <c r="G650" s="162"/>
      <c r="H650" s="162"/>
      <c r="I650" s="162"/>
      <c r="J650" s="162"/>
      <c r="K650" s="162"/>
      <c r="L650" s="162"/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62"/>
      <c r="C651" s="164"/>
      <c r="D651" s="162"/>
      <c r="E651" s="162"/>
      <c r="F651" s="162"/>
      <c r="G651" s="162"/>
      <c r="H651" s="162"/>
      <c r="I651" s="162"/>
      <c r="J651" s="162"/>
      <c r="K651" s="162"/>
      <c r="L651" s="162"/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62"/>
      <c r="C652" s="164"/>
      <c r="D652" s="162"/>
      <c r="E652" s="162"/>
      <c r="F652" s="162"/>
      <c r="G652" s="162"/>
      <c r="H652" s="162"/>
      <c r="I652" s="162"/>
      <c r="J652" s="162"/>
      <c r="K652" s="162"/>
      <c r="L652" s="162"/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62"/>
      <c r="C653" s="164"/>
      <c r="D653" s="162"/>
      <c r="E653" s="162"/>
      <c r="F653" s="162"/>
      <c r="G653" s="162"/>
      <c r="H653" s="162"/>
      <c r="I653" s="162"/>
      <c r="J653" s="162"/>
      <c r="K653" s="162"/>
      <c r="L653" s="162"/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62"/>
      <c r="C654" s="164"/>
      <c r="D654" s="162"/>
      <c r="E654" s="162"/>
      <c r="F654" s="162"/>
      <c r="G654" s="162"/>
      <c r="H654" s="162"/>
      <c r="I654" s="162"/>
      <c r="J654" s="162"/>
      <c r="K654" s="162"/>
      <c r="L654" s="162"/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62"/>
      <c r="C655" s="164"/>
      <c r="D655" s="162"/>
      <c r="E655" s="162"/>
      <c r="F655" s="162"/>
      <c r="G655" s="162"/>
      <c r="H655" s="162"/>
      <c r="I655" s="162"/>
      <c r="J655" s="162"/>
      <c r="K655" s="162"/>
      <c r="L655" s="162"/>
      <c r="M655" s="162"/>
      <c r="N655" s="162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62"/>
      <c r="C656" s="164"/>
      <c r="D656" s="162"/>
      <c r="E656" s="162"/>
      <c r="F656" s="162"/>
      <c r="G656" s="162"/>
      <c r="H656" s="162"/>
      <c r="I656" s="162"/>
      <c r="J656" s="162"/>
      <c r="K656" s="162"/>
      <c r="L656" s="162"/>
      <c r="M656" s="162"/>
      <c r="N656" s="162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62"/>
      <c r="C657" s="164"/>
      <c r="D657" s="162"/>
      <c r="E657" s="162"/>
      <c r="F657" s="162"/>
      <c r="G657" s="162"/>
      <c r="H657" s="162"/>
      <c r="I657" s="162"/>
      <c r="J657" s="162"/>
      <c r="K657" s="162"/>
      <c r="L657" s="162"/>
      <c r="M657" s="162"/>
      <c r="N657" s="162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62"/>
      <c r="C658" s="164"/>
      <c r="D658" s="162"/>
      <c r="E658" s="162"/>
      <c r="F658" s="162"/>
      <c r="G658" s="162"/>
      <c r="H658" s="162"/>
      <c r="I658" s="162"/>
      <c r="J658" s="162"/>
      <c r="K658" s="162"/>
      <c r="L658" s="162"/>
      <c r="M658" s="162"/>
      <c r="N658" s="162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62"/>
      <c r="C659" s="164"/>
      <c r="D659" s="162"/>
      <c r="E659" s="162"/>
      <c r="F659" s="162"/>
      <c r="G659" s="162"/>
      <c r="H659" s="162"/>
      <c r="I659" s="162"/>
      <c r="J659" s="162"/>
      <c r="K659" s="162"/>
      <c r="L659" s="162"/>
      <c r="M659" s="162"/>
      <c r="N659" s="162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62"/>
      <c r="C660" s="164"/>
      <c r="D660" s="162"/>
      <c r="E660" s="162"/>
      <c r="F660" s="162"/>
      <c r="G660" s="162"/>
      <c r="H660" s="162"/>
      <c r="I660" s="162"/>
      <c r="J660" s="162"/>
      <c r="K660" s="162"/>
      <c r="L660" s="162"/>
      <c r="M660" s="162"/>
      <c r="N660" s="162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62"/>
      <c r="C661" s="164"/>
      <c r="D661" s="162"/>
      <c r="E661" s="162"/>
      <c r="F661" s="162"/>
      <c r="G661" s="162"/>
      <c r="H661" s="162"/>
      <c r="I661" s="162"/>
      <c r="J661" s="162"/>
      <c r="K661" s="162"/>
      <c r="L661" s="162"/>
      <c r="M661" s="162"/>
      <c r="N661" s="162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62"/>
      <c r="C662" s="164"/>
      <c r="D662" s="162"/>
      <c r="E662" s="162"/>
      <c r="F662" s="162"/>
      <c r="G662" s="162"/>
      <c r="H662" s="162"/>
      <c r="I662" s="162"/>
      <c r="J662" s="162"/>
      <c r="K662" s="162"/>
      <c r="L662" s="162"/>
      <c r="M662" s="162"/>
      <c r="N662" s="162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62"/>
      <c r="C663" s="164"/>
      <c r="D663" s="162"/>
      <c r="E663" s="162"/>
      <c r="F663" s="162"/>
      <c r="G663" s="162"/>
      <c r="H663" s="162"/>
      <c r="I663" s="162"/>
      <c r="J663" s="162"/>
      <c r="K663" s="162"/>
      <c r="L663" s="162"/>
      <c r="M663" s="162"/>
      <c r="N663" s="162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62"/>
      <c r="C664" s="164"/>
      <c r="D664" s="162"/>
      <c r="E664" s="162"/>
      <c r="F664" s="162"/>
      <c r="G664" s="162"/>
      <c r="H664" s="162"/>
      <c r="I664" s="162"/>
      <c r="J664" s="162"/>
      <c r="K664" s="162"/>
      <c r="L664" s="162"/>
      <c r="M664" s="162"/>
      <c r="N664" s="162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62"/>
      <c r="C665" s="164"/>
      <c r="D665" s="162"/>
      <c r="E665" s="162"/>
      <c r="F665" s="162"/>
      <c r="G665" s="162"/>
      <c r="H665" s="162"/>
      <c r="I665" s="162"/>
      <c r="J665" s="162"/>
      <c r="K665" s="162"/>
      <c r="L665" s="162"/>
      <c r="M665" s="162"/>
      <c r="N665" s="162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62"/>
      <c r="C666" s="164"/>
      <c r="D666" s="162"/>
      <c r="E666" s="162"/>
      <c r="F666" s="162"/>
      <c r="G666" s="162"/>
      <c r="H666" s="162"/>
      <c r="I666" s="162"/>
      <c r="J666" s="162"/>
      <c r="K666" s="162"/>
      <c r="L666" s="162"/>
      <c r="M666" s="162"/>
      <c r="N666" s="162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62"/>
      <c r="C667" s="164"/>
      <c r="D667" s="162"/>
      <c r="E667" s="162"/>
      <c r="F667" s="162"/>
      <c r="G667" s="162"/>
      <c r="H667" s="162"/>
      <c r="I667" s="162"/>
      <c r="J667" s="162"/>
      <c r="K667" s="162"/>
      <c r="L667" s="162"/>
      <c r="M667" s="162"/>
      <c r="N667" s="162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62"/>
      <c r="C668" s="164"/>
      <c r="D668" s="162"/>
      <c r="E668" s="162"/>
      <c r="F668" s="162"/>
      <c r="G668" s="162"/>
      <c r="H668" s="162"/>
      <c r="I668" s="162"/>
      <c r="J668" s="162"/>
      <c r="K668" s="162"/>
      <c r="L668" s="162"/>
      <c r="M668" s="162"/>
      <c r="N668" s="162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62"/>
      <c r="C669" s="164"/>
      <c r="D669" s="162"/>
      <c r="E669" s="162"/>
      <c r="F669" s="162"/>
      <c r="G669" s="162"/>
      <c r="H669" s="162"/>
      <c r="I669" s="162"/>
      <c r="J669" s="162"/>
      <c r="K669" s="162"/>
      <c r="L669" s="162"/>
      <c r="M669" s="162"/>
      <c r="N669" s="162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62"/>
      <c r="C670" s="164"/>
      <c r="D670" s="162"/>
      <c r="E670" s="162"/>
      <c r="F670" s="162"/>
      <c r="G670" s="162"/>
      <c r="H670" s="162"/>
      <c r="I670" s="162"/>
      <c r="J670" s="162"/>
      <c r="K670" s="162"/>
      <c r="L670" s="162"/>
      <c r="M670" s="162"/>
      <c r="N670" s="162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62"/>
      <c r="C671" s="164"/>
      <c r="D671" s="162"/>
      <c r="E671" s="162"/>
      <c r="F671" s="162"/>
      <c r="G671" s="162"/>
      <c r="H671" s="162"/>
      <c r="I671" s="162"/>
      <c r="J671" s="162"/>
      <c r="K671" s="162"/>
      <c r="L671" s="162"/>
      <c r="M671" s="162"/>
      <c r="N671" s="162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62"/>
      <c r="C672" s="164"/>
      <c r="D672" s="162"/>
      <c r="E672" s="162"/>
      <c r="F672" s="162"/>
      <c r="G672" s="162"/>
      <c r="H672" s="162"/>
      <c r="I672" s="162"/>
      <c r="J672" s="162"/>
      <c r="K672" s="162"/>
      <c r="L672" s="162"/>
      <c r="M672" s="162"/>
      <c r="N672" s="162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62"/>
      <c r="C673" s="164"/>
      <c r="D673" s="162"/>
      <c r="E673" s="162"/>
      <c r="F673" s="162"/>
      <c r="G673" s="162"/>
      <c r="H673" s="162"/>
      <c r="I673" s="162"/>
      <c r="J673" s="162"/>
      <c r="K673" s="162"/>
      <c r="L673" s="162"/>
      <c r="M673" s="162"/>
      <c r="N673" s="162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62"/>
      <c r="C674" s="164"/>
      <c r="D674" s="162"/>
      <c r="E674" s="162"/>
      <c r="F674" s="162"/>
      <c r="G674" s="162"/>
      <c r="H674" s="162"/>
      <c r="I674" s="162"/>
      <c r="J674" s="162"/>
      <c r="K674" s="162"/>
      <c r="L674" s="162"/>
      <c r="M674" s="162"/>
      <c r="N674" s="162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62"/>
      <c r="C675" s="164"/>
      <c r="D675" s="162"/>
      <c r="E675" s="162"/>
      <c r="F675" s="162"/>
      <c r="G675" s="162"/>
      <c r="H675" s="162"/>
      <c r="I675" s="162"/>
      <c r="J675" s="162"/>
      <c r="K675" s="162"/>
      <c r="L675" s="162"/>
      <c r="M675" s="162"/>
      <c r="N675" s="162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62"/>
      <c r="C676" s="164"/>
      <c r="D676" s="162"/>
      <c r="E676" s="162"/>
      <c r="F676" s="162"/>
      <c r="G676" s="162"/>
      <c r="H676" s="162"/>
      <c r="I676" s="162"/>
      <c r="J676" s="162"/>
      <c r="K676" s="162"/>
      <c r="L676" s="162"/>
      <c r="M676" s="162"/>
      <c r="N676" s="162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62"/>
      <c r="C677" s="164"/>
      <c r="D677" s="162"/>
      <c r="E677" s="162"/>
      <c r="F677" s="162"/>
      <c r="G677" s="162"/>
      <c r="H677" s="162"/>
      <c r="I677" s="162"/>
      <c r="J677" s="162"/>
      <c r="K677" s="162"/>
      <c r="L677" s="162"/>
      <c r="M677" s="162"/>
      <c r="N677" s="162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62"/>
      <c r="C678" s="164"/>
      <c r="D678" s="162"/>
      <c r="E678" s="162"/>
      <c r="F678" s="162"/>
      <c r="G678" s="162"/>
      <c r="H678" s="162"/>
      <c r="I678" s="162"/>
      <c r="J678" s="162"/>
      <c r="K678" s="162"/>
      <c r="L678" s="162"/>
      <c r="M678" s="162"/>
      <c r="N678" s="162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62"/>
      <c r="C679" s="164"/>
      <c r="D679" s="162"/>
      <c r="E679" s="162"/>
      <c r="F679" s="162"/>
      <c r="G679" s="162"/>
      <c r="H679" s="162"/>
      <c r="I679" s="162"/>
      <c r="J679" s="162"/>
      <c r="K679" s="162"/>
      <c r="L679" s="162"/>
      <c r="M679" s="162"/>
      <c r="N679" s="162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62"/>
      <c r="C680" s="164"/>
      <c r="D680" s="162"/>
      <c r="E680" s="162"/>
      <c r="F680" s="162"/>
      <c r="G680" s="162"/>
      <c r="H680" s="162"/>
      <c r="I680" s="162"/>
      <c r="J680" s="162"/>
      <c r="K680" s="162"/>
      <c r="L680" s="162"/>
      <c r="M680" s="162"/>
      <c r="N680" s="162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62"/>
      <c r="C681" s="164"/>
      <c r="D681" s="162"/>
      <c r="E681" s="162"/>
      <c r="F681" s="162"/>
      <c r="G681" s="162"/>
      <c r="H681" s="162"/>
      <c r="I681" s="162"/>
      <c r="J681" s="162"/>
      <c r="K681" s="162"/>
      <c r="L681" s="162"/>
      <c r="M681" s="162"/>
      <c r="N681" s="162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62"/>
      <c r="C682" s="164"/>
      <c r="D682" s="162"/>
      <c r="E682" s="162"/>
      <c r="F682" s="162"/>
      <c r="G682" s="162"/>
      <c r="H682" s="162"/>
      <c r="I682" s="162"/>
      <c r="J682" s="162"/>
      <c r="K682" s="162"/>
      <c r="L682" s="162"/>
      <c r="M682" s="162"/>
      <c r="N682" s="162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62"/>
      <c r="C683" s="164"/>
      <c r="D683" s="162"/>
      <c r="E683" s="162"/>
      <c r="F683" s="162"/>
      <c r="G683" s="162"/>
      <c r="H683" s="162"/>
      <c r="I683" s="162"/>
      <c r="J683" s="162"/>
      <c r="K683" s="162"/>
      <c r="L683" s="162"/>
      <c r="M683" s="162"/>
      <c r="N683" s="162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62"/>
      <c r="C684" s="164"/>
      <c r="D684" s="162"/>
      <c r="E684" s="162"/>
      <c r="F684" s="162"/>
      <c r="G684" s="162"/>
      <c r="H684" s="162"/>
      <c r="I684" s="162"/>
      <c r="J684" s="162"/>
      <c r="K684" s="162"/>
      <c r="L684" s="162"/>
      <c r="M684" s="162"/>
      <c r="N684" s="162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62"/>
      <c r="C685" s="164"/>
      <c r="D685" s="162"/>
      <c r="E685" s="162"/>
      <c r="F685" s="162"/>
      <c r="G685" s="162"/>
      <c r="H685" s="162"/>
      <c r="I685" s="162"/>
      <c r="J685" s="162"/>
      <c r="K685" s="162"/>
      <c r="L685" s="162"/>
      <c r="M685" s="162"/>
      <c r="N685" s="162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62"/>
      <c r="C686" s="164"/>
      <c r="D686" s="162"/>
      <c r="E686" s="162"/>
      <c r="F686" s="162"/>
      <c r="G686" s="162"/>
      <c r="H686" s="162"/>
      <c r="I686" s="162"/>
      <c r="J686" s="162"/>
      <c r="K686" s="162"/>
      <c r="L686" s="162"/>
      <c r="M686" s="162"/>
      <c r="N686" s="162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62"/>
      <c r="C687" s="164"/>
      <c r="D687" s="162"/>
      <c r="E687" s="162"/>
      <c r="F687" s="162"/>
      <c r="G687" s="162"/>
      <c r="H687" s="162"/>
      <c r="I687" s="162"/>
      <c r="J687" s="162"/>
      <c r="K687" s="162"/>
      <c r="L687" s="162"/>
      <c r="M687" s="162"/>
      <c r="N687" s="162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62"/>
      <c r="C688" s="164"/>
      <c r="D688" s="162"/>
      <c r="E688" s="162"/>
      <c r="F688" s="162"/>
      <c r="G688" s="162"/>
      <c r="H688" s="162"/>
      <c r="I688" s="162"/>
      <c r="J688" s="162"/>
      <c r="K688" s="162"/>
      <c r="L688" s="162"/>
      <c r="M688" s="162"/>
      <c r="N688" s="162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62"/>
      <c r="C689" s="164"/>
      <c r="D689" s="162"/>
      <c r="E689" s="162"/>
      <c r="F689" s="162"/>
      <c r="G689" s="162"/>
      <c r="H689" s="162"/>
      <c r="I689" s="162"/>
      <c r="J689" s="162"/>
      <c r="K689" s="162"/>
      <c r="L689" s="162"/>
      <c r="M689" s="162"/>
      <c r="N689" s="162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62"/>
      <c r="C690" s="164"/>
      <c r="D690" s="162"/>
      <c r="E690" s="162"/>
      <c r="F690" s="162"/>
      <c r="G690" s="162"/>
      <c r="H690" s="162"/>
      <c r="I690" s="162"/>
      <c r="J690" s="162"/>
      <c r="K690" s="162"/>
      <c r="L690" s="162"/>
      <c r="M690" s="162"/>
      <c r="N690" s="162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62"/>
      <c r="C691" s="164"/>
      <c r="D691" s="162"/>
      <c r="E691" s="162"/>
      <c r="F691" s="162"/>
      <c r="G691" s="162"/>
      <c r="H691" s="162"/>
      <c r="I691" s="162"/>
      <c r="J691" s="162"/>
      <c r="K691" s="162"/>
      <c r="L691" s="162"/>
      <c r="M691" s="162"/>
      <c r="N691" s="162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62"/>
      <c r="C692" s="164"/>
      <c r="D692" s="162"/>
      <c r="E692" s="162"/>
      <c r="F692" s="162"/>
      <c r="G692" s="162"/>
      <c r="H692" s="162"/>
      <c r="I692" s="162"/>
      <c r="J692" s="162"/>
      <c r="K692" s="162"/>
      <c r="L692" s="162"/>
      <c r="M692" s="162"/>
      <c r="N692" s="162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62"/>
      <c r="C693" s="164"/>
      <c r="D693" s="162"/>
      <c r="E693" s="162"/>
      <c r="F693" s="162"/>
      <c r="G693" s="162"/>
      <c r="H693" s="162"/>
      <c r="I693" s="162"/>
      <c r="J693" s="162"/>
      <c r="K693" s="162"/>
      <c r="L693" s="162"/>
      <c r="M693" s="162"/>
      <c r="N693" s="162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62"/>
      <c r="C694" s="164"/>
      <c r="D694" s="162"/>
      <c r="E694" s="162"/>
      <c r="F694" s="162"/>
      <c r="G694" s="162"/>
      <c r="H694" s="162"/>
      <c r="I694" s="162"/>
      <c r="J694" s="162"/>
      <c r="K694" s="162"/>
      <c r="L694" s="162"/>
      <c r="M694" s="162"/>
      <c r="N694" s="162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62"/>
      <c r="C695" s="164"/>
      <c r="D695" s="162"/>
      <c r="E695" s="162"/>
      <c r="F695" s="162"/>
      <c r="G695" s="162"/>
      <c r="H695" s="162"/>
      <c r="I695" s="162"/>
      <c r="J695" s="162"/>
      <c r="K695" s="162"/>
      <c r="L695" s="162"/>
      <c r="M695" s="162"/>
      <c r="N695" s="162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62"/>
      <c r="C696" s="164"/>
      <c r="D696" s="162"/>
      <c r="E696" s="162"/>
      <c r="F696" s="162"/>
      <c r="G696" s="162"/>
      <c r="H696" s="162"/>
      <c r="I696" s="162"/>
      <c r="J696" s="162"/>
      <c r="K696" s="162"/>
      <c r="L696" s="162"/>
      <c r="M696" s="162"/>
      <c r="N696" s="162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62"/>
      <c r="C697" s="164"/>
      <c r="D697" s="162"/>
      <c r="E697" s="162"/>
      <c r="F697" s="162"/>
      <c r="G697" s="162"/>
      <c r="H697" s="162"/>
      <c r="I697" s="162"/>
      <c r="J697" s="162"/>
      <c r="K697" s="162"/>
      <c r="L697" s="162"/>
      <c r="M697" s="162"/>
      <c r="N697" s="162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62"/>
      <c r="C698" s="164"/>
      <c r="D698" s="162"/>
      <c r="E698" s="162"/>
      <c r="F698" s="162"/>
      <c r="G698" s="162"/>
      <c r="H698" s="162"/>
      <c r="I698" s="162"/>
      <c r="J698" s="162"/>
      <c r="K698" s="162"/>
      <c r="L698" s="162"/>
      <c r="M698" s="162"/>
      <c r="N698" s="162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62"/>
      <c r="C699" s="164"/>
      <c r="D699" s="162"/>
      <c r="E699" s="162"/>
      <c r="F699" s="162"/>
      <c r="G699" s="162"/>
      <c r="H699" s="162"/>
      <c r="I699" s="162"/>
      <c r="J699" s="162"/>
      <c r="K699" s="162"/>
      <c r="L699" s="162"/>
      <c r="M699" s="162"/>
      <c r="N699" s="162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62"/>
      <c r="C700" s="164"/>
      <c r="D700" s="162"/>
      <c r="E700" s="162"/>
      <c r="F700" s="162"/>
      <c r="G700" s="162"/>
      <c r="H700" s="162"/>
      <c r="I700" s="162"/>
      <c r="J700" s="162"/>
      <c r="K700" s="162"/>
      <c r="L700" s="162"/>
      <c r="M700" s="162"/>
      <c r="N700" s="162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62"/>
      <c r="C701" s="164"/>
      <c r="D701" s="162"/>
      <c r="E701" s="162"/>
      <c r="F701" s="162"/>
      <c r="G701" s="162"/>
      <c r="H701" s="162"/>
      <c r="I701" s="162"/>
      <c r="J701" s="162"/>
      <c r="K701" s="162"/>
      <c r="L701" s="162"/>
      <c r="M701" s="162"/>
      <c r="N701" s="162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62"/>
      <c r="C702" s="164"/>
      <c r="D702" s="162"/>
      <c r="E702" s="162"/>
      <c r="F702" s="162"/>
      <c r="G702" s="162"/>
      <c r="H702" s="162"/>
      <c r="I702" s="162"/>
      <c r="J702" s="162"/>
      <c r="K702" s="162"/>
      <c r="L702" s="162"/>
      <c r="M702" s="162"/>
      <c r="N702" s="162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62"/>
      <c r="C703" s="164"/>
      <c r="D703" s="162"/>
      <c r="E703" s="162"/>
      <c r="F703" s="162"/>
      <c r="G703" s="162"/>
      <c r="H703" s="162"/>
      <c r="I703" s="162"/>
      <c r="J703" s="162"/>
      <c r="K703" s="162"/>
      <c r="L703" s="162"/>
      <c r="M703" s="162"/>
      <c r="N703" s="162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62"/>
      <c r="C704" s="164"/>
      <c r="D704" s="162"/>
      <c r="E704" s="162"/>
      <c r="F704" s="162"/>
      <c r="G704" s="162"/>
      <c r="H704" s="162"/>
      <c r="I704" s="162"/>
      <c r="J704" s="162"/>
      <c r="K704" s="162"/>
      <c r="L704" s="162"/>
      <c r="M704" s="162"/>
      <c r="N704" s="162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62"/>
      <c r="C705" s="164"/>
      <c r="D705" s="162"/>
      <c r="E705" s="162"/>
      <c r="F705" s="162"/>
      <c r="G705" s="162"/>
      <c r="H705" s="162"/>
      <c r="I705" s="162"/>
      <c r="J705" s="162"/>
      <c r="K705" s="162"/>
      <c r="L705" s="162"/>
      <c r="M705" s="162"/>
      <c r="N705" s="162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62"/>
      <c r="C706" s="164"/>
      <c r="D706" s="162"/>
      <c r="E706" s="162"/>
      <c r="F706" s="162"/>
      <c r="G706" s="162"/>
      <c r="H706" s="162"/>
      <c r="I706" s="162"/>
      <c r="J706" s="162"/>
      <c r="K706" s="162"/>
      <c r="L706" s="162"/>
      <c r="M706" s="162"/>
      <c r="N706" s="162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62"/>
      <c r="C707" s="164"/>
      <c r="D707" s="162"/>
      <c r="E707" s="162"/>
      <c r="F707" s="162"/>
      <c r="G707" s="162"/>
      <c r="H707" s="162"/>
      <c r="I707" s="162"/>
      <c r="J707" s="162"/>
      <c r="K707" s="162"/>
      <c r="L707" s="162"/>
      <c r="M707" s="162"/>
      <c r="N707" s="162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62"/>
      <c r="C708" s="164"/>
      <c r="D708" s="162"/>
      <c r="E708" s="162"/>
      <c r="F708" s="162"/>
      <c r="G708" s="162"/>
      <c r="H708" s="162"/>
      <c r="I708" s="162"/>
      <c r="J708" s="162"/>
      <c r="K708" s="162"/>
      <c r="L708" s="162"/>
      <c r="M708" s="162"/>
      <c r="N708" s="162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62"/>
      <c r="C709" s="164"/>
      <c r="D709" s="162"/>
      <c r="E709" s="162"/>
      <c r="F709" s="162"/>
      <c r="G709" s="162"/>
      <c r="H709" s="162"/>
      <c r="I709" s="162"/>
      <c r="J709" s="162"/>
      <c r="K709" s="162"/>
      <c r="L709" s="162"/>
      <c r="M709" s="162"/>
      <c r="N709" s="162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62"/>
      <c r="C710" s="164"/>
      <c r="D710" s="162"/>
      <c r="E710" s="162"/>
      <c r="F710" s="162"/>
      <c r="G710" s="162"/>
      <c r="H710" s="162"/>
      <c r="I710" s="162"/>
      <c r="J710" s="162"/>
      <c r="K710" s="162"/>
      <c r="L710" s="162"/>
      <c r="M710" s="162"/>
      <c r="N710" s="162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62"/>
      <c r="C711" s="164"/>
      <c r="D711" s="162"/>
      <c r="E711" s="162"/>
      <c r="F711" s="162"/>
      <c r="G711" s="162"/>
      <c r="H711" s="162"/>
      <c r="I711" s="162"/>
      <c r="J711" s="162"/>
      <c r="K711" s="162"/>
      <c r="L711" s="162"/>
      <c r="M711" s="162"/>
      <c r="N711" s="162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62"/>
      <c r="C712" s="164"/>
      <c r="D712" s="162"/>
      <c r="E712" s="162"/>
      <c r="F712" s="162"/>
      <c r="G712" s="162"/>
      <c r="H712" s="162"/>
      <c r="I712" s="162"/>
      <c r="J712" s="162"/>
      <c r="K712" s="162"/>
      <c r="L712" s="162"/>
      <c r="M712" s="162"/>
      <c r="N712" s="162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62"/>
      <c r="C713" s="164"/>
      <c r="D713" s="162"/>
      <c r="E713" s="162"/>
      <c r="F713" s="162"/>
      <c r="G713" s="162"/>
      <c r="H713" s="162"/>
      <c r="I713" s="162"/>
      <c r="J713" s="162"/>
      <c r="K713" s="162"/>
      <c r="L713" s="162"/>
      <c r="M713" s="162"/>
      <c r="N713" s="162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62"/>
      <c r="C714" s="164"/>
      <c r="D714" s="162"/>
      <c r="E714" s="162"/>
      <c r="F714" s="162"/>
      <c r="G714" s="162"/>
      <c r="H714" s="162"/>
      <c r="I714" s="162"/>
      <c r="J714" s="162"/>
      <c r="K714" s="162"/>
      <c r="L714" s="162"/>
      <c r="M714" s="162"/>
      <c r="N714" s="162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62"/>
      <c r="C715" s="164"/>
      <c r="D715" s="162"/>
      <c r="E715" s="162"/>
      <c r="F715" s="162"/>
      <c r="G715" s="162"/>
      <c r="H715" s="162"/>
      <c r="I715" s="162"/>
      <c r="J715" s="162"/>
      <c r="K715" s="162"/>
      <c r="L715" s="162"/>
      <c r="M715" s="162"/>
      <c r="N715" s="162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62"/>
      <c r="C716" s="164"/>
      <c r="D716" s="162"/>
      <c r="E716" s="162"/>
      <c r="F716" s="162"/>
      <c r="G716" s="162"/>
      <c r="H716" s="162"/>
      <c r="I716" s="162"/>
      <c r="J716" s="162"/>
      <c r="K716" s="162"/>
      <c r="L716" s="162"/>
      <c r="M716" s="162"/>
      <c r="N716" s="162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62"/>
      <c r="C717" s="164"/>
      <c r="D717" s="162"/>
      <c r="E717" s="162"/>
      <c r="F717" s="162"/>
      <c r="G717" s="162"/>
      <c r="H717" s="162"/>
      <c r="I717" s="162"/>
      <c r="J717" s="162"/>
      <c r="K717" s="162"/>
      <c r="L717" s="162"/>
      <c r="M717" s="162"/>
      <c r="N717" s="162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62"/>
      <c r="C718" s="164"/>
      <c r="D718" s="162"/>
      <c r="E718" s="162"/>
      <c r="F718" s="162"/>
      <c r="G718" s="162"/>
      <c r="H718" s="162"/>
      <c r="I718" s="162"/>
      <c r="J718" s="162"/>
      <c r="K718" s="162"/>
      <c r="L718" s="162"/>
      <c r="M718" s="162"/>
      <c r="N718" s="162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62"/>
      <c r="C719" s="164"/>
      <c r="D719" s="162"/>
      <c r="E719" s="162"/>
      <c r="F719" s="162"/>
      <c r="G719" s="162"/>
      <c r="H719" s="162"/>
      <c r="I719" s="162"/>
      <c r="J719" s="162"/>
      <c r="K719" s="162"/>
      <c r="L719" s="162"/>
      <c r="M719" s="162"/>
      <c r="N719" s="162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62"/>
      <c r="C720" s="164"/>
      <c r="D720" s="162"/>
      <c r="E720" s="162"/>
      <c r="F720" s="162"/>
      <c r="G720" s="162"/>
      <c r="H720" s="162"/>
      <c r="I720" s="162"/>
      <c r="J720" s="162"/>
      <c r="K720" s="162"/>
      <c r="L720" s="162"/>
      <c r="M720" s="162"/>
      <c r="N720" s="162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62"/>
      <c r="C721" s="164"/>
      <c r="D721" s="162"/>
      <c r="E721" s="162"/>
      <c r="F721" s="162"/>
      <c r="G721" s="162"/>
      <c r="H721" s="162"/>
      <c r="I721" s="162"/>
      <c r="J721" s="162"/>
      <c r="K721" s="162"/>
      <c r="L721" s="162"/>
      <c r="M721" s="162"/>
      <c r="N721" s="162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62"/>
      <c r="C722" s="164"/>
      <c r="D722" s="162"/>
      <c r="E722" s="162"/>
      <c r="F722" s="162"/>
      <c r="G722" s="162"/>
      <c r="H722" s="162"/>
      <c r="I722" s="162"/>
      <c r="J722" s="162"/>
      <c r="K722" s="162"/>
      <c r="L722" s="162"/>
      <c r="M722" s="162"/>
      <c r="N722" s="162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62"/>
      <c r="C723" s="164"/>
      <c r="D723" s="162"/>
      <c r="E723" s="162"/>
      <c r="F723" s="162"/>
      <c r="G723" s="162"/>
      <c r="H723" s="162"/>
      <c r="I723" s="162"/>
      <c r="J723" s="162"/>
      <c r="K723" s="162"/>
      <c r="L723" s="162"/>
      <c r="M723" s="162"/>
      <c r="N723" s="162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62"/>
      <c r="C724" s="164"/>
      <c r="D724" s="162"/>
      <c r="E724" s="162"/>
      <c r="F724" s="162"/>
      <c r="G724" s="162"/>
      <c r="H724" s="162"/>
      <c r="I724" s="162"/>
      <c r="J724" s="162"/>
      <c r="K724" s="162"/>
      <c r="L724" s="162"/>
      <c r="M724" s="162"/>
      <c r="N724" s="162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62"/>
      <c r="C725" s="164"/>
      <c r="D725" s="162"/>
      <c r="E725" s="162"/>
      <c r="F725" s="162"/>
      <c r="G725" s="162"/>
      <c r="H725" s="162"/>
      <c r="I725" s="162"/>
      <c r="J725" s="162"/>
      <c r="K725" s="162"/>
      <c r="L725" s="162"/>
      <c r="M725" s="162"/>
      <c r="N725" s="162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62"/>
      <c r="C726" s="164"/>
      <c r="D726" s="162"/>
      <c r="E726" s="162"/>
      <c r="F726" s="162"/>
      <c r="G726" s="162"/>
      <c r="H726" s="162"/>
      <c r="I726" s="162"/>
      <c r="J726" s="162"/>
      <c r="K726" s="162"/>
      <c r="L726" s="162"/>
      <c r="M726" s="162"/>
      <c r="N726" s="162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62"/>
      <c r="C727" s="164"/>
      <c r="D727" s="162"/>
      <c r="E727" s="162"/>
      <c r="F727" s="162"/>
      <c r="G727" s="162"/>
      <c r="H727" s="162"/>
      <c r="I727" s="162"/>
      <c r="J727" s="162"/>
      <c r="K727" s="162"/>
      <c r="L727" s="162"/>
      <c r="M727" s="162"/>
      <c r="N727" s="162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62"/>
      <c r="C728" s="164"/>
      <c r="D728" s="162"/>
      <c r="E728" s="162"/>
      <c r="F728" s="162"/>
      <c r="G728" s="162"/>
      <c r="H728" s="162"/>
      <c r="I728" s="162"/>
      <c r="J728" s="162"/>
      <c r="K728" s="162"/>
      <c r="L728" s="162"/>
      <c r="M728" s="162"/>
      <c r="N728" s="162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62"/>
      <c r="C729" s="164"/>
      <c r="D729" s="162"/>
      <c r="E729" s="162"/>
      <c r="F729" s="162"/>
      <c r="G729" s="162"/>
      <c r="H729" s="162"/>
      <c r="I729" s="162"/>
      <c r="J729" s="162"/>
      <c r="K729" s="162"/>
      <c r="L729" s="162"/>
      <c r="M729" s="162"/>
      <c r="N729" s="162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62"/>
      <c r="C730" s="164"/>
      <c r="D730" s="162"/>
      <c r="E730" s="162"/>
      <c r="F730" s="162"/>
      <c r="G730" s="162"/>
      <c r="H730" s="162"/>
      <c r="I730" s="162"/>
      <c r="J730" s="162"/>
      <c r="K730" s="162"/>
      <c r="L730" s="162"/>
      <c r="M730" s="162"/>
      <c r="N730" s="162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62"/>
      <c r="C731" s="164"/>
      <c r="D731" s="162"/>
      <c r="E731" s="162"/>
      <c r="F731" s="162"/>
      <c r="G731" s="162"/>
      <c r="H731" s="162"/>
      <c r="I731" s="162"/>
      <c r="J731" s="162"/>
      <c r="K731" s="162"/>
      <c r="L731" s="162"/>
      <c r="M731" s="162"/>
      <c r="N731" s="162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62"/>
      <c r="C732" s="164"/>
      <c r="D732" s="162"/>
      <c r="E732" s="162"/>
      <c r="F732" s="162"/>
      <c r="G732" s="162"/>
      <c r="H732" s="162"/>
      <c r="I732" s="162"/>
      <c r="J732" s="162"/>
      <c r="K732" s="162"/>
      <c r="L732" s="162"/>
      <c r="M732" s="162"/>
      <c r="N732" s="162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62"/>
      <c r="C733" s="164"/>
      <c r="D733" s="162"/>
      <c r="E733" s="162"/>
      <c r="F733" s="162"/>
      <c r="G733" s="162"/>
      <c r="H733" s="162"/>
      <c r="I733" s="162"/>
      <c r="J733" s="162"/>
      <c r="K733" s="162"/>
      <c r="L733" s="162"/>
      <c r="M733" s="162"/>
      <c r="N733" s="162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62"/>
      <c r="C734" s="164"/>
      <c r="D734" s="162"/>
      <c r="E734" s="162"/>
      <c r="F734" s="162"/>
      <c r="G734" s="162"/>
      <c r="H734" s="162"/>
      <c r="I734" s="162"/>
      <c r="J734" s="162"/>
      <c r="K734" s="162"/>
      <c r="L734" s="162"/>
      <c r="M734" s="162"/>
      <c r="N734" s="162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62"/>
      <c r="C735" s="164"/>
      <c r="D735" s="162"/>
      <c r="E735" s="162"/>
      <c r="F735" s="162"/>
      <c r="G735" s="162"/>
      <c r="H735" s="162"/>
      <c r="I735" s="162"/>
      <c r="J735" s="162"/>
      <c r="K735" s="162"/>
      <c r="L735" s="162"/>
      <c r="M735" s="162"/>
      <c r="N735" s="162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62"/>
      <c r="C736" s="164"/>
      <c r="D736" s="162"/>
      <c r="E736" s="162"/>
      <c r="F736" s="162"/>
      <c r="G736" s="162"/>
      <c r="H736" s="162"/>
      <c r="I736" s="162"/>
      <c r="J736" s="162"/>
      <c r="K736" s="162"/>
      <c r="L736" s="162"/>
      <c r="M736" s="162"/>
      <c r="N736" s="162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62"/>
      <c r="C737" s="164"/>
      <c r="D737" s="162"/>
      <c r="E737" s="162"/>
      <c r="F737" s="162"/>
      <c r="G737" s="162"/>
      <c r="H737" s="162"/>
      <c r="I737" s="162"/>
      <c r="J737" s="162"/>
      <c r="K737" s="162"/>
      <c r="L737" s="162"/>
      <c r="M737" s="162"/>
      <c r="N737" s="162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62"/>
      <c r="C738" s="164"/>
      <c r="D738" s="162"/>
      <c r="E738" s="162"/>
      <c r="F738" s="162"/>
      <c r="G738" s="162"/>
      <c r="H738" s="162"/>
      <c r="I738" s="162"/>
      <c r="J738" s="162"/>
      <c r="K738" s="162"/>
      <c r="L738" s="162"/>
      <c r="M738" s="162"/>
      <c r="N738" s="162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62"/>
      <c r="C739" s="164"/>
      <c r="D739" s="162"/>
      <c r="E739" s="162"/>
      <c r="F739" s="162"/>
      <c r="G739" s="162"/>
      <c r="H739" s="162"/>
      <c r="I739" s="162"/>
      <c r="J739" s="162"/>
      <c r="K739" s="162"/>
      <c r="L739" s="162"/>
      <c r="M739" s="162"/>
      <c r="N739" s="162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62"/>
      <c r="C740" s="164"/>
      <c r="D740" s="162"/>
      <c r="E740" s="162"/>
      <c r="F740" s="162"/>
      <c r="G740" s="162"/>
      <c r="H740" s="162"/>
      <c r="I740" s="162"/>
      <c r="J740" s="162"/>
      <c r="K740" s="162"/>
      <c r="L740" s="162"/>
      <c r="M740" s="162"/>
      <c r="N740" s="162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62"/>
      <c r="C741" s="164"/>
      <c r="D741" s="162"/>
      <c r="E741" s="162"/>
      <c r="F741" s="162"/>
      <c r="G741" s="162"/>
      <c r="H741" s="162"/>
      <c r="I741" s="162"/>
      <c r="J741" s="162"/>
      <c r="K741" s="162"/>
      <c r="L741" s="162"/>
      <c r="M741" s="162"/>
      <c r="N741" s="162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62"/>
      <c r="C742" s="164"/>
      <c r="D742" s="162"/>
      <c r="E742" s="162"/>
      <c r="F742" s="162"/>
      <c r="G742" s="162"/>
      <c r="H742" s="162"/>
      <c r="I742" s="162"/>
      <c r="J742" s="162"/>
      <c r="K742" s="162"/>
      <c r="L742" s="162"/>
      <c r="M742" s="162"/>
      <c r="N742" s="162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62"/>
      <c r="C743" s="164"/>
      <c r="D743" s="162"/>
      <c r="E743" s="162"/>
      <c r="F743" s="162"/>
      <c r="G743" s="162"/>
      <c r="H743" s="162"/>
      <c r="I743" s="162"/>
      <c r="J743" s="162"/>
      <c r="K743" s="162"/>
      <c r="L743" s="162"/>
      <c r="M743" s="162"/>
      <c r="N743" s="162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62"/>
      <c r="C744" s="164"/>
      <c r="D744" s="162"/>
      <c r="E744" s="162"/>
      <c r="F744" s="162"/>
      <c r="G744" s="162"/>
      <c r="H744" s="162"/>
      <c r="I744" s="162"/>
      <c r="J744" s="162"/>
      <c r="K744" s="162"/>
      <c r="L744" s="162"/>
      <c r="M744" s="162"/>
      <c r="N744" s="162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62"/>
      <c r="C745" s="164"/>
      <c r="D745" s="162"/>
      <c r="E745" s="162"/>
      <c r="F745" s="162"/>
      <c r="G745" s="162"/>
      <c r="H745" s="162"/>
      <c r="I745" s="162"/>
      <c r="J745" s="162"/>
      <c r="K745" s="162"/>
      <c r="L745" s="162"/>
      <c r="M745" s="162"/>
      <c r="N745" s="162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62"/>
      <c r="C746" s="164"/>
      <c r="D746" s="162"/>
      <c r="E746" s="162"/>
      <c r="F746" s="162"/>
      <c r="G746" s="162"/>
      <c r="H746" s="162"/>
      <c r="I746" s="162"/>
      <c r="J746" s="162"/>
      <c r="K746" s="162"/>
      <c r="L746" s="162"/>
      <c r="M746" s="162"/>
      <c r="N746" s="162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62"/>
      <c r="C747" s="164"/>
      <c r="D747" s="162"/>
      <c r="E747" s="162"/>
      <c r="F747" s="162"/>
      <c r="G747" s="162"/>
      <c r="H747" s="162"/>
      <c r="I747" s="162"/>
      <c r="J747" s="162"/>
      <c r="K747" s="162"/>
      <c r="L747" s="162"/>
      <c r="M747" s="162"/>
      <c r="N747" s="162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62"/>
      <c r="C748" s="164"/>
      <c r="D748" s="162"/>
      <c r="E748" s="162"/>
      <c r="F748" s="162"/>
      <c r="G748" s="162"/>
      <c r="H748" s="162"/>
      <c r="I748" s="162"/>
      <c r="J748" s="162"/>
      <c r="K748" s="162"/>
      <c r="L748" s="162"/>
      <c r="M748" s="162"/>
      <c r="N748" s="162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62"/>
      <c r="C749" s="164"/>
      <c r="D749" s="162"/>
      <c r="E749" s="162"/>
      <c r="F749" s="162"/>
      <c r="G749" s="162"/>
      <c r="H749" s="162"/>
      <c r="I749" s="162"/>
      <c r="J749" s="162"/>
      <c r="K749" s="162"/>
      <c r="L749" s="162"/>
      <c r="M749" s="162"/>
      <c r="N749" s="162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62"/>
      <c r="C750" s="164"/>
      <c r="D750" s="162"/>
      <c r="E750" s="162"/>
      <c r="F750" s="162"/>
      <c r="G750" s="162"/>
      <c r="H750" s="162"/>
      <c r="I750" s="162"/>
      <c r="J750" s="162"/>
      <c r="K750" s="162"/>
      <c r="L750" s="162"/>
      <c r="M750" s="162"/>
      <c r="N750" s="162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62"/>
      <c r="C751" s="164"/>
      <c r="D751" s="162"/>
      <c r="E751" s="162"/>
      <c r="F751" s="162"/>
      <c r="G751" s="162"/>
      <c r="H751" s="162"/>
      <c r="I751" s="162"/>
      <c r="J751" s="162"/>
      <c r="K751" s="162"/>
      <c r="L751" s="162"/>
      <c r="M751" s="162"/>
      <c r="N751" s="162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62"/>
      <c r="C752" s="164"/>
      <c r="D752" s="162"/>
      <c r="E752" s="162"/>
      <c r="F752" s="162"/>
      <c r="G752" s="162"/>
      <c r="H752" s="162"/>
      <c r="I752" s="162"/>
      <c r="J752" s="162"/>
      <c r="K752" s="162"/>
      <c r="L752" s="162"/>
      <c r="M752" s="162"/>
      <c r="N752" s="162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62"/>
      <c r="C753" s="164"/>
      <c r="D753" s="162"/>
      <c r="E753" s="162"/>
      <c r="F753" s="162"/>
      <c r="G753" s="162"/>
      <c r="H753" s="162"/>
      <c r="I753" s="162"/>
      <c r="J753" s="162"/>
      <c r="K753" s="162"/>
      <c r="L753" s="162"/>
      <c r="M753" s="162"/>
      <c r="N753" s="162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62"/>
      <c r="C754" s="164"/>
      <c r="D754" s="162"/>
      <c r="E754" s="162"/>
      <c r="F754" s="162"/>
      <c r="G754" s="162"/>
      <c r="H754" s="162"/>
      <c r="I754" s="162"/>
      <c r="J754" s="162"/>
      <c r="K754" s="162"/>
      <c r="L754" s="162"/>
      <c r="M754" s="162"/>
      <c r="N754" s="162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62"/>
      <c r="C755" s="164"/>
      <c r="D755" s="162"/>
      <c r="E755" s="162"/>
      <c r="F755" s="162"/>
      <c r="G755" s="162"/>
      <c r="H755" s="162"/>
      <c r="I755" s="162"/>
      <c r="J755" s="162"/>
      <c r="K755" s="162"/>
      <c r="L755" s="162"/>
      <c r="M755" s="162"/>
      <c r="N755" s="162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62"/>
      <c r="C756" s="164"/>
      <c r="D756" s="162"/>
      <c r="E756" s="162"/>
      <c r="F756" s="162"/>
      <c r="G756" s="162"/>
      <c r="H756" s="162"/>
      <c r="I756" s="162"/>
      <c r="J756" s="162"/>
      <c r="K756" s="162"/>
      <c r="L756" s="162"/>
      <c r="M756" s="162"/>
      <c r="N756" s="162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62"/>
      <c r="C757" s="164"/>
      <c r="D757" s="162"/>
      <c r="E757" s="162"/>
      <c r="F757" s="162"/>
      <c r="G757" s="162"/>
      <c r="H757" s="162"/>
      <c r="I757" s="162"/>
      <c r="J757" s="162"/>
      <c r="K757" s="162"/>
      <c r="L757" s="162"/>
      <c r="M757" s="162"/>
      <c r="N757" s="162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62"/>
      <c r="C758" s="164"/>
      <c r="D758" s="162"/>
      <c r="E758" s="162"/>
      <c r="F758" s="162"/>
      <c r="G758" s="162"/>
      <c r="H758" s="162"/>
      <c r="I758" s="162"/>
      <c r="J758" s="162"/>
      <c r="K758" s="162"/>
      <c r="L758" s="162"/>
      <c r="M758" s="162"/>
      <c r="N758" s="162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62"/>
      <c r="C759" s="164"/>
      <c r="D759" s="162"/>
      <c r="E759" s="162"/>
      <c r="F759" s="162"/>
      <c r="G759" s="162"/>
      <c r="H759" s="162"/>
      <c r="I759" s="162"/>
      <c r="J759" s="162"/>
      <c r="K759" s="162"/>
      <c r="L759" s="162"/>
      <c r="M759" s="162"/>
      <c r="N759" s="162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62"/>
      <c r="C760" s="164"/>
      <c r="D760" s="162"/>
      <c r="E760" s="162"/>
      <c r="F760" s="162"/>
      <c r="G760" s="162"/>
      <c r="H760" s="162"/>
      <c r="I760" s="162"/>
      <c r="J760" s="162"/>
      <c r="K760" s="162"/>
      <c r="L760" s="162"/>
      <c r="M760" s="162"/>
      <c r="N760" s="162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62"/>
      <c r="C761" s="164"/>
      <c r="D761" s="162"/>
      <c r="E761" s="162"/>
      <c r="F761" s="162"/>
      <c r="G761" s="162"/>
      <c r="H761" s="162"/>
      <c r="I761" s="162"/>
      <c r="J761" s="162"/>
      <c r="K761" s="162"/>
      <c r="L761" s="162"/>
      <c r="M761" s="162"/>
      <c r="N761" s="162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62"/>
      <c r="C762" s="164"/>
      <c r="D762" s="162"/>
      <c r="E762" s="162"/>
      <c r="F762" s="162"/>
      <c r="G762" s="162"/>
      <c r="H762" s="162"/>
      <c r="I762" s="162"/>
      <c r="J762" s="162"/>
      <c r="K762" s="162"/>
      <c r="L762" s="162"/>
      <c r="M762" s="162"/>
      <c r="N762" s="162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62"/>
      <c r="C763" s="164"/>
      <c r="D763" s="162"/>
      <c r="E763" s="162"/>
      <c r="F763" s="162"/>
      <c r="G763" s="162"/>
      <c r="H763" s="162"/>
      <c r="I763" s="162"/>
      <c r="J763" s="162"/>
      <c r="K763" s="162"/>
      <c r="L763" s="162"/>
      <c r="M763" s="162"/>
      <c r="N763" s="162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62"/>
      <c r="C764" s="164"/>
      <c r="D764" s="162"/>
      <c r="E764" s="162"/>
      <c r="F764" s="162"/>
      <c r="G764" s="162"/>
      <c r="H764" s="162"/>
      <c r="I764" s="162"/>
      <c r="J764" s="162"/>
      <c r="K764" s="162"/>
      <c r="L764" s="162"/>
      <c r="M764" s="162"/>
      <c r="N764" s="162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62"/>
      <c r="C765" s="164"/>
      <c r="D765" s="162"/>
      <c r="E765" s="162"/>
      <c r="F765" s="162"/>
      <c r="G765" s="162"/>
      <c r="H765" s="162"/>
      <c r="I765" s="162"/>
      <c r="J765" s="162"/>
      <c r="K765" s="162"/>
      <c r="L765" s="162"/>
      <c r="M765" s="162"/>
      <c r="N765" s="162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62"/>
      <c r="C766" s="164"/>
      <c r="D766" s="162"/>
      <c r="E766" s="162"/>
      <c r="F766" s="162"/>
      <c r="G766" s="162"/>
      <c r="H766" s="162"/>
      <c r="I766" s="162"/>
      <c r="J766" s="162"/>
      <c r="K766" s="162"/>
      <c r="L766" s="162"/>
      <c r="M766" s="162"/>
      <c r="N766" s="162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62"/>
      <c r="C767" s="164"/>
      <c r="D767" s="162"/>
      <c r="E767" s="162"/>
      <c r="F767" s="162"/>
      <c r="G767" s="162"/>
      <c r="H767" s="162"/>
      <c r="I767" s="162"/>
      <c r="J767" s="162"/>
      <c r="K767" s="162"/>
      <c r="L767" s="162"/>
      <c r="M767" s="162"/>
      <c r="N767" s="162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62"/>
      <c r="C768" s="164"/>
      <c r="D768" s="162"/>
      <c r="E768" s="162"/>
      <c r="F768" s="162"/>
      <c r="G768" s="162"/>
      <c r="H768" s="162"/>
      <c r="I768" s="162"/>
      <c r="J768" s="162"/>
      <c r="K768" s="162"/>
      <c r="L768" s="162"/>
      <c r="M768" s="162"/>
      <c r="N768" s="162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62"/>
      <c r="C769" s="164"/>
      <c r="D769" s="162"/>
      <c r="E769" s="162"/>
      <c r="F769" s="162"/>
      <c r="G769" s="162"/>
      <c r="H769" s="162"/>
      <c r="I769" s="162"/>
      <c r="J769" s="162"/>
      <c r="K769" s="162"/>
      <c r="L769" s="162"/>
      <c r="M769" s="162"/>
      <c r="N769" s="162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62"/>
      <c r="C770" s="164"/>
      <c r="D770" s="162"/>
      <c r="E770" s="162"/>
      <c r="F770" s="162"/>
      <c r="G770" s="162"/>
      <c r="H770" s="162"/>
      <c r="I770" s="162"/>
      <c r="J770" s="162"/>
      <c r="K770" s="162"/>
      <c r="L770" s="162"/>
      <c r="M770" s="162"/>
      <c r="N770" s="162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62"/>
      <c r="C771" s="164"/>
      <c r="D771" s="162"/>
      <c r="E771" s="162"/>
      <c r="F771" s="162"/>
      <c r="G771" s="162"/>
      <c r="H771" s="162"/>
      <c r="I771" s="162"/>
      <c r="J771" s="162"/>
      <c r="K771" s="162"/>
      <c r="L771" s="162"/>
      <c r="M771" s="162"/>
      <c r="N771" s="162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62"/>
      <c r="C772" s="164"/>
      <c r="D772" s="162"/>
      <c r="E772" s="162"/>
      <c r="F772" s="162"/>
      <c r="G772" s="162"/>
      <c r="H772" s="162"/>
      <c r="I772" s="162"/>
      <c r="J772" s="162"/>
      <c r="K772" s="162"/>
      <c r="L772" s="162"/>
      <c r="M772" s="162"/>
      <c r="N772" s="162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62"/>
      <c r="C773" s="164"/>
      <c r="D773" s="162"/>
      <c r="E773" s="162"/>
      <c r="F773" s="162"/>
      <c r="G773" s="162"/>
      <c r="H773" s="162"/>
      <c r="I773" s="162"/>
      <c r="J773" s="162"/>
      <c r="K773" s="162"/>
      <c r="L773" s="162"/>
      <c r="M773" s="162"/>
      <c r="N773" s="162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62"/>
      <c r="C774" s="164"/>
      <c r="D774" s="162"/>
      <c r="E774" s="162"/>
      <c r="F774" s="162"/>
      <c r="G774" s="162"/>
      <c r="H774" s="162"/>
      <c r="I774" s="162"/>
      <c r="J774" s="162"/>
      <c r="K774" s="162"/>
      <c r="L774" s="162"/>
      <c r="M774" s="162"/>
      <c r="N774" s="162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62"/>
      <c r="C775" s="164"/>
      <c r="D775" s="162"/>
      <c r="E775" s="162"/>
      <c r="F775" s="162"/>
      <c r="G775" s="162"/>
      <c r="H775" s="162"/>
      <c r="I775" s="162"/>
      <c r="J775" s="162"/>
      <c r="K775" s="162"/>
      <c r="L775" s="162"/>
      <c r="M775" s="162"/>
      <c r="N775" s="162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62"/>
      <c r="C776" s="164"/>
      <c r="D776" s="162"/>
      <c r="E776" s="162"/>
      <c r="F776" s="162"/>
      <c r="G776" s="162"/>
      <c r="H776" s="162"/>
      <c r="I776" s="162"/>
      <c r="J776" s="162"/>
      <c r="K776" s="162"/>
      <c r="L776" s="162"/>
      <c r="M776" s="162"/>
      <c r="N776" s="162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62"/>
      <c r="C777" s="164"/>
      <c r="D777" s="162"/>
      <c r="E777" s="162"/>
      <c r="F777" s="162"/>
      <c r="G777" s="162"/>
      <c r="H777" s="162"/>
      <c r="I777" s="162"/>
      <c r="J777" s="162"/>
      <c r="K777" s="162"/>
      <c r="L777" s="162"/>
      <c r="M777" s="162"/>
      <c r="N777" s="162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62"/>
      <c r="C778" s="164"/>
      <c r="D778" s="162"/>
      <c r="E778" s="162"/>
      <c r="F778" s="162"/>
      <c r="G778" s="162"/>
      <c r="H778" s="162"/>
      <c r="I778" s="162"/>
      <c r="J778" s="162"/>
      <c r="K778" s="162"/>
      <c r="L778" s="162"/>
      <c r="M778" s="162"/>
      <c r="N778" s="162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62"/>
      <c r="C779" s="164"/>
      <c r="D779" s="162"/>
      <c r="E779" s="162"/>
      <c r="F779" s="162"/>
      <c r="G779" s="162"/>
      <c r="H779" s="162"/>
      <c r="I779" s="162"/>
      <c r="J779" s="162"/>
      <c r="K779" s="162"/>
      <c r="L779" s="162"/>
      <c r="M779" s="162"/>
      <c r="N779" s="162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62"/>
      <c r="C780" s="164"/>
      <c r="D780" s="162"/>
      <c r="E780" s="162"/>
      <c r="F780" s="162"/>
      <c r="G780" s="162"/>
      <c r="H780" s="162"/>
      <c r="I780" s="162"/>
      <c r="J780" s="162"/>
      <c r="K780" s="162"/>
      <c r="L780" s="162"/>
      <c r="M780" s="162"/>
      <c r="N780" s="162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62"/>
      <c r="C781" s="164"/>
      <c r="D781" s="162"/>
      <c r="E781" s="162"/>
      <c r="F781" s="162"/>
      <c r="G781" s="162"/>
      <c r="H781" s="162"/>
      <c r="I781" s="162"/>
      <c r="J781" s="162"/>
      <c r="K781" s="162"/>
      <c r="L781" s="162"/>
      <c r="M781" s="162"/>
      <c r="N781" s="162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62"/>
      <c r="C782" s="164"/>
      <c r="D782" s="162"/>
      <c r="E782" s="162"/>
      <c r="F782" s="162"/>
      <c r="G782" s="162"/>
      <c r="H782" s="162"/>
      <c r="I782" s="162"/>
      <c r="J782" s="162"/>
      <c r="K782" s="162"/>
      <c r="L782" s="162"/>
      <c r="M782" s="162"/>
      <c r="N782" s="162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62"/>
      <c r="C783" s="164"/>
      <c r="D783" s="162"/>
      <c r="E783" s="162"/>
      <c r="F783" s="162"/>
      <c r="G783" s="162"/>
      <c r="H783" s="162"/>
      <c r="I783" s="162"/>
      <c r="J783" s="162"/>
      <c r="K783" s="162"/>
      <c r="L783" s="162"/>
      <c r="M783" s="162"/>
      <c r="N783" s="162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62"/>
      <c r="C784" s="164"/>
      <c r="D784" s="162"/>
      <c r="E784" s="162"/>
      <c r="F784" s="162"/>
      <c r="G784" s="162"/>
      <c r="H784" s="162"/>
      <c r="I784" s="162"/>
      <c r="J784" s="162"/>
      <c r="K784" s="162"/>
      <c r="L784" s="162"/>
      <c r="M784" s="162"/>
      <c r="N784" s="162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62"/>
      <c r="C785" s="164"/>
      <c r="D785" s="162"/>
      <c r="E785" s="162"/>
      <c r="F785" s="162"/>
      <c r="G785" s="162"/>
      <c r="H785" s="162"/>
      <c r="I785" s="162"/>
      <c r="J785" s="162"/>
      <c r="K785" s="162"/>
      <c r="L785" s="162"/>
      <c r="M785" s="162"/>
      <c r="N785" s="162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62"/>
      <c r="C786" s="164"/>
      <c r="D786" s="162"/>
      <c r="E786" s="162"/>
      <c r="F786" s="162"/>
      <c r="G786" s="162"/>
      <c r="H786" s="162"/>
      <c r="I786" s="162"/>
      <c r="J786" s="162"/>
      <c r="K786" s="162"/>
      <c r="L786" s="162"/>
      <c r="M786" s="162"/>
      <c r="N786" s="162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62"/>
      <c r="C787" s="164"/>
      <c r="D787" s="162"/>
      <c r="E787" s="162"/>
      <c r="F787" s="162"/>
      <c r="G787" s="162"/>
      <c r="H787" s="162"/>
      <c r="I787" s="162"/>
      <c r="J787" s="162"/>
      <c r="K787" s="162"/>
      <c r="L787" s="162"/>
      <c r="M787" s="162"/>
      <c r="N787" s="162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62"/>
      <c r="C788" s="164"/>
      <c r="D788" s="162"/>
      <c r="E788" s="162"/>
      <c r="F788" s="162"/>
      <c r="G788" s="162"/>
      <c r="H788" s="162"/>
      <c r="I788" s="162"/>
      <c r="J788" s="162"/>
      <c r="K788" s="162"/>
      <c r="L788" s="162"/>
      <c r="M788" s="162"/>
      <c r="N788" s="162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62"/>
      <c r="C789" s="164"/>
      <c r="D789" s="162"/>
      <c r="E789" s="162"/>
      <c r="F789" s="162"/>
      <c r="G789" s="162"/>
      <c r="H789" s="162"/>
      <c r="I789" s="162"/>
      <c r="J789" s="162"/>
      <c r="K789" s="162"/>
      <c r="L789" s="162"/>
      <c r="M789" s="162"/>
      <c r="N789" s="162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62"/>
      <c r="C790" s="164"/>
      <c r="D790" s="162"/>
      <c r="E790" s="162"/>
      <c r="F790" s="162"/>
      <c r="G790" s="162"/>
      <c r="H790" s="162"/>
      <c r="I790" s="162"/>
      <c r="J790" s="162"/>
      <c r="K790" s="162"/>
      <c r="L790" s="162"/>
      <c r="M790" s="162"/>
      <c r="N790" s="162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62"/>
      <c r="C791" s="164"/>
      <c r="D791" s="162"/>
      <c r="E791" s="162"/>
      <c r="F791" s="162"/>
      <c r="G791" s="162"/>
      <c r="H791" s="162"/>
      <c r="I791" s="162"/>
      <c r="J791" s="162"/>
      <c r="K791" s="162"/>
      <c r="L791" s="162"/>
      <c r="M791" s="162"/>
      <c r="N791" s="162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62"/>
      <c r="C792" s="164"/>
      <c r="D792" s="162"/>
      <c r="E792" s="162"/>
      <c r="F792" s="162"/>
      <c r="G792" s="162"/>
      <c r="H792" s="162"/>
      <c r="I792" s="162"/>
      <c r="J792" s="162"/>
      <c r="K792" s="162"/>
      <c r="L792" s="162"/>
      <c r="M792" s="162"/>
      <c r="N792" s="162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62"/>
      <c r="C793" s="164"/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62"/>
      <c r="C794" s="164"/>
      <c r="D794" s="162"/>
      <c r="E794" s="162"/>
      <c r="F794" s="162"/>
      <c r="G794" s="162"/>
      <c r="H794" s="162"/>
      <c r="I794" s="162"/>
      <c r="J794" s="162"/>
      <c r="K794" s="162"/>
      <c r="L794" s="162"/>
      <c r="M794" s="162"/>
      <c r="N794" s="162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62"/>
      <c r="C795" s="164"/>
      <c r="D795" s="162"/>
      <c r="E795" s="162"/>
      <c r="F795" s="162"/>
      <c r="G795" s="162"/>
      <c r="H795" s="162"/>
      <c r="I795" s="162"/>
      <c r="J795" s="162"/>
      <c r="K795" s="162"/>
      <c r="L795" s="162"/>
      <c r="M795" s="162"/>
      <c r="N795" s="162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62"/>
      <c r="C796" s="164"/>
      <c r="D796" s="162"/>
      <c r="E796" s="162"/>
      <c r="F796" s="162"/>
      <c r="G796" s="162"/>
      <c r="H796" s="162"/>
      <c r="I796" s="162"/>
      <c r="J796" s="162"/>
      <c r="K796" s="162"/>
      <c r="L796" s="162"/>
      <c r="M796" s="162"/>
      <c r="N796" s="162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62"/>
      <c r="C797" s="164"/>
      <c r="D797" s="162"/>
      <c r="E797" s="162"/>
      <c r="F797" s="162"/>
      <c r="G797" s="162"/>
      <c r="H797" s="162"/>
      <c r="I797" s="162"/>
      <c r="J797" s="162"/>
      <c r="K797" s="162"/>
      <c r="L797" s="162"/>
      <c r="M797" s="162"/>
      <c r="N797" s="162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62"/>
      <c r="C798" s="164"/>
      <c r="D798" s="162"/>
      <c r="E798" s="162"/>
      <c r="F798" s="162"/>
      <c r="G798" s="162"/>
      <c r="H798" s="162"/>
      <c r="I798" s="162"/>
      <c r="J798" s="162"/>
      <c r="K798" s="162"/>
      <c r="L798" s="162"/>
      <c r="M798" s="162"/>
      <c r="N798" s="162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62"/>
      <c r="C799" s="164"/>
      <c r="D799" s="162"/>
      <c r="E799" s="162"/>
      <c r="F799" s="162"/>
      <c r="G799" s="162"/>
      <c r="H799" s="162"/>
      <c r="I799" s="162"/>
      <c r="J799" s="162"/>
      <c r="K799" s="162"/>
      <c r="L799" s="162"/>
      <c r="M799" s="162"/>
      <c r="N799" s="162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62"/>
      <c r="C800" s="164"/>
      <c r="D800" s="162"/>
      <c r="E800" s="162"/>
      <c r="F800" s="162"/>
      <c r="G800" s="162"/>
      <c r="H800" s="162"/>
      <c r="I800" s="162"/>
      <c r="J800" s="162"/>
      <c r="K800" s="162"/>
      <c r="L800" s="162"/>
      <c r="M800" s="162"/>
      <c r="N800" s="162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62"/>
      <c r="C801" s="164"/>
      <c r="D801" s="162"/>
      <c r="E801" s="162"/>
      <c r="F801" s="162"/>
      <c r="G801" s="162"/>
      <c r="H801" s="162"/>
      <c r="I801" s="162"/>
      <c r="J801" s="162"/>
      <c r="K801" s="162"/>
      <c r="L801" s="162"/>
      <c r="M801" s="162"/>
      <c r="N801" s="162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62"/>
      <c r="C802" s="164"/>
      <c r="D802" s="162"/>
      <c r="E802" s="162"/>
      <c r="F802" s="162"/>
      <c r="G802" s="162"/>
      <c r="H802" s="162"/>
      <c r="I802" s="162"/>
      <c r="J802" s="162"/>
      <c r="K802" s="162"/>
      <c r="L802" s="162"/>
      <c r="M802" s="162"/>
      <c r="N802" s="162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62"/>
      <c r="C803" s="164"/>
      <c r="D803" s="162"/>
      <c r="E803" s="162"/>
      <c r="F803" s="162"/>
      <c r="G803" s="162"/>
      <c r="H803" s="162"/>
      <c r="I803" s="162"/>
      <c r="J803" s="162"/>
      <c r="K803" s="162"/>
      <c r="L803" s="162"/>
      <c r="M803" s="162"/>
      <c r="N803" s="162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62"/>
      <c r="C804" s="164"/>
      <c r="D804" s="162"/>
      <c r="E804" s="162"/>
      <c r="F804" s="162"/>
      <c r="G804" s="162"/>
      <c r="H804" s="162"/>
      <c r="I804" s="162"/>
      <c r="J804" s="162"/>
      <c r="K804" s="162"/>
      <c r="L804" s="162"/>
      <c r="M804" s="162"/>
      <c r="N804" s="162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62"/>
      <c r="C805" s="164"/>
      <c r="D805" s="162"/>
      <c r="E805" s="162"/>
      <c r="F805" s="162"/>
      <c r="G805" s="162"/>
      <c r="H805" s="162"/>
      <c r="I805" s="162"/>
      <c r="J805" s="162"/>
      <c r="K805" s="162"/>
      <c r="L805" s="162"/>
      <c r="M805" s="162"/>
      <c r="N805" s="162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62"/>
      <c r="C806" s="164"/>
      <c r="D806" s="162"/>
      <c r="E806" s="162"/>
      <c r="F806" s="162"/>
      <c r="G806" s="162"/>
      <c r="H806" s="162"/>
      <c r="I806" s="162"/>
      <c r="J806" s="162"/>
      <c r="K806" s="162"/>
      <c r="L806" s="162"/>
      <c r="M806" s="162"/>
      <c r="N806" s="162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62"/>
      <c r="C807" s="164"/>
      <c r="D807" s="162"/>
      <c r="E807" s="162"/>
      <c r="F807" s="162"/>
      <c r="G807" s="162"/>
      <c r="H807" s="162"/>
      <c r="I807" s="162"/>
      <c r="J807" s="162"/>
      <c r="K807" s="162"/>
      <c r="L807" s="162"/>
      <c r="M807" s="162"/>
      <c r="N807" s="162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62"/>
      <c r="C808" s="164"/>
      <c r="D808" s="162"/>
      <c r="E808" s="162"/>
      <c r="F808" s="162"/>
      <c r="G808" s="162"/>
      <c r="H808" s="162"/>
      <c r="I808" s="162"/>
      <c r="J808" s="162"/>
      <c r="K808" s="162"/>
      <c r="L808" s="162"/>
      <c r="M808" s="162"/>
      <c r="N808" s="162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62"/>
      <c r="C809" s="164"/>
      <c r="D809" s="162"/>
      <c r="E809" s="162"/>
      <c r="F809" s="162"/>
      <c r="G809" s="162"/>
      <c r="H809" s="162"/>
      <c r="I809" s="162"/>
      <c r="J809" s="162"/>
      <c r="K809" s="162"/>
      <c r="L809" s="162"/>
      <c r="M809" s="162"/>
      <c r="N809" s="162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62"/>
      <c r="C810" s="164"/>
      <c r="D810" s="162"/>
      <c r="E810" s="162"/>
      <c r="F810" s="162"/>
      <c r="G810" s="162"/>
      <c r="H810" s="162"/>
      <c r="I810" s="162"/>
      <c r="J810" s="162"/>
      <c r="K810" s="162"/>
      <c r="L810" s="162"/>
      <c r="M810" s="162"/>
      <c r="N810" s="162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62"/>
      <c r="C811" s="164"/>
      <c r="D811" s="162"/>
      <c r="E811" s="162"/>
      <c r="F811" s="162"/>
      <c r="G811" s="162"/>
      <c r="H811" s="162"/>
      <c r="I811" s="162"/>
      <c r="J811" s="162"/>
      <c r="K811" s="162"/>
      <c r="L811" s="162"/>
      <c r="M811" s="162"/>
      <c r="N811" s="162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62"/>
      <c r="C812" s="164"/>
      <c r="D812" s="162"/>
      <c r="E812" s="162"/>
      <c r="F812" s="162"/>
      <c r="G812" s="162"/>
      <c r="H812" s="162"/>
      <c r="I812" s="162"/>
      <c r="J812" s="162"/>
      <c r="K812" s="162"/>
      <c r="L812" s="162"/>
      <c r="M812" s="162"/>
      <c r="N812" s="162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62"/>
      <c r="C813" s="164"/>
      <c r="D813" s="162"/>
      <c r="E813" s="162"/>
      <c r="F813" s="162"/>
      <c r="G813" s="162"/>
      <c r="H813" s="162"/>
      <c r="I813" s="162"/>
      <c r="J813" s="162"/>
      <c r="K813" s="162"/>
      <c r="L813" s="162"/>
      <c r="M813" s="162"/>
      <c r="N813" s="162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62"/>
      <c r="C814" s="164"/>
      <c r="D814" s="162"/>
      <c r="E814" s="162"/>
      <c r="F814" s="162"/>
      <c r="G814" s="162"/>
      <c r="H814" s="162"/>
      <c r="I814" s="162"/>
      <c r="J814" s="162"/>
      <c r="K814" s="162"/>
      <c r="L814" s="162"/>
      <c r="M814" s="162"/>
      <c r="N814" s="162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62"/>
      <c r="C815" s="164"/>
      <c r="D815" s="162"/>
      <c r="E815" s="162"/>
      <c r="F815" s="162"/>
      <c r="G815" s="162"/>
      <c r="H815" s="162"/>
      <c r="I815" s="162"/>
      <c r="J815" s="162"/>
      <c r="K815" s="162"/>
      <c r="L815" s="162"/>
      <c r="M815" s="162"/>
      <c r="N815" s="162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62"/>
      <c r="C816" s="164"/>
      <c r="D816" s="162"/>
      <c r="E816" s="162"/>
      <c r="F816" s="162"/>
      <c r="G816" s="162"/>
      <c r="H816" s="162"/>
      <c r="I816" s="162"/>
      <c r="J816" s="162"/>
      <c r="K816" s="162"/>
      <c r="L816" s="162"/>
      <c r="M816" s="162"/>
      <c r="N816" s="162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62"/>
      <c r="C817" s="164"/>
      <c r="D817" s="162"/>
      <c r="E817" s="162"/>
      <c r="F817" s="162"/>
      <c r="G817" s="162"/>
      <c r="H817" s="162"/>
      <c r="I817" s="162"/>
      <c r="J817" s="162"/>
      <c r="K817" s="162"/>
      <c r="L817" s="162"/>
      <c r="M817" s="162"/>
      <c r="N817" s="162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62"/>
      <c r="C818" s="164"/>
      <c r="D818" s="162"/>
      <c r="E818" s="162"/>
      <c r="F818" s="162"/>
      <c r="G818" s="162"/>
      <c r="H818" s="162"/>
      <c r="I818" s="162"/>
      <c r="J818" s="162"/>
      <c r="K818" s="162"/>
      <c r="L818" s="162"/>
      <c r="M818" s="162"/>
      <c r="N818" s="162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62"/>
      <c r="C819" s="164"/>
      <c r="D819" s="162"/>
      <c r="E819" s="162"/>
      <c r="F819" s="162"/>
      <c r="G819" s="162"/>
      <c r="H819" s="162"/>
      <c r="I819" s="162"/>
      <c r="J819" s="162"/>
      <c r="K819" s="162"/>
      <c r="L819" s="162"/>
      <c r="M819" s="162"/>
      <c r="N819" s="162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62"/>
      <c r="C820" s="164"/>
      <c r="D820" s="162"/>
      <c r="E820" s="162"/>
      <c r="F820" s="162"/>
      <c r="G820" s="162"/>
      <c r="H820" s="162"/>
      <c r="I820" s="162"/>
      <c r="J820" s="162"/>
      <c r="K820" s="162"/>
      <c r="L820" s="162"/>
      <c r="M820" s="162"/>
      <c r="N820" s="162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62"/>
      <c r="C821" s="164"/>
      <c r="D821" s="162"/>
      <c r="E821" s="162"/>
      <c r="F821" s="162"/>
      <c r="G821" s="162"/>
      <c r="H821" s="162"/>
      <c r="I821" s="162"/>
      <c r="J821" s="162"/>
      <c r="K821" s="162"/>
      <c r="L821" s="162"/>
      <c r="M821" s="162"/>
      <c r="N821" s="162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62"/>
      <c r="C822" s="164"/>
      <c r="D822" s="162"/>
      <c r="E822" s="162"/>
      <c r="F822" s="162"/>
      <c r="G822" s="162"/>
      <c r="H822" s="162"/>
      <c r="I822" s="162"/>
      <c r="J822" s="162"/>
      <c r="K822" s="162"/>
      <c r="L822" s="162"/>
      <c r="M822" s="162"/>
      <c r="N822" s="162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62"/>
      <c r="C823" s="164"/>
      <c r="D823" s="162"/>
      <c r="E823" s="162"/>
      <c r="F823" s="162"/>
      <c r="G823" s="162"/>
      <c r="H823" s="162"/>
      <c r="I823" s="162"/>
      <c r="J823" s="162"/>
      <c r="K823" s="162"/>
      <c r="L823" s="162"/>
      <c r="M823" s="162"/>
      <c r="N823" s="162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62"/>
      <c r="C824" s="164"/>
      <c r="D824" s="162"/>
      <c r="E824" s="162"/>
      <c r="F824" s="162"/>
      <c r="G824" s="162"/>
      <c r="H824" s="162"/>
      <c r="I824" s="162"/>
      <c r="J824" s="162"/>
      <c r="K824" s="162"/>
      <c r="L824" s="162"/>
      <c r="M824" s="162"/>
      <c r="N824" s="162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62"/>
      <c r="C825" s="164"/>
      <c r="D825" s="162"/>
      <c r="E825" s="162"/>
      <c r="F825" s="162"/>
      <c r="G825" s="162"/>
      <c r="H825" s="162"/>
      <c r="I825" s="162"/>
      <c r="J825" s="162"/>
      <c r="K825" s="162"/>
      <c r="L825" s="162"/>
      <c r="M825" s="162"/>
      <c r="N825" s="162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62"/>
      <c r="C826" s="164"/>
      <c r="D826" s="162"/>
      <c r="E826" s="162"/>
      <c r="F826" s="162"/>
      <c r="G826" s="162"/>
      <c r="H826" s="162"/>
      <c r="I826" s="162"/>
      <c r="J826" s="162"/>
      <c r="K826" s="162"/>
      <c r="L826" s="162"/>
      <c r="M826" s="162"/>
      <c r="N826" s="162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62"/>
      <c r="C827" s="164"/>
      <c r="D827" s="162"/>
      <c r="E827" s="162"/>
      <c r="F827" s="162"/>
      <c r="G827" s="162"/>
      <c r="H827" s="162"/>
      <c r="I827" s="162"/>
      <c r="J827" s="162"/>
      <c r="K827" s="162"/>
      <c r="L827" s="162"/>
      <c r="M827" s="162"/>
      <c r="N827" s="162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62"/>
      <c r="C828" s="164"/>
      <c r="D828" s="162"/>
      <c r="E828" s="162"/>
      <c r="F828" s="162"/>
      <c r="G828" s="162"/>
      <c r="H828" s="162"/>
      <c r="I828" s="162"/>
      <c r="J828" s="162"/>
      <c r="K828" s="162"/>
      <c r="L828" s="162"/>
      <c r="M828" s="162"/>
      <c r="N828" s="162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62"/>
      <c r="C829" s="164"/>
      <c r="D829" s="162"/>
      <c r="E829" s="162"/>
      <c r="F829" s="162"/>
      <c r="G829" s="162"/>
      <c r="H829" s="162"/>
      <c r="I829" s="162"/>
      <c r="J829" s="162"/>
      <c r="K829" s="162"/>
      <c r="L829" s="162"/>
      <c r="M829" s="162"/>
      <c r="N829" s="162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62"/>
      <c r="C830" s="164"/>
      <c r="D830" s="162"/>
      <c r="E830" s="162"/>
      <c r="F830" s="162"/>
      <c r="G830" s="162"/>
      <c r="H830" s="162"/>
      <c r="I830" s="162"/>
      <c r="J830" s="162"/>
      <c r="K830" s="162"/>
      <c r="L830" s="162"/>
      <c r="M830" s="162"/>
      <c r="N830" s="162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62"/>
      <c r="C831" s="164"/>
      <c r="D831" s="162"/>
      <c r="E831" s="162"/>
      <c r="F831" s="162"/>
      <c r="G831" s="162"/>
      <c r="H831" s="162"/>
      <c r="I831" s="162"/>
      <c r="J831" s="162"/>
      <c r="K831" s="162"/>
      <c r="L831" s="162"/>
      <c r="M831" s="162"/>
      <c r="N831" s="162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62"/>
      <c r="C832" s="164"/>
      <c r="D832" s="162"/>
      <c r="E832" s="162"/>
      <c r="F832" s="162"/>
      <c r="G832" s="162"/>
      <c r="H832" s="162"/>
      <c r="I832" s="162"/>
      <c r="J832" s="162"/>
      <c r="K832" s="162"/>
      <c r="L832" s="162"/>
      <c r="M832" s="162"/>
      <c r="N832" s="162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62"/>
      <c r="C833" s="164"/>
      <c r="D833" s="162"/>
      <c r="E833" s="162"/>
      <c r="F833" s="162"/>
      <c r="G833" s="162"/>
      <c r="H833" s="162"/>
      <c r="I833" s="162"/>
      <c r="J833" s="162"/>
      <c r="K833" s="162"/>
      <c r="L833" s="162"/>
      <c r="M833" s="162"/>
      <c r="N833" s="162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62"/>
      <c r="C834" s="164"/>
      <c r="D834" s="162"/>
      <c r="E834" s="162"/>
      <c r="F834" s="162"/>
      <c r="G834" s="162"/>
      <c r="H834" s="162"/>
      <c r="I834" s="162"/>
      <c r="J834" s="162"/>
      <c r="K834" s="162"/>
      <c r="L834" s="162"/>
      <c r="M834" s="162"/>
      <c r="N834" s="162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62"/>
      <c r="C835" s="164"/>
      <c r="D835" s="162"/>
      <c r="E835" s="162"/>
      <c r="F835" s="162"/>
      <c r="G835" s="162"/>
      <c r="H835" s="162"/>
      <c r="I835" s="162"/>
      <c r="J835" s="162"/>
      <c r="K835" s="162"/>
      <c r="L835" s="162"/>
      <c r="M835" s="162"/>
      <c r="N835" s="162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62"/>
      <c r="C836" s="164"/>
      <c r="D836" s="162"/>
      <c r="E836" s="162"/>
      <c r="F836" s="162"/>
      <c r="G836" s="162"/>
      <c r="H836" s="162"/>
      <c r="I836" s="162"/>
      <c r="J836" s="162"/>
      <c r="K836" s="162"/>
      <c r="L836" s="162"/>
      <c r="M836" s="162"/>
      <c r="N836" s="162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62"/>
      <c r="C837" s="164"/>
      <c r="D837" s="162"/>
      <c r="E837" s="162"/>
      <c r="F837" s="162"/>
      <c r="G837" s="162"/>
      <c r="H837" s="162"/>
      <c r="I837" s="162"/>
      <c r="J837" s="162"/>
      <c r="K837" s="162"/>
      <c r="L837" s="162"/>
      <c r="M837" s="162"/>
      <c r="N837" s="162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62"/>
      <c r="C838" s="164"/>
      <c r="D838" s="162"/>
      <c r="E838" s="162"/>
      <c r="F838" s="162"/>
      <c r="G838" s="162"/>
      <c r="H838" s="162"/>
      <c r="I838" s="162"/>
      <c r="J838" s="162"/>
      <c r="K838" s="162"/>
      <c r="L838" s="162"/>
      <c r="M838" s="162"/>
      <c r="N838" s="162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62"/>
      <c r="C839" s="164"/>
      <c r="D839" s="162"/>
      <c r="E839" s="162"/>
      <c r="F839" s="162"/>
      <c r="G839" s="162"/>
      <c r="H839" s="162"/>
      <c r="I839" s="162"/>
      <c r="J839" s="162"/>
      <c r="K839" s="162"/>
      <c r="L839" s="162"/>
      <c r="M839" s="162"/>
      <c r="N839" s="162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62"/>
      <c r="C840" s="164"/>
      <c r="D840" s="162"/>
      <c r="E840" s="162"/>
      <c r="F840" s="162"/>
      <c r="G840" s="162"/>
      <c r="H840" s="162"/>
      <c r="I840" s="162"/>
      <c r="J840" s="162"/>
      <c r="K840" s="162"/>
      <c r="L840" s="162"/>
      <c r="M840" s="162"/>
      <c r="N840" s="162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62"/>
      <c r="C841" s="164"/>
      <c r="D841" s="162"/>
      <c r="E841" s="162"/>
      <c r="F841" s="162"/>
      <c r="G841" s="162"/>
      <c r="H841" s="162"/>
      <c r="I841" s="162"/>
      <c r="J841" s="162"/>
      <c r="K841" s="162"/>
      <c r="L841" s="162"/>
      <c r="M841" s="162"/>
      <c r="N841" s="162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62"/>
      <c r="C842" s="164"/>
      <c r="D842" s="162"/>
      <c r="E842" s="162"/>
      <c r="F842" s="162"/>
      <c r="G842" s="162"/>
      <c r="H842" s="162"/>
      <c r="I842" s="162"/>
      <c r="J842" s="162"/>
      <c r="K842" s="162"/>
      <c r="L842" s="162"/>
      <c r="M842" s="162"/>
      <c r="N842" s="162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62"/>
      <c r="C843" s="164"/>
      <c r="D843" s="162"/>
      <c r="E843" s="162"/>
      <c r="F843" s="162"/>
      <c r="G843" s="162"/>
      <c r="H843" s="162"/>
      <c r="I843" s="162"/>
      <c r="J843" s="162"/>
      <c r="K843" s="162"/>
      <c r="L843" s="162"/>
      <c r="M843" s="162"/>
      <c r="N843" s="162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62"/>
      <c r="C844" s="164"/>
      <c r="D844" s="162"/>
      <c r="E844" s="162"/>
      <c r="F844" s="162"/>
      <c r="G844" s="162"/>
      <c r="H844" s="162"/>
      <c r="I844" s="162"/>
      <c r="J844" s="162"/>
      <c r="K844" s="162"/>
      <c r="L844" s="162"/>
      <c r="M844" s="162"/>
      <c r="N844" s="162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62"/>
      <c r="C845" s="164"/>
      <c r="D845" s="162"/>
      <c r="E845" s="162"/>
      <c r="F845" s="162"/>
      <c r="G845" s="162"/>
      <c r="H845" s="162"/>
      <c r="I845" s="162"/>
      <c r="J845" s="162"/>
      <c r="K845" s="162"/>
      <c r="L845" s="162"/>
      <c r="M845" s="162"/>
      <c r="N845" s="162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62"/>
      <c r="C846" s="164"/>
      <c r="D846" s="162"/>
      <c r="E846" s="162"/>
      <c r="F846" s="162"/>
      <c r="G846" s="162"/>
      <c r="H846" s="162"/>
      <c r="I846" s="162"/>
      <c r="J846" s="162"/>
      <c r="K846" s="162"/>
      <c r="L846" s="162"/>
      <c r="M846" s="162"/>
      <c r="N846" s="162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62"/>
      <c r="C847" s="164"/>
      <c r="D847" s="162"/>
      <c r="E847" s="162"/>
      <c r="F847" s="162"/>
      <c r="G847" s="162"/>
      <c r="H847" s="162"/>
      <c r="I847" s="162"/>
      <c r="J847" s="162"/>
      <c r="K847" s="162"/>
      <c r="L847" s="162"/>
      <c r="M847" s="162"/>
      <c r="N847" s="162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62"/>
      <c r="C848" s="164"/>
      <c r="D848" s="162"/>
      <c r="E848" s="162"/>
      <c r="F848" s="162"/>
      <c r="G848" s="162"/>
      <c r="H848" s="162"/>
      <c r="I848" s="162"/>
      <c r="J848" s="162"/>
      <c r="K848" s="162"/>
      <c r="L848" s="162"/>
      <c r="M848" s="162"/>
      <c r="N848" s="162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62"/>
      <c r="C849" s="164"/>
      <c r="D849" s="162"/>
      <c r="E849" s="162"/>
      <c r="F849" s="162"/>
      <c r="G849" s="162"/>
      <c r="H849" s="162"/>
      <c r="I849" s="162"/>
      <c r="J849" s="162"/>
      <c r="K849" s="162"/>
      <c r="L849" s="162"/>
      <c r="M849" s="162"/>
      <c r="N849" s="162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62"/>
      <c r="C850" s="164"/>
      <c r="D850" s="162"/>
      <c r="E850" s="162"/>
      <c r="F850" s="162"/>
      <c r="G850" s="162"/>
      <c r="H850" s="162"/>
      <c r="I850" s="162"/>
      <c r="J850" s="162"/>
      <c r="K850" s="162"/>
      <c r="L850" s="162"/>
      <c r="M850" s="162"/>
      <c r="N850" s="162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62"/>
      <c r="C851" s="164"/>
      <c r="D851" s="162"/>
      <c r="E851" s="162"/>
      <c r="F851" s="162"/>
      <c r="G851" s="162"/>
      <c r="H851" s="162"/>
      <c r="I851" s="162"/>
      <c r="J851" s="162"/>
      <c r="K851" s="162"/>
      <c r="L851" s="162"/>
      <c r="M851" s="162"/>
      <c r="N851" s="162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62"/>
      <c r="C852" s="164"/>
      <c r="D852" s="162"/>
      <c r="E852" s="162"/>
      <c r="F852" s="162"/>
      <c r="G852" s="162"/>
      <c r="H852" s="162"/>
      <c r="I852" s="162"/>
      <c r="J852" s="162"/>
      <c r="K852" s="162"/>
      <c r="L852" s="162"/>
      <c r="M852" s="162"/>
      <c r="N852" s="162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62"/>
      <c r="C853" s="164"/>
      <c r="D853" s="162"/>
      <c r="E853" s="162"/>
      <c r="F853" s="162"/>
      <c r="G853" s="162"/>
      <c r="H853" s="162"/>
      <c r="I853" s="162"/>
      <c r="J853" s="162"/>
      <c r="K853" s="162"/>
      <c r="L853" s="162"/>
      <c r="M853" s="162"/>
      <c r="N853" s="162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62"/>
      <c r="C854" s="164"/>
      <c r="D854" s="162"/>
      <c r="E854" s="162"/>
      <c r="F854" s="162"/>
      <c r="G854" s="162"/>
      <c r="H854" s="162"/>
      <c r="I854" s="162"/>
      <c r="J854" s="162"/>
      <c r="K854" s="162"/>
      <c r="L854" s="162"/>
      <c r="M854" s="162"/>
      <c r="N854" s="162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62"/>
      <c r="C855" s="164"/>
      <c r="D855" s="162"/>
      <c r="E855" s="162"/>
      <c r="F855" s="162"/>
      <c r="G855" s="162"/>
      <c r="H855" s="162"/>
      <c r="I855" s="162"/>
      <c r="J855" s="162"/>
      <c r="K855" s="162"/>
      <c r="L855" s="162"/>
      <c r="M855" s="162"/>
      <c r="N855" s="162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62"/>
      <c r="C856" s="164"/>
      <c r="D856" s="162"/>
      <c r="E856" s="162"/>
      <c r="F856" s="162"/>
      <c r="G856" s="162"/>
      <c r="H856" s="162"/>
      <c r="I856" s="162"/>
      <c r="J856" s="162"/>
      <c r="K856" s="162"/>
      <c r="L856" s="162"/>
      <c r="M856" s="162"/>
      <c r="N856" s="162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62"/>
      <c r="C857" s="164"/>
      <c r="D857" s="162"/>
      <c r="E857" s="162"/>
      <c r="F857" s="162"/>
      <c r="G857" s="162"/>
      <c r="H857" s="162"/>
      <c r="I857" s="162"/>
      <c r="J857" s="162"/>
      <c r="K857" s="162"/>
      <c r="L857" s="162"/>
      <c r="M857" s="162"/>
      <c r="N857" s="162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62"/>
      <c r="C858" s="164"/>
      <c r="D858" s="162"/>
      <c r="E858" s="162"/>
      <c r="F858" s="162"/>
      <c r="G858" s="162"/>
      <c r="H858" s="162"/>
      <c r="I858" s="162"/>
      <c r="J858" s="162"/>
      <c r="K858" s="162"/>
      <c r="L858" s="162"/>
      <c r="M858" s="162"/>
      <c r="N858" s="162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62"/>
      <c r="C859" s="164"/>
      <c r="D859" s="162"/>
      <c r="E859" s="162"/>
      <c r="F859" s="162"/>
      <c r="G859" s="162"/>
      <c r="H859" s="162"/>
      <c r="I859" s="162"/>
      <c r="J859" s="162"/>
      <c r="K859" s="162"/>
      <c r="L859" s="162"/>
      <c r="M859" s="162"/>
      <c r="N859" s="162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62"/>
      <c r="C860" s="164"/>
      <c r="D860" s="162"/>
      <c r="E860" s="162"/>
      <c r="F860" s="162"/>
      <c r="G860" s="162"/>
      <c r="H860" s="162"/>
      <c r="I860" s="162"/>
      <c r="J860" s="162"/>
      <c r="K860" s="162"/>
      <c r="L860" s="162"/>
      <c r="M860" s="162"/>
      <c r="N860" s="162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62"/>
      <c r="C861" s="164"/>
      <c r="D861" s="162"/>
      <c r="E861" s="162"/>
      <c r="F861" s="162"/>
      <c r="G861" s="162"/>
      <c r="H861" s="162"/>
      <c r="I861" s="162"/>
      <c r="J861" s="162"/>
      <c r="K861" s="162"/>
      <c r="L861" s="162"/>
      <c r="M861" s="162"/>
      <c r="N861" s="162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62"/>
      <c r="C862" s="164"/>
      <c r="D862" s="162"/>
      <c r="E862" s="162"/>
      <c r="F862" s="162"/>
      <c r="G862" s="162"/>
      <c r="H862" s="162"/>
      <c r="I862" s="162"/>
      <c r="J862" s="162"/>
      <c r="K862" s="162"/>
      <c r="L862" s="162"/>
      <c r="M862" s="162"/>
      <c r="N862" s="162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62"/>
      <c r="C863" s="164"/>
      <c r="D863" s="162"/>
      <c r="E863" s="162"/>
      <c r="F863" s="162"/>
      <c r="G863" s="162"/>
      <c r="H863" s="162"/>
      <c r="I863" s="162"/>
      <c r="J863" s="162"/>
      <c r="K863" s="162"/>
      <c r="L863" s="162"/>
      <c r="M863" s="162"/>
      <c r="N863" s="162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62"/>
      <c r="C864" s="164"/>
      <c r="D864" s="162"/>
      <c r="E864" s="162"/>
      <c r="F864" s="162"/>
      <c r="G864" s="162"/>
      <c r="H864" s="162"/>
      <c r="I864" s="162"/>
      <c r="J864" s="162"/>
      <c r="K864" s="162"/>
      <c r="L864" s="162"/>
      <c r="M864" s="162"/>
      <c r="N864" s="162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62"/>
      <c r="C865" s="164"/>
      <c r="D865" s="162"/>
      <c r="E865" s="162"/>
      <c r="F865" s="162"/>
      <c r="G865" s="162"/>
      <c r="H865" s="162"/>
      <c r="I865" s="162"/>
      <c r="J865" s="162"/>
      <c r="K865" s="162"/>
      <c r="L865" s="162"/>
      <c r="M865" s="162"/>
      <c r="N865" s="162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62"/>
      <c r="C866" s="164"/>
      <c r="D866" s="162"/>
      <c r="E866" s="162"/>
      <c r="F866" s="162"/>
      <c r="G866" s="162"/>
      <c r="H866" s="162"/>
      <c r="I866" s="162"/>
      <c r="J866" s="162"/>
      <c r="K866" s="162"/>
      <c r="L866" s="162"/>
      <c r="M866" s="162"/>
      <c r="N866" s="162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62"/>
      <c r="C867" s="164"/>
      <c r="D867" s="162"/>
      <c r="E867" s="162"/>
      <c r="F867" s="162"/>
      <c r="G867" s="162"/>
      <c r="H867" s="162"/>
      <c r="I867" s="162"/>
      <c r="J867" s="162"/>
      <c r="K867" s="162"/>
      <c r="L867" s="162"/>
      <c r="M867" s="162"/>
      <c r="N867" s="162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62"/>
      <c r="C868" s="164"/>
      <c r="D868" s="162"/>
      <c r="E868" s="162"/>
      <c r="F868" s="162"/>
      <c r="G868" s="162"/>
      <c r="H868" s="162"/>
      <c r="I868" s="162"/>
      <c r="J868" s="162"/>
      <c r="K868" s="162"/>
      <c r="L868" s="162"/>
      <c r="M868" s="162"/>
      <c r="N868" s="162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62"/>
      <c r="C869" s="164"/>
      <c r="D869" s="162"/>
      <c r="E869" s="162"/>
      <c r="F869" s="162"/>
      <c r="G869" s="162"/>
      <c r="H869" s="162"/>
      <c r="I869" s="162"/>
      <c r="J869" s="162"/>
      <c r="K869" s="162"/>
      <c r="L869" s="162"/>
      <c r="M869" s="162"/>
      <c r="N869" s="162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62"/>
      <c r="C870" s="164"/>
      <c r="D870" s="162"/>
      <c r="E870" s="162"/>
      <c r="F870" s="162"/>
      <c r="G870" s="162"/>
      <c r="H870" s="162"/>
      <c r="I870" s="162"/>
      <c r="J870" s="162"/>
      <c r="K870" s="162"/>
      <c r="L870" s="162"/>
      <c r="M870" s="162"/>
      <c r="N870" s="162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62"/>
      <c r="C871" s="164"/>
      <c r="D871" s="162"/>
      <c r="E871" s="162"/>
      <c r="F871" s="162"/>
      <c r="G871" s="162"/>
      <c r="H871" s="162"/>
      <c r="I871" s="162"/>
      <c r="J871" s="162"/>
      <c r="K871" s="162"/>
      <c r="L871" s="162"/>
      <c r="M871" s="162"/>
      <c r="N871" s="162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62"/>
      <c r="C872" s="164"/>
      <c r="D872" s="162"/>
      <c r="E872" s="162"/>
      <c r="F872" s="162"/>
      <c r="G872" s="162"/>
      <c r="H872" s="162"/>
      <c r="I872" s="162"/>
      <c r="J872" s="162"/>
      <c r="K872" s="162"/>
      <c r="L872" s="162"/>
      <c r="M872" s="162"/>
      <c r="N872" s="162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62"/>
      <c r="C873" s="164"/>
      <c r="D873" s="162"/>
      <c r="E873" s="162"/>
      <c r="F873" s="162"/>
      <c r="G873" s="162"/>
      <c r="H873" s="162"/>
      <c r="I873" s="162"/>
      <c r="J873" s="162"/>
      <c r="K873" s="162"/>
      <c r="L873" s="162"/>
      <c r="M873" s="162"/>
      <c r="N873" s="162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62"/>
      <c r="C874" s="164"/>
      <c r="D874" s="162"/>
      <c r="E874" s="162"/>
      <c r="F874" s="162"/>
      <c r="G874" s="162"/>
      <c r="H874" s="162"/>
      <c r="I874" s="162"/>
      <c r="J874" s="162"/>
      <c r="K874" s="162"/>
      <c r="L874" s="162"/>
      <c r="M874" s="162"/>
      <c r="N874" s="162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62"/>
      <c r="C875" s="164"/>
      <c r="D875" s="162"/>
      <c r="E875" s="162"/>
      <c r="F875" s="162"/>
      <c r="G875" s="162"/>
      <c r="H875" s="162"/>
      <c r="I875" s="162"/>
      <c r="J875" s="162"/>
      <c r="K875" s="162"/>
      <c r="L875" s="162"/>
      <c r="M875" s="162"/>
      <c r="N875" s="162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62"/>
      <c r="C876" s="164"/>
      <c r="D876" s="162"/>
      <c r="E876" s="162"/>
      <c r="F876" s="162"/>
      <c r="G876" s="162"/>
      <c r="H876" s="162"/>
      <c r="I876" s="162"/>
      <c r="J876" s="162"/>
      <c r="K876" s="162"/>
      <c r="L876" s="162"/>
      <c r="M876" s="162"/>
      <c r="N876" s="162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62"/>
      <c r="C877" s="164"/>
      <c r="D877" s="162"/>
      <c r="E877" s="162"/>
      <c r="F877" s="162"/>
      <c r="G877" s="162"/>
      <c r="H877" s="162"/>
      <c r="I877" s="162"/>
      <c r="J877" s="162"/>
      <c r="K877" s="162"/>
      <c r="L877" s="162"/>
      <c r="M877" s="162"/>
      <c r="N877" s="162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62"/>
      <c r="C878" s="164"/>
      <c r="D878" s="162"/>
      <c r="E878" s="162"/>
      <c r="F878" s="162"/>
      <c r="G878" s="162"/>
      <c r="H878" s="162"/>
      <c r="I878" s="162"/>
      <c r="J878" s="162"/>
      <c r="K878" s="162"/>
      <c r="L878" s="162"/>
      <c r="M878" s="162"/>
      <c r="N878" s="162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62"/>
      <c r="C879" s="164"/>
      <c r="D879" s="162"/>
      <c r="E879" s="162"/>
      <c r="F879" s="162"/>
      <c r="G879" s="162"/>
      <c r="H879" s="162"/>
      <c r="I879" s="162"/>
      <c r="J879" s="162"/>
      <c r="K879" s="162"/>
      <c r="L879" s="162"/>
      <c r="M879" s="162"/>
      <c r="N879" s="162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62"/>
      <c r="C880" s="164"/>
      <c r="D880" s="162"/>
      <c r="E880" s="162"/>
      <c r="F880" s="162"/>
      <c r="G880" s="162"/>
      <c r="H880" s="162"/>
      <c r="I880" s="162"/>
      <c r="J880" s="162"/>
      <c r="K880" s="162"/>
      <c r="L880" s="162"/>
      <c r="M880" s="162"/>
      <c r="N880" s="162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62"/>
      <c r="C881" s="164"/>
      <c r="D881" s="162"/>
      <c r="E881" s="162"/>
      <c r="F881" s="162"/>
      <c r="G881" s="162"/>
      <c r="H881" s="162"/>
      <c r="I881" s="162"/>
      <c r="J881" s="162"/>
      <c r="K881" s="162"/>
      <c r="L881" s="162"/>
      <c r="M881" s="162"/>
      <c r="N881" s="162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62"/>
      <c r="C882" s="164"/>
      <c r="D882" s="162"/>
      <c r="E882" s="162"/>
      <c r="F882" s="162"/>
      <c r="G882" s="162"/>
      <c r="H882" s="162"/>
      <c r="I882" s="162"/>
      <c r="J882" s="162"/>
      <c r="K882" s="162"/>
      <c r="L882" s="162"/>
      <c r="M882" s="162"/>
      <c r="N882" s="162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62"/>
      <c r="C883" s="164"/>
      <c r="D883" s="162"/>
      <c r="E883" s="162"/>
      <c r="F883" s="162"/>
      <c r="G883" s="162"/>
      <c r="H883" s="162"/>
      <c r="I883" s="162"/>
      <c r="J883" s="162"/>
      <c r="K883" s="162"/>
      <c r="L883" s="162"/>
      <c r="M883" s="162"/>
      <c r="N883" s="162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62"/>
      <c r="C884" s="164"/>
      <c r="D884" s="162"/>
      <c r="E884" s="162"/>
      <c r="F884" s="162"/>
      <c r="G884" s="162"/>
      <c r="H884" s="162"/>
      <c r="I884" s="162"/>
      <c r="J884" s="162"/>
      <c r="K884" s="162"/>
      <c r="L884" s="162"/>
      <c r="M884" s="162"/>
      <c r="N884" s="162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62"/>
      <c r="C885" s="164"/>
      <c r="D885" s="162"/>
      <c r="E885" s="162"/>
      <c r="F885" s="162"/>
      <c r="G885" s="162"/>
      <c r="H885" s="162"/>
      <c r="I885" s="162"/>
      <c r="J885" s="162"/>
      <c r="K885" s="162"/>
      <c r="L885" s="162"/>
      <c r="M885" s="162"/>
      <c r="N885" s="162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62"/>
      <c r="C886" s="164"/>
      <c r="D886" s="162"/>
      <c r="E886" s="162"/>
      <c r="F886" s="162"/>
      <c r="G886" s="162"/>
      <c r="H886" s="162"/>
      <c r="I886" s="162"/>
      <c r="J886" s="162"/>
      <c r="K886" s="162"/>
      <c r="L886" s="162"/>
      <c r="M886" s="162"/>
      <c r="N886" s="162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62"/>
      <c r="C887" s="164"/>
      <c r="D887" s="162"/>
      <c r="E887" s="162"/>
      <c r="F887" s="162"/>
      <c r="G887" s="162"/>
      <c r="H887" s="162"/>
      <c r="I887" s="162"/>
      <c r="J887" s="162"/>
      <c r="K887" s="162"/>
      <c r="L887" s="162"/>
      <c r="M887" s="162"/>
      <c r="N887" s="162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62"/>
      <c r="C888" s="164"/>
      <c r="D888" s="162"/>
      <c r="E888" s="162"/>
      <c r="F888" s="162"/>
      <c r="G888" s="162"/>
      <c r="H888" s="162"/>
      <c r="I888" s="162"/>
      <c r="J888" s="162"/>
      <c r="K888" s="162"/>
      <c r="L888" s="162"/>
      <c r="M888" s="162"/>
      <c r="N888" s="162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62"/>
      <c r="C889" s="164"/>
      <c r="D889" s="162"/>
      <c r="E889" s="162"/>
      <c r="F889" s="162"/>
      <c r="G889" s="162"/>
      <c r="H889" s="162"/>
      <c r="I889" s="162"/>
      <c r="J889" s="162"/>
      <c r="K889" s="162"/>
      <c r="L889" s="162"/>
      <c r="M889" s="162"/>
      <c r="N889" s="162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62"/>
      <c r="C890" s="164"/>
      <c r="D890" s="162"/>
      <c r="E890" s="162"/>
      <c r="F890" s="162"/>
      <c r="G890" s="162"/>
      <c r="H890" s="162"/>
      <c r="I890" s="162"/>
      <c r="J890" s="162"/>
      <c r="K890" s="162"/>
      <c r="L890" s="162"/>
      <c r="M890" s="162"/>
      <c r="N890" s="162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62"/>
      <c r="C891" s="164"/>
      <c r="D891" s="162"/>
      <c r="E891" s="162"/>
      <c r="F891" s="162"/>
      <c r="G891" s="162"/>
      <c r="H891" s="162"/>
      <c r="I891" s="162"/>
      <c r="J891" s="162"/>
      <c r="K891" s="162"/>
      <c r="L891" s="162"/>
      <c r="M891" s="162"/>
      <c r="N891" s="162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62"/>
      <c r="C892" s="164"/>
      <c r="D892" s="162"/>
      <c r="E892" s="162"/>
      <c r="F892" s="162"/>
      <c r="G892" s="162"/>
      <c r="H892" s="162"/>
      <c r="I892" s="162"/>
      <c r="J892" s="162"/>
      <c r="K892" s="162"/>
      <c r="L892" s="162"/>
      <c r="M892" s="162"/>
      <c r="N892" s="162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62"/>
      <c r="C893" s="164"/>
      <c r="D893" s="162"/>
      <c r="E893" s="162"/>
      <c r="F893" s="162"/>
      <c r="G893" s="162"/>
      <c r="H893" s="162"/>
      <c r="I893" s="162"/>
      <c r="J893" s="162"/>
      <c r="K893" s="162"/>
      <c r="L893" s="162"/>
      <c r="M893" s="162"/>
      <c r="N893" s="162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62"/>
      <c r="C894" s="164"/>
      <c r="D894" s="162"/>
      <c r="E894" s="162"/>
      <c r="F894" s="162"/>
      <c r="G894" s="162"/>
      <c r="H894" s="162"/>
      <c r="I894" s="162"/>
      <c r="J894" s="162"/>
      <c r="K894" s="162"/>
      <c r="L894" s="162"/>
      <c r="M894" s="162"/>
      <c r="N894" s="162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62"/>
      <c r="C895" s="164"/>
      <c r="D895" s="162"/>
      <c r="E895" s="162"/>
      <c r="F895" s="162"/>
      <c r="G895" s="162"/>
      <c r="H895" s="162"/>
      <c r="I895" s="162"/>
      <c r="J895" s="162"/>
      <c r="K895" s="162"/>
      <c r="L895" s="162"/>
      <c r="M895" s="162"/>
      <c r="N895" s="162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62"/>
      <c r="C896" s="164"/>
      <c r="D896" s="162"/>
      <c r="E896" s="162"/>
      <c r="F896" s="162"/>
      <c r="G896" s="162"/>
      <c r="H896" s="162"/>
      <c r="I896" s="162"/>
      <c r="J896" s="162"/>
      <c r="K896" s="162"/>
      <c r="L896" s="162"/>
      <c r="M896" s="162"/>
      <c r="N896" s="162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62"/>
      <c r="C897" s="164"/>
      <c r="D897" s="162"/>
      <c r="E897" s="162"/>
      <c r="F897" s="162"/>
      <c r="G897" s="162"/>
      <c r="H897" s="162"/>
      <c r="I897" s="162"/>
      <c r="J897" s="162"/>
      <c r="K897" s="162"/>
      <c r="L897" s="162"/>
      <c r="M897" s="162"/>
      <c r="N897" s="162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62"/>
      <c r="C898" s="164"/>
      <c r="D898" s="162"/>
      <c r="E898" s="162"/>
      <c r="F898" s="162"/>
      <c r="G898" s="162"/>
      <c r="H898" s="162"/>
      <c r="I898" s="162"/>
      <c r="J898" s="162"/>
      <c r="K898" s="162"/>
      <c r="L898" s="162"/>
      <c r="M898" s="162"/>
      <c r="N898" s="162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62"/>
      <c r="C899" s="164"/>
      <c r="D899" s="162"/>
      <c r="E899" s="162"/>
      <c r="F899" s="162"/>
      <c r="G899" s="162"/>
      <c r="H899" s="162"/>
      <c r="I899" s="162"/>
      <c r="J899" s="162"/>
      <c r="K899" s="162"/>
      <c r="L899" s="162"/>
      <c r="M899" s="162"/>
      <c r="N899" s="162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62"/>
      <c r="C900" s="164"/>
      <c r="D900" s="162"/>
      <c r="E900" s="162"/>
      <c r="F900" s="162"/>
      <c r="G900" s="162"/>
      <c r="H900" s="162"/>
      <c r="I900" s="162"/>
      <c r="J900" s="162"/>
      <c r="K900" s="162"/>
      <c r="L900" s="162"/>
      <c r="M900" s="162"/>
      <c r="N900" s="162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62"/>
      <c r="C901" s="164"/>
      <c r="D901" s="162"/>
      <c r="E901" s="162"/>
      <c r="F901" s="162"/>
      <c r="G901" s="162"/>
      <c r="H901" s="162"/>
      <c r="I901" s="162"/>
      <c r="J901" s="162"/>
      <c r="K901" s="162"/>
      <c r="L901" s="162"/>
      <c r="M901" s="162"/>
      <c r="N901" s="162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62"/>
      <c r="C902" s="164"/>
      <c r="D902" s="162"/>
      <c r="E902" s="162"/>
      <c r="F902" s="162"/>
      <c r="G902" s="162"/>
      <c r="H902" s="162"/>
      <c r="I902" s="162"/>
      <c r="J902" s="162"/>
      <c r="K902" s="162"/>
      <c r="L902" s="162"/>
      <c r="M902" s="162"/>
      <c r="N902" s="162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62"/>
      <c r="C903" s="164"/>
      <c r="D903" s="162"/>
      <c r="E903" s="162"/>
      <c r="F903" s="162"/>
      <c r="G903" s="162"/>
      <c r="H903" s="162"/>
      <c r="I903" s="162"/>
      <c r="J903" s="162"/>
      <c r="K903" s="162"/>
      <c r="L903" s="162"/>
      <c r="M903" s="162"/>
      <c r="N903" s="162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62"/>
      <c r="C904" s="164"/>
      <c r="D904" s="162"/>
      <c r="E904" s="162"/>
      <c r="F904" s="162"/>
      <c r="G904" s="162"/>
      <c r="H904" s="162"/>
      <c r="I904" s="162"/>
      <c r="J904" s="162"/>
      <c r="K904" s="162"/>
      <c r="L904" s="162"/>
      <c r="M904" s="162"/>
      <c r="N904" s="162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62"/>
      <c r="C905" s="164"/>
      <c r="D905" s="162"/>
      <c r="E905" s="162"/>
      <c r="F905" s="162"/>
      <c r="G905" s="162"/>
      <c r="H905" s="162"/>
      <c r="I905" s="162"/>
      <c r="J905" s="162"/>
      <c r="K905" s="162"/>
      <c r="L905" s="162"/>
      <c r="M905" s="162"/>
      <c r="N905" s="162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62"/>
      <c r="C906" s="164"/>
      <c r="D906" s="162"/>
      <c r="E906" s="162"/>
      <c r="F906" s="162"/>
      <c r="G906" s="162"/>
      <c r="H906" s="162"/>
      <c r="I906" s="162"/>
      <c r="J906" s="162"/>
      <c r="K906" s="162"/>
      <c r="L906" s="162"/>
      <c r="M906" s="162"/>
      <c r="N906" s="162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62"/>
      <c r="C907" s="164"/>
      <c r="D907" s="162"/>
      <c r="E907" s="162"/>
      <c r="F907" s="162"/>
      <c r="G907" s="162"/>
      <c r="H907" s="162"/>
      <c r="I907" s="162"/>
      <c r="J907" s="162"/>
      <c r="K907" s="162"/>
      <c r="L907" s="162"/>
      <c r="M907" s="162"/>
      <c r="N907" s="162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62"/>
      <c r="C908" s="164"/>
      <c r="D908" s="162"/>
      <c r="E908" s="162"/>
      <c r="F908" s="162"/>
      <c r="G908" s="162"/>
      <c r="H908" s="162"/>
      <c r="I908" s="162"/>
      <c r="J908" s="162"/>
      <c r="K908" s="162"/>
      <c r="L908" s="162"/>
      <c r="M908" s="162"/>
      <c r="N908" s="162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62"/>
      <c r="C909" s="164"/>
      <c r="D909" s="162"/>
      <c r="E909" s="162"/>
      <c r="F909" s="162"/>
      <c r="G909" s="162"/>
      <c r="H909" s="162"/>
      <c r="I909" s="162"/>
      <c r="J909" s="162"/>
      <c r="K909" s="162"/>
      <c r="L909" s="162"/>
      <c r="M909" s="162"/>
      <c r="N909" s="162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62"/>
      <c r="C910" s="164"/>
      <c r="D910" s="162"/>
      <c r="E910" s="162"/>
      <c r="F910" s="162"/>
      <c r="G910" s="162"/>
      <c r="H910" s="162"/>
      <c r="I910" s="162"/>
      <c r="J910" s="162"/>
      <c r="K910" s="162"/>
      <c r="L910" s="162"/>
      <c r="M910" s="162"/>
      <c r="N910" s="162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62"/>
      <c r="C911" s="164"/>
      <c r="D911" s="162"/>
      <c r="E911" s="162"/>
      <c r="F911" s="162"/>
      <c r="G911" s="162"/>
      <c r="H911" s="162"/>
      <c r="I911" s="162"/>
      <c r="J911" s="162"/>
      <c r="K911" s="162"/>
      <c r="L911" s="162"/>
      <c r="M911" s="162"/>
      <c r="N911" s="162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62"/>
      <c r="C912" s="164"/>
      <c r="D912" s="162"/>
      <c r="E912" s="162"/>
      <c r="F912" s="162"/>
      <c r="G912" s="162"/>
      <c r="H912" s="162"/>
      <c r="I912" s="162"/>
      <c r="J912" s="162"/>
      <c r="K912" s="162"/>
      <c r="L912" s="162"/>
      <c r="M912" s="162"/>
      <c r="N912" s="162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62"/>
      <c r="C913" s="164"/>
      <c r="D913" s="162"/>
      <c r="E913" s="162"/>
      <c r="F913" s="162"/>
      <c r="G913" s="162"/>
      <c r="H913" s="162"/>
      <c r="I913" s="162"/>
      <c r="J913" s="162"/>
      <c r="K913" s="162"/>
      <c r="L913" s="162"/>
      <c r="M913" s="162"/>
      <c r="N913" s="162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62"/>
      <c r="C914" s="164"/>
      <c r="D914" s="162"/>
      <c r="E914" s="162"/>
      <c r="F914" s="162"/>
      <c r="G914" s="162"/>
      <c r="H914" s="162"/>
      <c r="I914" s="162"/>
      <c r="J914" s="162"/>
      <c r="K914" s="162"/>
      <c r="L914" s="162"/>
      <c r="M914" s="162"/>
      <c r="N914" s="162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62"/>
      <c r="C915" s="164"/>
      <c r="D915" s="162"/>
      <c r="E915" s="162"/>
      <c r="F915" s="162"/>
      <c r="G915" s="162"/>
      <c r="H915" s="162"/>
      <c r="I915" s="162"/>
      <c r="J915" s="162"/>
      <c r="K915" s="162"/>
      <c r="L915" s="162"/>
      <c r="M915" s="162"/>
      <c r="N915" s="162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62"/>
      <c r="C916" s="164"/>
      <c r="D916" s="162"/>
      <c r="E916" s="162"/>
      <c r="F916" s="162"/>
      <c r="G916" s="162"/>
      <c r="H916" s="162"/>
      <c r="I916" s="162"/>
      <c r="J916" s="162"/>
      <c r="K916" s="162"/>
      <c r="L916" s="162"/>
      <c r="M916" s="162"/>
      <c r="N916" s="162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62"/>
      <c r="C917" s="164"/>
      <c r="D917" s="162"/>
      <c r="E917" s="162"/>
      <c r="F917" s="162"/>
      <c r="G917" s="162"/>
      <c r="H917" s="162"/>
      <c r="I917" s="162"/>
      <c r="J917" s="162"/>
      <c r="K917" s="162"/>
      <c r="L917" s="162"/>
      <c r="M917" s="162"/>
      <c r="N917" s="162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62"/>
      <c r="C918" s="164"/>
      <c r="D918" s="162"/>
      <c r="E918" s="162"/>
      <c r="F918" s="162"/>
      <c r="G918" s="162"/>
      <c r="H918" s="162"/>
      <c r="I918" s="162"/>
      <c r="J918" s="162"/>
      <c r="K918" s="162"/>
      <c r="L918" s="162"/>
      <c r="M918" s="162"/>
      <c r="N918" s="162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62"/>
      <c r="C919" s="164"/>
      <c r="D919" s="162"/>
      <c r="E919" s="162"/>
      <c r="F919" s="162"/>
      <c r="G919" s="162"/>
      <c r="H919" s="162"/>
      <c r="I919" s="162"/>
      <c r="J919" s="162"/>
      <c r="K919" s="162"/>
      <c r="L919" s="162"/>
      <c r="M919" s="162"/>
      <c r="N919" s="162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62"/>
      <c r="C920" s="164"/>
      <c r="D920" s="162"/>
      <c r="E920" s="162"/>
      <c r="F920" s="162"/>
      <c r="G920" s="162"/>
      <c r="H920" s="162"/>
      <c r="I920" s="162"/>
      <c r="J920" s="162"/>
      <c r="K920" s="162"/>
      <c r="L920" s="162"/>
      <c r="M920" s="162"/>
      <c r="N920" s="162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62"/>
      <c r="C921" s="164"/>
      <c r="D921" s="162"/>
      <c r="E921" s="162"/>
      <c r="F921" s="162"/>
      <c r="G921" s="162"/>
      <c r="H921" s="162"/>
      <c r="I921" s="162"/>
      <c r="J921" s="162"/>
      <c r="K921" s="162"/>
      <c r="L921" s="162"/>
      <c r="M921" s="162"/>
      <c r="N921" s="162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62"/>
      <c r="C922" s="164"/>
      <c r="D922" s="162"/>
      <c r="E922" s="162"/>
      <c r="F922" s="162"/>
      <c r="G922" s="162"/>
      <c r="H922" s="162"/>
      <c r="I922" s="162"/>
      <c r="J922" s="162"/>
      <c r="K922" s="162"/>
      <c r="L922" s="162"/>
      <c r="M922" s="162"/>
      <c r="N922" s="162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62"/>
      <c r="C923" s="164"/>
      <c r="D923" s="162"/>
      <c r="E923" s="162"/>
      <c r="F923" s="162"/>
      <c r="G923" s="162"/>
      <c r="H923" s="162"/>
      <c r="I923" s="162"/>
      <c r="J923" s="162"/>
      <c r="K923" s="162"/>
      <c r="L923" s="162"/>
      <c r="M923" s="162"/>
      <c r="N923" s="162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62"/>
      <c r="C924" s="164"/>
      <c r="D924" s="162"/>
      <c r="E924" s="162"/>
      <c r="F924" s="162"/>
      <c r="G924" s="162"/>
      <c r="H924" s="162"/>
      <c r="I924" s="162"/>
      <c r="J924" s="162"/>
      <c r="K924" s="162"/>
      <c r="L924" s="162"/>
      <c r="M924" s="162"/>
      <c r="N924" s="162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62"/>
      <c r="C925" s="164"/>
      <c r="D925" s="162"/>
      <c r="E925" s="162"/>
      <c r="F925" s="162"/>
      <c r="G925" s="162"/>
      <c r="H925" s="162"/>
      <c r="I925" s="162"/>
      <c r="J925" s="162"/>
      <c r="K925" s="162"/>
      <c r="L925" s="162"/>
      <c r="M925" s="162"/>
      <c r="N925" s="162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62"/>
      <c r="C926" s="164"/>
      <c r="D926" s="162"/>
      <c r="E926" s="162"/>
      <c r="F926" s="162"/>
      <c r="G926" s="162"/>
      <c r="H926" s="162"/>
      <c r="I926" s="162"/>
      <c r="J926" s="162"/>
      <c r="K926" s="162"/>
      <c r="L926" s="162"/>
      <c r="M926" s="162"/>
      <c r="N926" s="162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62"/>
      <c r="C927" s="164"/>
      <c r="D927" s="162"/>
      <c r="E927" s="162"/>
      <c r="F927" s="162"/>
      <c r="G927" s="162"/>
      <c r="H927" s="162"/>
      <c r="I927" s="162"/>
      <c r="J927" s="162"/>
      <c r="K927" s="162"/>
      <c r="L927" s="162"/>
      <c r="M927" s="162"/>
      <c r="N927" s="162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62"/>
      <c r="C928" s="164"/>
      <c r="D928" s="162"/>
      <c r="E928" s="162"/>
      <c r="F928" s="162"/>
      <c r="G928" s="162"/>
      <c r="H928" s="162"/>
      <c r="I928" s="162"/>
      <c r="J928" s="162"/>
      <c r="K928" s="162"/>
      <c r="L928" s="162"/>
      <c r="M928" s="162"/>
      <c r="N928" s="162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62"/>
      <c r="C929" s="164"/>
      <c r="D929" s="162"/>
      <c r="E929" s="162"/>
      <c r="F929" s="162"/>
      <c r="G929" s="162"/>
      <c r="H929" s="162"/>
      <c r="I929" s="162"/>
      <c r="J929" s="162"/>
      <c r="K929" s="162"/>
      <c r="L929" s="162"/>
      <c r="M929" s="162"/>
      <c r="N929" s="162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62"/>
      <c r="C930" s="164"/>
      <c r="D930" s="162"/>
      <c r="E930" s="162"/>
      <c r="F930" s="162"/>
      <c r="G930" s="162"/>
      <c r="H930" s="162"/>
      <c r="I930" s="162"/>
      <c r="J930" s="162"/>
      <c r="K930" s="162"/>
      <c r="L930" s="162"/>
      <c r="M930" s="162"/>
      <c r="N930" s="162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62"/>
      <c r="C931" s="164"/>
      <c r="D931" s="162"/>
      <c r="E931" s="162"/>
      <c r="F931" s="162"/>
      <c r="G931" s="162"/>
      <c r="H931" s="162"/>
      <c r="I931" s="162"/>
      <c r="J931" s="162"/>
      <c r="K931" s="162"/>
      <c r="L931" s="162"/>
      <c r="M931" s="162"/>
      <c r="N931" s="162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62"/>
      <c r="C932" s="164"/>
      <c r="D932" s="162"/>
      <c r="E932" s="162"/>
      <c r="F932" s="162"/>
      <c r="G932" s="162"/>
      <c r="H932" s="162"/>
      <c r="I932" s="162"/>
      <c r="J932" s="162"/>
      <c r="K932" s="162"/>
      <c r="L932" s="162"/>
      <c r="M932" s="162"/>
      <c r="N932" s="162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62"/>
      <c r="C933" s="164"/>
      <c r="D933" s="162"/>
      <c r="E933" s="162"/>
      <c r="F933" s="162"/>
      <c r="G933" s="162"/>
      <c r="H933" s="162"/>
      <c r="I933" s="162"/>
      <c r="J933" s="162"/>
      <c r="K933" s="162"/>
      <c r="L933" s="162"/>
      <c r="M933" s="162"/>
      <c r="N933" s="162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62"/>
      <c r="C934" s="164"/>
      <c r="D934" s="162"/>
      <c r="E934" s="162"/>
      <c r="F934" s="162"/>
      <c r="G934" s="162"/>
      <c r="H934" s="162"/>
      <c r="I934" s="162"/>
      <c r="J934" s="162"/>
      <c r="K934" s="162"/>
      <c r="L934" s="162"/>
      <c r="M934" s="162"/>
      <c r="N934" s="162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62"/>
      <c r="C935" s="164"/>
      <c r="D935" s="162"/>
      <c r="E935" s="162"/>
      <c r="F935" s="162"/>
      <c r="G935" s="162"/>
      <c r="H935" s="162"/>
      <c r="I935" s="162"/>
      <c r="J935" s="162"/>
      <c r="K935" s="162"/>
      <c r="L935" s="162"/>
      <c r="M935" s="162"/>
      <c r="N935" s="162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62"/>
      <c r="C936" s="164"/>
      <c r="D936" s="162"/>
      <c r="E936" s="162"/>
      <c r="F936" s="162"/>
      <c r="G936" s="162"/>
      <c r="H936" s="162"/>
      <c r="I936" s="162"/>
      <c r="J936" s="162"/>
      <c r="K936" s="162"/>
      <c r="L936" s="162"/>
      <c r="M936" s="162"/>
      <c r="N936" s="162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62"/>
      <c r="C937" s="164"/>
      <c r="D937" s="162"/>
      <c r="E937" s="162"/>
      <c r="F937" s="162"/>
      <c r="G937" s="162"/>
      <c r="H937" s="162"/>
      <c r="I937" s="162"/>
      <c r="J937" s="162"/>
      <c r="K937" s="162"/>
      <c r="L937" s="162"/>
      <c r="M937" s="162"/>
      <c r="N937" s="162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62"/>
      <c r="C938" s="164"/>
      <c r="D938" s="162"/>
      <c r="E938" s="162"/>
      <c r="F938" s="162"/>
      <c r="G938" s="162"/>
      <c r="H938" s="162"/>
      <c r="I938" s="162"/>
      <c r="J938" s="162"/>
      <c r="K938" s="162"/>
      <c r="L938" s="162"/>
      <c r="M938" s="162"/>
      <c r="N938" s="162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62"/>
      <c r="C939" s="164"/>
      <c r="D939" s="162"/>
      <c r="E939" s="162"/>
      <c r="F939" s="162"/>
      <c r="G939" s="162"/>
      <c r="H939" s="162"/>
      <c r="I939" s="162"/>
      <c r="J939" s="162"/>
      <c r="K939" s="162"/>
      <c r="L939" s="162"/>
      <c r="M939" s="162"/>
      <c r="N939" s="162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62"/>
      <c r="C940" s="164"/>
      <c r="D940" s="162"/>
      <c r="E940" s="162"/>
      <c r="F940" s="162"/>
      <c r="G940" s="162"/>
      <c r="H940" s="162"/>
      <c r="I940" s="162"/>
      <c r="J940" s="162"/>
      <c r="K940" s="162"/>
      <c r="L940" s="162"/>
      <c r="M940" s="162"/>
      <c r="N940" s="162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62"/>
      <c r="C941" s="164"/>
      <c r="D941" s="162"/>
      <c r="E941" s="162"/>
      <c r="F941" s="162"/>
      <c r="G941" s="162"/>
      <c r="H941" s="162"/>
      <c r="I941" s="162"/>
      <c r="J941" s="162"/>
      <c r="K941" s="162"/>
      <c r="L941" s="162"/>
      <c r="M941" s="162"/>
      <c r="N941" s="162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62"/>
      <c r="C942" s="164"/>
      <c r="D942" s="162"/>
      <c r="E942" s="162"/>
      <c r="F942" s="162"/>
      <c r="G942" s="162"/>
      <c r="H942" s="162"/>
      <c r="I942" s="162"/>
      <c r="J942" s="162"/>
      <c r="K942" s="162"/>
      <c r="L942" s="162"/>
      <c r="M942" s="162"/>
      <c r="N942" s="162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62"/>
      <c r="C943" s="164"/>
      <c r="D943" s="162"/>
      <c r="E943" s="162"/>
      <c r="F943" s="162"/>
      <c r="G943" s="162"/>
      <c r="H943" s="162"/>
      <c r="I943" s="162"/>
      <c r="J943" s="162"/>
      <c r="K943" s="162"/>
      <c r="L943" s="162"/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62"/>
      <c r="C944" s="164"/>
      <c r="D944" s="162"/>
      <c r="E944" s="162"/>
      <c r="F944" s="162"/>
      <c r="G944" s="162"/>
      <c r="H944" s="162"/>
      <c r="I944" s="162"/>
      <c r="J944" s="162"/>
      <c r="K944" s="162"/>
      <c r="L944" s="162"/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62"/>
      <c r="C945" s="164"/>
      <c r="D945" s="162"/>
      <c r="E945" s="162"/>
      <c r="F945" s="162"/>
      <c r="G945" s="162"/>
      <c r="H945" s="162"/>
      <c r="I945" s="162"/>
      <c r="J945" s="162"/>
      <c r="K945" s="162"/>
      <c r="L945" s="162"/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62"/>
      <c r="C946" s="164"/>
      <c r="D946" s="162"/>
      <c r="E946" s="162"/>
      <c r="F946" s="162"/>
      <c r="G946" s="162"/>
      <c r="H946" s="162"/>
      <c r="I946" s="162"/>
      <c r="J946" s="162"/>
      <c r="K946" s="162"/>
      <c r="L946" s="162"/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62"/>
      <c r="C947" s="164"/>
      <c r="D947" s="162"/>
      <c r="E947" s="162"/>
      <c r="F947" s="162"/>
      <c r="G947" s="162"/>
      <c r="H947" s="162"/>
      <c r="I947" s="162"/>
      <c r="J947" s="162"/>
      <c r="K947" s="162"/>
      <c r="L947" s="162"/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62"/>
      <c r="C948" s="164"/>
      <c r="D948" s="162"/>
      <c r="E948" s="162"/>
      <c r="F948" s="162"/>
      <c r="G948" s="162"/>
      <c r="H948" s="162"/>
      <c r="I948" s="162"/>
      <c r="J948" s="162"/>
      <c r="K948" s="162"/>
      <c r="L948" s="162"/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62"/>
      <c r="C949" s="164"/>
      <c r="D949" s="162"/>
      <c r="E949" s="162"/>
      <c r="F949" s="162"/>
      <c r="G949" s="162"/>
      <c r="H949" s="162"/>
      <c r="I949" s="162"/>
      <c r="J949" s="162"/>
      <c r="K949" s="162"/>
      <c r="L949" s="162"/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62"/>
      <c r="C950" s="164"/>
      <c r="D950" s="162"/>
      <c r="E950" s="162"/>
      <c r="F950" s="162"/>
      <c r="G950" s="162"/>
      <c r="H950" s="162"/>
      <c r="I950" s="162"/>
      <c r="J950" s="162"/>
      <c r="K950" s="162"/>
      <c r="L950" s="162"/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62"/>
      <c r="C951" s="164"/>
      <c r="D951" s="162"/>
      <c r="E951" s="162"/>
      <c r="F951" s="162"/>
      <c r="G951" s="162"/>
      <c r="H951" s="162"/>
      <c r="I951" s="162"/>
      <c r="J951" s="162"/>
      <c r="K951" s="162"/>
      <c r="L951" s="162"/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62"/>
      <c r="C952" s="164"/>
      <c r="D952" s="162"/>
      <c r="E952" s="162"/>
      <c r="F952" s="162"/>
      <c r="G952" s="162"/>
      <c r="H952" s="162"/>
      <c r="I952" s="162"/>
      <c r="J952" s="162"/>
      <c r="K952" s="162"/>
      <c r="L952" s="162"/>
      <c r="M952" s="162"/>
      <c r="N952" s="162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62"/>
      <c r="C953" s="164"/>
      <c r="D953" s="162"/>
      <c r="E953" s="162"/>
      <c r="F953" s="162"/>
      <c r="G953" s="162"/>
      <c r="H953" s="162"/>
      <c r="I953" s="162"/>
      <c r="J953" s="162"/>
      <c r="K953" s="162"/>
      <c r="L953" s="162"/>
      <c r="M953" s="162"/>
      <c r="N953" s="162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62"/>
      <c r="C954" s="164"/>
      <c r="D954" s="162"/>
      <c r="E954" s="162"/>
      <c r="F954" s="162"/>
      <c r="G954" s="162"/>
      <c r="H954" s="162"/>
      <c r="I954" s="162"/>
      <c r="J954" s="162"/>
      <c r="K954" s="162"/>
      <c r="L954" s="162"/>
      <c r="M954" s="162"/>
      <c r="N954" s="162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62"/>
      <c r="C955" s="164"/>
      <c r="D955" s="162"/>
      <c r="E955" s="162"/>
      <c r="F955" s="162"/>
      <c r="G955" s="162"/>
      <c r="H955" s="162"/>
      <c r="I955" s="162"/>
      <c r="J955" s="162"/>
      <c r="K955" s="162"/>
      <c r="L955" s="162"/>
      <c r="M955" s="162"/>
      <c r="N955" s="162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62"/>
      <c r="C956" s="164"/>
      <c r="D956" s="162"/>
      <c r="E956" s="162"/>
      <c r="F956" s="162"/>
      <c r="G956" s="162"/>
      <c r="H956" s="162"/>
      <c r="I956" s="162"/>
      <c r="J956" s="162"/>
      <c r="K956" s="162"/>
      <c r="L956" s="162"/>
      <c r="M956" s="162"/>
      <c r="N956" s="162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62"/>
      <c r="C957" s="164"/>
      <c r="D957" s="162"/>
      <c r="E957" s="162"/>
      <c r="F957" s="162"/>
      <c r="G957" s="162"/>
      <c r="H957" s="162"/>
      <c r="I957" s="162"/>
      <c r="J957" s="162"/>
      <c r="K957" s="162"/>
      <c r="L957" s="162"/>
      <c r="M957" s="162"/>
      <c r="N957" s="162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62"/>
      <c r="C958" s="164"/>
      <c r="D958" s="162"/>
      <c r="E958" s="162"/>
      <c r="F958" s="162"/>
      <c r="G958" s="162"/>
      <c r="H958" s="162"/>
      <c r="I958" s="162"/>
      <c r="J958" s="162"/>
      <c r="K958" s="162"/>
      <c r="L958" s="162"/>
      <c r="M958" s="162"/>
      <c r="N958" s="162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62"/>
      <c r="C959" s="164"/>
      <c r="D959" s="162"/>
      <c r="E959" s="162"/>
      <c r="F959" s="162"/>
      <c r="G959" s="162"/>
      <c r="H959" s="162"/>
      <c r="I959" s="162"/>
      <c r="J959" s="162"/>
      <c r="K959" s="162"/>
      <c r="L959" s="162"/>
      <c r="M959" s="162"/>
      <c r="N959" s="162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62"/>
      <c r="C960" s="164"/>
      <c r="D960" s="162"/>
      <c r="E960" s="162"/>
      <c r="F960" s="162"/>
      <c r="G960" s="162"/>
      <c r="H960" s="162"/>
      <c r="I960" s="162"/>
      <c r="J960" s="162"/>
      <c r="K960" s="162"/>
      <c r="L960" s="162"/>
      <c r="M960" s="162"/>
      <c r="N960" s="162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62"/>
      <c r="C961" s="164"/>
      <c r="D961" s="162"/>
      <c r="E961" s="162"/>
      <c r="F961" s="162"/>
      <c r="G961" s="162"/>
      <c r="H961" s="162"/>
      <c r="I961" s="162"/>
      <c r="J961" s="162"/>
      <c r="K961" s="162"/>
      <c r="L961" s="162"/>
      <c r="M961" s="162"/>
      <c r="N961" s="162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62"/>
      <c r="C962" s="164"/>
      <c r="D962" s="162"/>
      <c r="E962" s="162"/>
      <c r="F962" s="162"/>
      <c r="G962" s="162"/>
      <c r="H962" s="162"/>
      <c r="I962" s="162"/>
      <c r="J962" s="162"/>
      <c r="K962" s="162"/>
      <c r="L962" s="162"/>
      <c r="M962" s="162"/>
      <c r="N962" s="162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62"/>
      <c r="C963" s="164"/>
      <c r="D963" s="162"/>
      <c r="E963" s="162"/>
      <c r="F963" s="162"/>
      <c r="G963" s="162"/>
      <c r="H963" s="162"/>
      <c r="I963" s="162"/>
      <c r="J963" s="162"/>
      <c r="K963" s="162"/>
      <c r="L963" s="162"/>
      <c r="M963" s="162"/>
      <c r="N963" s="162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62"/>
      <c r="C964" s="164"/>
      <c r="D964" s="162"/>
      <c r="E964" s="162"/>
      <c r="F964" s="162"/>
      <c r="G964" s="162"/>
      <c r="H964" s="162"/>
      <c r="I964" s="162"/>
      <c r="J964" s="162"/>
      <c r="K964" s="162"/>
      <c r="L964" s="162"/>
      <c r="M964" s="162"/>
      <c r="N964" s="162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62"/>
      <c r="C965" s="164"/>
      <c r="D965" s="162"/>
      <c r="E965" s="162"/>
      <c r="F965" s="162"/>
      <c r="G965" s="162"/>
      <c r="H965" s="162"/>
      <c r="I965" s="162"/>
      <c r="J965" s="162"/>
      <c r="K965" s="162"/>
      <c r="L965" s="162"/>
      <c r="M965" s="162"/>
      <c r="N965" s="162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62"/>
      <c r="C966" s="164"/>
      <c r="D966" s="162"/>
      <c r="E966" s="162"/>
      <c r="F966" s="162"/>
      <c r="G966" s="162"/>
      <c r="H966" s="162"/>
      <c r="I966" s="162"/>
      <c r="J966" s="162"/>
      <c r="K966" s="162"/>
      <c r="L966" s="162"/>
      <c r="M966" s="162"/>
      <c r="N966" s="162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62"/>
      <c r="C967" s="164"/>
      <c r="D967" s="162"/>
      <c r="E967" s="162"/>
      <c r="F967" s="162"/>
      <c r="G967" s="162"/>
      <c r="H967" s="162"/>
      <c r="I967" s="162"/>
      <c r="J967" s="162"/>
      <c r="K967" s="162"/>
      <c r="L967" s="162"/>
      <c r="M967" s="162"/>
      <c r="N967" s="162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62"/>
      <c r="C968" s="164"/>
      <c r="D968" s="162"/>
      <c r="E968" s="162"/>
      <c r="F968" s="162"/>
      <c r="G968" s="162"/>
      <c r="H968" s="162"/>
      <c r="I968" s="162"/>
      <c r="J968" s="162"/>
      <c r="K968" s="162"/>
      <c r="L968" s="162"/>
      <c r="M968" s="162"/>
      <c r="N968" s="162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62"/>
      <c r="C969" s="164"/>
      <c r="D969" s="162"/>
      <c r="E969" s="162"/>
      <c r="F969" s="162"/>
      <c r="G969" s="162"/>
      <c r="H969" s="162"/>
      <c r="I969" s="162"/>
      <c r="J969" s="162"/>
      <c r="K969" s="162"/>
      <c r="L969" s="162"/>
      <c r="M969" s="162"/>
      <c r="N969" s="162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62"/>
      <c r="C970" s="164"/>
      <c r="D970" s="162"/>
      <c r="E970" s="162"/>
      <c r="F970" s="162"/>
      <c r="G970" s="162"/>
      <c r="H970" s="162"/>
      <c r="I970" s="162"/>
      <c r="J970" s="162"/>
      <c r="K970" s="162"/>
      <c r="L970" s="162"/>
      <c r="M970" s="162"/>
      <c r="N970" s="162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62"/>
      <c r="C971" s="164"/>
      <c r="D971" s="162"/>
      <c r="E971" s="162"/>
      <c r="F971" s="162"/>
      <c r="G971" s="162"/>
      <c r="H971" s="162"/>
      <c r="I971" s="162"/>
      <c r="J971" s="162"/>
      <c r="K971" s="162"/>
      <c r="L971" s="162"/>
      <c r="M971" s="162"/>
      <c r="N971" s="162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62"/>
      <c r="C972" s="164"/>
      <c r="D972" s="162"/>
      <c r="E972" s="162"/>
      <c r="F972" s="162"/>
      <c r="G972" s="162"/>
      <c r="H972" s="162"/>
      <c r="I972" s="162"/>
      <c r="J972" s="162"/>
      <c r="K972" s="162"/>
      <c r="L972" s="162"/>
      <c r="M972" s="162"/>
      <c r="N972" s="162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62"/>
      <c r="C973" s="164"/>
      <c r="D973" s="162"/>
      <c r="E973" s="162"/>
      <c r="F973" s="162"/>
      <c r="G973" s="162"/>
      <c r="H973" s="162"/>
      <c r="I973" s="162"/>
      <c r="J973" s="162"/>
      <c r="K973" s="162"/>
      <c r="L973" s="162"/>
      <c r="M973" s="162"/>
      <c r="N973" s="162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62"/>
      <c r="C974" s="164"/>
      <c r="D974" s="162"/>
      <c r="E974" s="162"/>
      <c r="F974" s="162"/>
      <c r="G974" s="162"/>
      <c r="H974" s="162"/>
      <c r="I974" s="162"/>
      <c r="J974" s="162"/>
      <c r="K974" s="162"/>
      <c r="L974" s="162"/>
      <c r="M974" s="162"/>
      <c r="N974" s="162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62"/>
      <c r="C975" s="164"/>
      <c r="D975" s="162"/>
      <c r="E975" s="162"/>
      <c r="F975" s="162"/>
      <c r="G975" s="162"/>
      <c r="H975" s="162"/>
      <c r="I975" s="162"/>
      <c r="J975" s="162"/>
      <c r="K975" s="162"/>
      <c r="L975" s="162"/>
      <c r="M975" s="162"/>
      <c r="N975" s="162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62"/>
      <c r="C976" s="164"/>
      <c r="D976" s="162"/>
      <c r="E976" s="162"/>
      <c r="F976" s="162"/>
      <c r="G976" s="162"/>
      <c r="H976" s="162"/>
      <c r="I976" s="162"/>
      <c r="J976" s="162"/>
      <c r="K976" s="162"/>
      <c r="L976" s="162"/>
      <c r="M976" s="162"/>
      <c r="N976" s="162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62"/>
      <c r="C977" s="164"/>
      <c r="D977" s="162"/>
      <c r="E977" s="162"/>
      <c r="F977" s="162"/>
      <c r="G977" s="162"/>
      <c r="H977" s="162"/>
      <c r="I977" s="162"/>
      <c r="J977" s="162"/>
      <c r="K977" s="162"/>
      <c r="L977" s="162"/>
      <c r="M977" s="162"/>
      <c r="N977" s="162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62"/>
      <c r="C978" s="164"/>
      <c r="D978" s="162"/>
      <c r="E978" s="162"/>
      <c r="F978" s="162"/>
      <c r="G978" s="162"/>
      <c r="H978" s="162"/>
      <c r="I978" s="162"/>
      <c r="J978" s="162"/>
      <c r="K978" s="162"/>
      <c r="L978" s="162"/>
      <c r="M978" s="162"/>
      <c r="N978" s="162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62"/>
      <c r="C979" s="164"/>
      <c r="D979" s="162"/>
      <c r="E979" s="162"/>
      <c r="F979" s="162"/>
      <c r="G979" s="162"/>
      <c r="H979" s="162"/>
      <c r="I979" s="162"/>
      <c r="J979" s="162"/>
      <c r="K979" s="162"/>
      <c r="L979" s="162"/>
      <c r="M979" s="162"/>
      <c r="N979" s="162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62"/>
      <c r="C980" s="164"/>
      <c r="D980" s="162"/>
      <c r="E980" s="162"/>
      <c r="F980" s="162"/>
      <c r="G980" s="162"/>
      <c r="H980" s="162"/>
      <c r="I980" s="162"/>
      <c r="J980" s="162"/>
      <c r="K980" s="162"/>
      <c r="L980" s="162"/>
      <c r="M980" s="162"/>
      <c r="N980" s="162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62"/>
      <c r="C981" s="164"/>
      <c r="D981" s="162"/>
      <c r="E981" s="162"/>
      <c r="F981" s="162"/>
      <c r="G981" s="162"/>
      <c r="H981" s="162"/>
      <c r="I981" s="162"/>
      <c r="J981" s="162"/>
      <c r="K981" s="162"/>
      <c r="L981" s="162"/>
      <c r="M981" s="162"/>
      <c r="N981" s="162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62"/>
      <c r="C982" s="164"/>
      <c r="D982" s="162"/>
      <c r="E982" s="162"/>
      <c r="F982" s="162"/>
      <c r="G982" s="162"/>
      <c r="H982" s="162"/>
      <c r="I982" s="162"/>
      <c r="J982" s="162"/>
      <c r="K982" s="162"/>
      <c r="L982" s="162"/>
      <c r="M982" s="162"/>
      <c r="N982" s="162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62"/>
      <c r="C983" s="164"/>
      <c r="D983" s="162"/>
      <c r="E983" s="162"/>
      <c r="F983" s="162"/>
      <c r="G983" s="162"/>
      <c r="H983" s="162"/>
      <c r="I983" s="162"/>
      <c r="J983" s="162"/>
      <c r="K983" s="162"/>
      <c r="L983" s="162"/>
      <c r="M983" s="162"/>
      <c r="N983" s="162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62"/>
      <c r="C984" s="164"/>
      <c r="D984" s="162"/>
      <c r="E984" s="162"/>
      <c r="F984" s="162"/>
      <c r="G984" s="162"/>
      <c r="H984" s="162"/>
      <c r="I984" s="162"/>
      <c r="J984" s="162"/>
      <c r="K984" s="162"/>
      <c r="L984" s="162"/>
      <c r="M984" s="162"/>
      <c r="N984" s="162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62"/>
      <c r="C985" s="164"/>
      <c r="D985" s="162"/>
      <c r="E985" s="162"/>
      <c r="F985" s="162"/>
      <c r="G985" s="162"/>
      <c r="H985" s="162"/>
      <c r="I985" s="162"/>
      <c r="J985" s="162"/>
      <c r="K985" s="162"/>
      <c r="L985" s="162"/>
      <c r="M985" s="162"/>
      <c r="N985" s="162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62"/>
      <c r="C986" s="164"/>
      <c r="D986" s="162"/>
      <c r="E986" s="162"/>
      <c r="F986" s="162"/>
      <c r="G986" s="162"/>
      <c r="H986" s="162"/>
      <c r="I986" s="162"/>
      <c r="J986" s="162"/>
      <c r="K986" s="162"/>
      <c r="L986" s="162"/>
      <c r="M986" s="162"/>
      <c r="N986" s="162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62"/>
      <c r="C987" s="164"/>
      <c r="D987" s="162"/>
      <c r="E987" s="162"/>
      <c r="F987" s="162"/>
      <c r="G987" s="162"/>
      <c r="H987" s="162"/>
      <c r="I987" s="162"/>
      <c r="J987" s="162"/>
      <c r="K987" s="162"/>
      <c r="L987" s="162"/>
      <c r="M987" s="162"/>
      <c r="N987" s="162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62"/>
      <c r="C988" s="164"/>
      <c r="D988" s="162"/>
      <c r="E988" s="162"/>
      <c r="F988" s="162"/>
      <c r="G988" s="162"/>
      <c r="H988" s="162"/>
      <c r="I988" s="162"/>
      <c r="J988" s="162"/>
      <c r="K988" s="162"/>
      <c r="L988" s="162"/>
      <c r="M988" s="162"/>
      <c r="N988" s="162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62"/>
      <c r="C989" s="164"/>
      <c r="D989" s="162"/>
      <c r="E989" s="162"/>
      <c r="F989" s="162"/>
      <c r="G989" s="162"/>
      <c r="H989" s="162"/>
      <c r="I989" s="162"/>
      <c r="J989" s="162"/>
      <c r="K989" s="162"/>
      <c r="L989" s="162"/>
      <c r="M989" s="162"/>
      <c r="N989" s="162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62"/>
      <c r="C990" s="164"/>
      <c r="D990" s="162"/>
      <c r="E990" s="162"/>
      <c r="F990" s="162"/>
      <c r="G990" s="162"/>
      <c r="H990" s="162"/>
      <c r="I990" s="162"/>
      <c r="J990" s="162"/>
      <c r="K990" s="162"/>
      <c r="L990" s="162"/>
      <c r="M990" s="162"/>
      <c r="N990" s="162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62"/>
      <c r="C991" s="164"/>
      <c r="D991" s="162"/>
      <c r="E991" s="162"/>
      <c r="F991" s="162"/>
      <c r="G991" s="162"/>
      <c r="H991" s="162"/>
      <c r="I991" s="162"/>
      <c r="J991" s="162"/>
      <c r="K991" s="162"/>
      <c r="L991" s="162"/>
      <c r="M991" s="162"/>
      <c r="N991" s="162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162"/>
      <c r="C992" s="164"/>
      <c r="D992" s="162"/>
      <c r="E992" s="162"/>
      <c r="F992" s="162"/>
      <c r="G992" s="162"/>
      <c r="H992" s="162"/>
      <c r="I992" s="162"/>
      <c r="J992" s="162"/>
      <c r="K992" s="162"/>
      <c r="L992" s="162"/>
      <c r="M992" s="162"/>
      <c r="N992" s="162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162"/>
      <c r="C993" s="164"/>
      <c r="D993" s="162"/>
      <c r="E993" s="162"/>
      <c r="F993" s="162"/>
      <c r="G993" s="162"/>
      <c r="H993" s="162"/>
      <c r="I993" s="162"/>
      <c r="J993" s="162"/>
      <c r="K993" s="162"/>
      <c r="L993" s="162"/>
      <c r="M993" s="162"/>
      <c r="N993" s="162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162"/>
      <c r="C994" s="164"/>
      <c r="D994" s="162"/>
      <c r="E994" s="162"/>
      <c r="F994" s="162"/>
      <c r="G994" s="162"/>
      <c r="H994" s="162"/>
      <c r="I994" s="162"/>
      <c r="J994" s="162"/>
      <c r="K994" s="162"/>
      <c r="L994" s="162"/>
      <c r="M994" s="162"/>
      <c r="N994" s="162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162"/>
      <c r="C995" s="164"/>
      <c r="D995" s="162"/>
      <c r="E995" s="162"/>
      <c r="F995" s="162"/>
      <c r="G995" s="162"/>
      <c r="H995" s="162"/>
      <c r="I995" s="162"/>
      <c r="J995" s="162"/>
      <c r="K995" s="162"/>
      <c r="L995" s="162"/>
      <c r="M995" s="162"/>
      <c r="N995" s="162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  <row r="996">
      <c r="A996" s="162"/>
      <c r="B996" s="162"/>
      <c r="C996" s="164"/>
      <c r="D996" s="162"/>
      <c r="E996" s="162"/>
      <c r="F996" s="162"/>
      <c r="G996" s="162"/>
      <c r="H996" s="162"/>
      <c r="I996" s="162"/>
      <c r="J996" s="162"/>
      <c r="K996" s="162"/>
      <c r="L996" s="162"/>
      <c r="M996" s="162"/>
      <c r="N996" s="162"/>
      <c r="O996" s="162"/>
      <c r="P996" s="162"/>
      <c r="Q996" s="162"/>
      <c r="R996" s="162"/>
      <c r="S996" s="162"/>
      <c r="T996" s="162"/>
      <c r="U996" s="162"/>
      <c r="V996" s="162"/>
      <c r="W996" s="162"/>
      <c r="X996" s="162"/>
      <c r="Y996" s="162"/>
      <c r="Z996" s="162"/>
    </row>
    <row r="997">
      <c r="A997" s="162"/>
      <c r="B997" s="162"/>
      <c r="C997" s="164"/>
      <c r="D997" s="162"/>
      <c r="E997" s="162"/>
      <c r="F997" s="162"/>
      <c r="G997" s="162"/>
      <c r="H997" s="162"/>
      <c r="I997" s="162"/>
      <c r="J997" s="162"/>
      <c r="K997" s="162"/>
      <c r="L997" s="162"/>
      <c r="M997" s="162"/>
      <c r="N997" s="162"/>
      <c r="O997" s="162"/>
      <c r="P997" s="162"/>
      <c r="Q997" s="162"/>
      <c r="R997" s="162"/>
      <c r="S997" s="162"/>
      <c r="T997" s="162"/>
      <c r="U997" s="162"/>
      <c r="V997" s="162"/>
      <c r="W997" s="162"/>
      <c r="X997" s="162"/>
      <c r="Y997" s="162"/>
      <c r="Z997" s="162"/>
    </row>
    <row r="998">
      <c r="A998" s="162"/>
      <c r="B998" s="162"/>
      <c r="C998" s="164"/>
      <c r="D998" s="162"/>
      <c r="E998" s="162"/>
      <c r="F998" s="162"/>
      <c r="G998" s="162"/>
      <c r="H998" s="162"/>
      <c r="I998" s="162"/>
      <c r="J998" s="162"/>
      <c r="K998" s="162"/>
      <c r="L998" s="162"/>
      <c r="M998" s="162"/>
      <c r="N998" s="162"/>
      <c r="O998" s="162"/>
      <c r="P998" s="162"/>
      <c r="Q998" s="162"/>
      <c r="R998" s="162"/>
      <c r="S998" s="162"/>
      <c r="T998" s="162"/>
      <c r="U998" s="162"/>
      <c r="V998" s="162"/>
      <c r="W998" s="162"/>
      <c r="X998" s="162"/>
      <c r="Y998" s="162"/>
      <c r="Z998" s="162"/>
    </row>
    <row r="999">
      <c r="A999" s="162"/>
      <c r="B999" s="162"/>
      <c r="C999" s="164"/>
      <c r="D999" s="162"/>
      <c r="E999" s="162"/>
      <c r="F999" s="162"/>
      <c r="G999" s="162"/>
      <c r="H999" s="162"/>
      <c r="I999" s="162"/>
      <c r="J999" s="162"/>
      <c r="K999" s="162"/>
      <c r="L999" s="162"/>
      <c r="M999" s="162"/>
      <c r="N999" s="162"/>
      <c r="O999" s="162"/>
      <c r="P999" s="162"/>
      <c r="Q999" s="162"/>
      <c r="R999" s="162"/>
      <c r="S999" s="162"/>
      <c r="T999" s="162"/>
      <c r="U999" s="162"/>
      <c r="V999" s="162"/>
      <c r="W999" s="162"/>
      <c r="X999" s="162"/>
      <c r="Y999" s="162"/>
      <c r="Z999" s="162"/>
    </row>
    <row r="1000">
      <c r="A1000" s="162"/>
      <c r="B1000" s="162"/>
      <c r="C1000" s="164"/>
      <c r="D1000" s="162"/>
      <c r="E1000" s="162"/>
      <c r="F1000" s="162"/>
      <c r="G1000" s="162"/>
      <c r="H1000" s="162"/>
      <c r="I1000" s="162"/>
      <c r="J1000" s="162"/>
      <c r="K1000" s="162"/>
      <c r="L1000" s="162"/>
      <c r="M1000" s="162"/>
      <c r="N1000" s="162"/>
      <c r="O1000" s="162"/>
      <c r="P1000" s="162"/>
      <c r="Q1000" s="162"/>
      <c r="R1000" s="162"/>
      <c r="S1000" s="162"/>
      <c r="T1000" s="162"/>
      <c r="U1000" s="162"/>
      <c r="V1000" s="162"/>
      <c r="W1000" s="162"/>
      <c r="X1000" s="162"/>
      <c r="Y1000" s="162"/>
      <c r="Z1000" s="16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23.44"/>
    <col customWidth="1" min="4" max="4" width="14.22"/>
    <col customWidth="1" min="5" max="5" width="18.89"/>
    <col customWidth="1" min="7" max="7" width="11.78"/>
    <col customWidth="1" min="11" max="14" width="4.44"/>
  </cols>
  <sheetData>
    <row r="1">
      <c r="A1" s="168" t="s">
        <v>239</v>
      </c>
      <c r="B1" s="168" t="s">
        <v>240</v>
      </c>
      <c r="C1" s="169" t="s">
        <v>241</v>
      </c>
      <c r="D1" s="169" t="s">
        <v>329</v>
      </c>
      <c r="E1" s="169" t="s">
        <v>330</v>
      </c>
      <c r="F1" s="169" t="s">
        <v>331</v>
      </c>
      <c r="G1" s="169" t="s">
        <v>332</v>
      </c>
      <c r="H1" s="170">
        <f>40*(3+2*5)</f>
        <v>520</v>
      </c>
      <c r="I1" s="171" t="s">
        <v>333</v>
      </c>
      <c r="J1" s="172"/>
      <c r="K1" s="172"/>
      <c r="L1" s="172"/>
      <c r="M1" s="172"/>
      <c r="N1" s="172"/>
      <c r="O1" s="173" t="s">
        <v>334</v>
      </c>
      <c r="P1" s="173" t="s">
        <v>335</v>
      </c>
      <c r="Q1" s="174"/>
      <c r="R1" s="173" t="s">
        <v>336</v>
      </c>
      <c r="S1" s="173" t="s">
        <v>337</v>
      </c>
      <c r="T1" s="174"/>
      <c r="U1" s="174"/>
      <c r="V1" s="173" t="s">
        <v>338</v>
      </c>
      <c r="W1" s="173" t="s">
        <v>339</v>
      </c>
      <c r="X1" s="174"/>
      <c r="Y1" s="174"/>
      <c r="Z1" s="174"/>
      <c r="AA1" s="174"/>
      <c r="AB1" s="174"/>
      <c r="AC1" s="173" t="s">
        <v>340</v>
      </c>
      <c r="AD1" s="172"/>
      <c r="AE1" s="172"/>
      <c r="AF1" s="172"/>
      <c r="AG1" s="172"/>
      <c r="AH1" s="172"/>
      <c r="AI1" s="172"/>
      <c r="AJ1" s="172"/>
      <c r="AK1" s="172"/>
      <c r="AL1" s="172"/>
      <c r="AM1" s="172"/>
    </row>
    <row r="2">
      <c r="A2" s="175">
        <v>45721.0</v>
      </c>
      <c r="B2" s="176">
        <f>TODAY()</f>
        <v>46134</v>
      </c>
      <c r="C2" s="177">
        <f>B4</f>
        <v>296</v>
      </c>
      <c r="D2" s="177">
        <f>C2/5</f>
        <v>59.2</v>
      </c>
      <c r="E2" s="178">
        <f>D2*H1</f>
        <v>30784</v>
      </c>
      <c r="F2" s="178">
        <f>SUM(AUSENCIA!B2:B200)</f>
        <v>369</v>
      </c>
      <c r="G2" s="179">
        <f>F2/E2</f>
        <v>0.01198674636</v>
      </c>
      <c r="H2" s="172"/>
      <c r="I2" s="172"/>
      <c r="J2" s="172"/>
      <c r="K2" s="172"/>
      <c r="L2" s="172"/>
      <c r="M2" s="172"/>
      <c r="N2" s="172"/>
      <c r="O2" s="174" t="s">
        <v>341</v>
      </c>
      <c r="P2" s="174" t="s">
        <v>342</v>
      </c>
      <c r="Q2" s="174"/>
      <c r="R2" s="174" t="s">
        <v>336</v>
      </c>
      <c r="S2" s="174" t="s">
        <v>337</v>
      </c>
      <c r="T2" s="174"/>
      <c r="U2" s="174"/>
      <c r="V2" s="174" t="s">
        <v>338</v>
      </c>
      <c r="W2" s="180" t="s">
        <v>343</v>
      </c>
      <c r="X2" s="174"/>
      <c r="Y2" s="181"/>
      <c r="Z2" s="182"/>
      <c r="AA2" s="174"/>
      <c r="AB2" s="174"/>
      <c r="AC2" s="180" t="s">
        <v>344</v>
      </c>
      <c r="AD2" s="172"/>
      <c r="AE2" s="172"/>
      <c r="AF2" s="172"/>
      <c r="AG2" s="172"/>
      <c r="AH2" s="172"/>
      <c r="AI2" s="172"/>
      <c r="AJ2" s="172"/>
      <c r="AK2" s="172"/>
      <c r="AL2" s="172"/>
      <c r="AM2" s="172"/>
    </row>
    <row r="3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4" t="s">
        <v>345</v>
      </c>
      <c r="P3" s="174" t="s">
        <v>346</v>
      </c>
      <c r="Q3" s="174"/>
      <c r="R3" s="174" t="s">
        <v>336</v>
      </c>
      <c r="S3" s="174" t="s">
        <v>337</v>
      </c>
      <c r="T3" s="174"/>
      <c r="U3" s="174"/>
      <c r="V3" s="174" t="s">
        <v>347</v>
      </c>
      <c r="W3" s="180" t="s">
        <v>348</v>
      </c>
      <c r="X3" s="174"/>
      <c r="Y3" s="174"/>
      <c r="Z3" s="174"/>
      <c r="AA3" s="174"/>
      <c r="AB3" s="174"/>
      <c r="AC3" s="180" t="s">
        <v>349</v>
      </c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4">
      <c r="A4" s="183" t="s">
        <v>350</v>
      </c>
      <c r="B4" s="184">
        <f>_xlfn.NETWORKDAYS.INTL(A2,B2,1,H5:H43)</f>
        <v>296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4" t="s">
        <v>351</v>
      </c>
      <c r="P4" s="174" t="s">
        <v>352</v>
      </c>
      <c r="Q4" s="174"/>
      <c r="R4" s="174" t="s">
        <v>336</v>
      </c>
      <c r="S4" s="174" t="s">
        <v>337</v>
      </c>
      <c r="T4" s="174"/>
      <c r="U4" s="174"/>
      <c r="V4" s="174" t="s">
        <v>353</v>
      </c>
      <c r="W4" s="174" t="s">
        <v>354</v>
      </c>
      <c r="X4" s="174" t="s">
        <v>355</v>
      </c>
      <c r="Y4" s="185">
        <v>2.3967976E7</v>
      </c>
      <c r="Z4" s="186">
        <v>27181.0</v>
      </c>
      <c r="AA4" s="174"/>
      <c r="AB4" s="174"/>
      <c r="AC4" s="180" t="s">
        <v>356</v>
      </c>
      <c r="AD4" s="172"/>
      <c r="AE4" s="172"/>
      <c r="AF4" s="172"/>
      <c r="AG4" s="172"/>
      <c r="AH4" s="172"/>
      <c r="AI4" s="172"/>
      <c r="AJ4" s="172"/>
      <c r="AK4" s="172"/>
      <c r="AL4" s="172"/>
      <c r="AM4" s="172"/>
    </row>
    <row r="5">
      <c r="A5" s="172"/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4" t="s">
        <v>357</v>
      </c>
      <c r="P5" s="174" t="s">
        <v>358</v>
      </c>
      <c r="Q5" s="174"/>
      <c r="R5" s="174" t="s">
        <v>336</v>
      </c>
      <c r="S5" s="174" t="s">
        <v>337</v>
      </c>
      <c r="T5" s="174"/>
      <c r="U5" s="174"/>
      <c r="V5" s="174" t="s">
        <v>347</v>
      </c>
      <c r="W5" s="174" t="s">
        <v>359</v>
      </c>
      <c r="X5" s="174" t="s">
        <v>360</v>
      </c>
      <c r="Y5" s="185">
        <v>4.1472663E7</v>
      </c>
      <c r="Z5" s="186">
        <v>36034.0</v>
      </c>
      <c r="AA5" s="174"/>
      <c r="AB5" s="174"/>
      <c r="AC5" s="174" t="s">
        <v>361</v>
      </c>
      <c r="AD5" s="172"/>
      <c r="AE5" s="172"/>
      <c r="AF5" s="172"/>
      <c r="AG5" s="172"/>
      <c r="AH5" s="172"/>
      <c r="AI5" s="172"/>
      <c r="AJ5" s="172"/>
      <c r="AK5" s="172"/>
      <c r="AL5" s="172"/>
      <c r="AM5" s="172"/>
    </row>
    <row r="6">
      <c r="A6" s="172"/>
      <c r="B6" s="172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4" t="s">
        <v>362</v>
      </c>
      <c r="P6" s="174" t="s">
        <v>363</v>
      </c>
      <c r="Q6" s="174"/>
      <c r="R6" s="174" t="s">
        <v>336</v>
      </c>
      <c r="S6" s="174" t="s">
        <v>337</v>
      </c>
      <c r="T6" s="174"/>
      <c r="U6" s="174"/>
      <c r="V6" s="174" t="s">
        <v>338</v>
      </c>
      <c r="W6" s="180" t="s">
        <v>364</v>
      </c>
      <c r="X6" s="174"/>
      <c r="Y6" s="174"/>
      <c r="Z6" s="174"/>
      <c r="AA6" s="174"/>
      <c r="AB6" s="174"/>
      <c r="AC6" s="174" t="s">
        <v>365</v>
      </c>
      <c r="AD6" s="172"/>
      <c r="AE6" s="172"/>
      <c r="AF6" s="172"/>
      <c r="AG6" s="172"/>
      <c r="AH6" s="172"/>
      <c r="AI6" s="172"/>
      <c r="AJ6" s="172"/>
      <c r="AK6" s="172"/>
      <c r="AL6" s="172"/>
      <c r="AM6" s="172"/>
    </row>
    <row r="7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4" t="s">
        <v>247</v>
      </c>
      <c r="P7" s="174" t="s">
        <v>366</v>
      </c>
      <c r="Q7" s="174"/>
      <c r="R7" s="174" t="s">
        <v>336</v>
      </c>
      <c r="S7" s="174" t="s">
        <v>337</v>
      </c>
      <c r="T7" s="174"/>
      <c r="U7" s="174"/>
      <c r="V7" s="174" t="s">
        <v>338</v>
      </c>
      <c r="W7" s="174" t="s">
        <v>367</v>
      </c>
      <c r="X7" s="174" t="s">
        <v>368</v>
      </c>
      <c r="Y7" s="185">
        <v>9.3620491E7</v>
      </c>
      <c r="Z7" s="186">
        <v>25092.0</v>
      </c>
      <c r="AA7" s="174"/>
      <c r="AB7" s="174"/>
      <c r="AC7" s="180" t="s">
        <v>369</v>
      </c>
      <c r="AD7" s="172"/>
      <c r="AE7" s="172"/>
      <c r="AF7" s="172"/>
      <c r="AG7" s="172"/>
      <c r="AH7" s="172"/>
      <c r="AI7" s="172"/>
      <c r="AJ7" s="172"/>
      <c r="AK7" s="172"/>
      <c r="AL7" s="172"/>
      <c r="AM7" s="172"/>
    </row>
    <row r="8">
      <c r="A8" s="187" t="s">
        <v>370</v>
      </c>
      <c r="B8" s="188"/>
      <c r="C8" s="187" t="s">
        <v>371</v>
      </c>
      <c r="D8" s="188"/>
      <c r="E8" s="172"/>
      <c r="F8" s="172"/>
      <c r="G8" s="171" t="s">
        <v>372</v>
      </c>
      <c r="H8" s="189">
        <v>45379.0</v>
      </c>
      <c r="I8" s="190" t="s">
        <v>373</v>
      </c>
      <c r="J8" s="172"/>
      <c r="K8" s="172"/>
      <c r="L8" s="172"/>
      <c r="M8" s="172"/>
      <c r="N8" s="172"/>
      <c r="O8" s="174" t="s">
        <v>374</v>
      </c>
      <c r="P8" s="174" t="s">
        <v>375</v>
      </c>
      <c r="Q8" s="174"/>
      <c r="R8" s="174" t="s">
        <v>336</v>
      </c>
      <c r="S8" s="174" t="s">
        <v>337</v>
      </c>
      <c r="T8" s="174"/>
      <c r="U8" s="174"/>
      <c r="V8" s="174" t="s">
        <v>338</v>
      </c>
      <c r="W8" s="174" t="s">
        <v>376</v>
      </c>
      <c r="X8" s="174" t="s">
        <v>377</v>
      </c>
      <c r="Y8" s="185">
        <v>3.9921499E7</v>
      </c>
      <c r="Z8" s="186">
        <v>35376.0</v>
      </c>
      <c r="AA8" s="174"/>
      <c r="AB8" s="174"/>
      <c r="AC8" s="180" t="s">
        <v>378</v>
      </c>
      <c r="AD8" s="172"/>
      <c r="AE8" s="172"/>
      <c r="AF8" s="172"/>
      <c r="AG8" s="172"/>
      <c r="AH8" s="172"/>
      <c r="AI8" s="172"/>
      <c r="AJ8" s="172"/>
      <c r="AK8" s="172"/>
      <c r="AL8" s="172"/>
      <c r="AM8" s="172"/>
    </row>
    <row r="9">
      <c r="A9" s="191" t="s">
        <v>127</v>
      </c>
      <c r="B9" s="188"/>
      <c r="C9" s="171" t="s">
        <v>6</v>
      </c>
      <c r="D9" s="172"/>
      <c r="E9" s="172"/>
      <c r="F9" s="172"/>
      <c r="G9" s="192"/>
      <c r="H9" s="189">
        <f>H8+1</f>
        <v>45380</v>
      </c>
      <c r="I9" s="190" t="s">
        <v>379</v>
      </c>
      <c r="J9" s="172"/>
      <c r="K9" s="172"/>
      <c r="L9" s="172"/>
      <c r="M9" s="172"/>
      <c r="N9" s="172"/>
      <c r="O9" s="174" t="s">
        <v>380</v>
      </c>
      <c r="P9" s="174" t="s">
        <v>381</v>
      </c>
      <c r="Q9" s="174"/>
      <c r="R9" s="174" t="s">
        <v>336</v>
      </c>
      <c r="S9" s="174" t="s">
        <v>337</v>
      </c>
      <c r="T9" s="174"/>
      <c r="U9" s="174"/>
      <c r="V9" s="174" t="s">
        <v>338</v>
      </c>
      <c r="W9" s="180" t="s">
        <v>382</v>
      </c>
      <c r="X9" s="174"/>
      <c r="Y9" s="174"/>
      <c r="Z9" s="174"/>
      <c r="AA9" s="174"/>
      <c r="AB9" s="174"/>
      <c r="AC9" s="180" t="s">
        <v>383</v>
      </c>
      <c r="AD9" s="172"/>
      <c r="AE9" s="172"/>
      <c r="AF9" s="172"/>
      <c r="AG9" s="172"/>
      <c r="AH9" s="172"/>
      <c r="AI9" s="172"/>
      <c r="AJ9" s="172"/>
      <c r="AK9" s="172"/>
      <c r="AL9" s="172"/>
      <c r="AM9" s="172"/>
    </row>
    <row r="10">
      <c r="A10" s="160" t="s">
        <v>111</v>
      </c>
      <c r="B10" s="188"/>
      <c r="C10" s="171" t="s">
        <v>8</v>
      </c>
      <c r="D10" s="172"/>
      <c r="E10" s="172"/>
      <c r="F10" s="172"/>
      <c r="G10" s="172"/>
      <c r="H10" s="189">
        <v>45383.0</v>
      </c>
      <c r="I10" s="190" t="s">
        <v>384</v>
      </c>
      <c r="J10" s="172"/>
      <c r="K10" s="172"/>
      <c r="L10" s="172"/>
      <c r="M10" s="172"/>
      <c r="N10" s="172"/>
      <c r="O10" s="174" t="s">
        <v>252</v>
      </c>
      <c r="P10" s="180" t="s">
        <v>385</v>
      </c>
      <c r="Q10" s="174"/>
      <c r="R10" s="174" t="s">
        <v>336</v>
      </c>
      <c r="S10" s="174" t="s">
        <v>386</v>
      </c>
      <c r="T10" s="174"/>
      <c r="U10" s="174" t="s">
        <v>338</v>
      </c>
      <c r="V10" s="174" t="s">
        <v>338</v>
      </c>
      <c r="W10" s="174" t="s">
        <v>387</v>
      </c>
      <c r="X10" s="174" t="s">
        <v>388</v>
      </c>
      <c r="Y10" s="185">
        <v>3.9000671E7</v>
      </c>
      <c r="Z10" s="186">
        <v>35027.0</v>
      </c>
      <c r="AA10" s="174"/>
      <c r="AB10" s="174"/>
      <c r="AC10" s="180" t="s">
        <v>389</v>
      </c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</row>
    <row r="11">
      <c r="A11" s="160" t="s">
        <v>165</v>
      </c>
      <c r="B11" s="188"/>
      <c r="C11" s="171" t="s">
        <v>390</v>
      </c>
      <c r="D11" s="172"/>
      <c r="E11" s="172"/>
      <c r="F11" s="172"/>
      <c r="G11" s="172"/>
      <c r="H11" s="189">
        <v>45384.0</v>
      </c>
      <c r="I11" s="190" t="s">
        <v>391</v>
      </c>
      <c r="J11" s="172"/>
      <c r="K11" s="172"/>
      <c r="L11" s="172"/>
      <c r="M11" s="172"/>
      <c r="N11" s="172"/>
      <c r="O11" s="174" t="s">
        <v>392</v>
      </c>
      <c r="P11" s="174" t="s">
        <v>393</v>
      </c>
      <c r="Q11" s="174"/>
      <c r="R11" s="174" t="s">
        <v>336</v>
      </c>
      <c r="S11" s="174" t="s">
        <v>337</v>
      </c>
      <c r="T11" s="174"/>
      <c r="U11" s="174"/>
      <c r="V11" s="174" t="s">
        <v>338</v>
      </c>
      <c r="W11" s="174" t="s">
        <v>394</v>
      </c>
      <c r="X11" s="174" t="s">
        <v>395</v>
      </c>
      <c r="Y11" s="185">
        <v>4.3573472E7</v>
      </c>
      <c r="Z11" s="186">
        <v>37224.0</v>
      </c>
      <c r="AA11" s="174"/>
      <c r="AB11" s="174"/>
      <c r="AC11" s="180" t="s">
        <v>396</v>
      </c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</row>
    <row r="12">
      <c r="A12" s="160" t="s">
        <v>131</v>
      </c>
      <c r="B12" s="188"/>
      <c r="C12" s="171" t="s">
        <v>397</v>
      </c>
      <c r="D12" s="172"/>
      <c r="E12" s="172"/>
      <c r="F12" s="172"/>
      <c r="G12" s="172"/>
      <c r="H12" s="189">
        <v>45413.0</v>
      </c>
      <c r="I12" s="190" t="s">
        <v>398</v>
      </c>
      <c r="J12" s="172"/>
      <c r="K12" s="172"/>
      <c r="L12" s="172"/>
      <c r="M12" s="172"/>
      <c r="N12" s="172"/>
      <c r="O12" s="174" t="s">
        <v>255</v>
      </c>
      <c r="P12" s="180" t="s">
        <v>399</v>
      </c>
      <c r="Q12" s="174"/>
      <c r="R12" s="174" t="s">
        <v>336</v>
      </c>
      <c r="S12" s="174" t="s">
        <v>337</v>
      </c>
      <c r="T12" s="174"/>
      <c r="U12" s="174"/>
      <c r="V12" s="174" t="s">
        <v>338</v>
      </c>
      <c r="W12" s="174" t="s">
        <v>400</v>
      </c>
      <c r="X12" s="174" t="s">
        <v>401</v>
      </c>
      <c r="Y12" s="185">
        <v>3.8271145E7</v>
      </c>
      <c r="Z12" s="186">
        <v>34500.0</v>
      </c>
      <c r="AA12" s="174"/>
      <c r="AB12" s="174"/>
      <c r="AC12" s="180" t="s">
        <v>402</v>
      </c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</row>
    <row r="13">
      <c r="A13" s="160" t="s">
        <v>70</v>
      </c>
      <c r="B13" s="188"/>
      <c r="C13" s="171" t="s">
        <v>14</v>
      </c>
      <c r="D13" s="172"/>
      <c r="E13" s="172"/>
      <c r="F13" s="172"/>
      <c r="G13" s="172"/>
      <c r="J13" s="172"/>
      <c r="K13" s="172"/>
      <c r="L13" s="172"/>
      <c r="M13" s="172"/>
      <c r="N13" s="172"/>
      <c r="O13" s="174" t="s">
        <v>258</v>
      </c>
      <c r="P13" s="174" t="s">
        <v>403</v>
      </c>
      <c r="Q13" s="174"/>
      <c r="R13" s="174" t="s">
        <v>336</v>
      </c>
      <c r="S13" s="174" t="s">
        <v>337</v>
      </c>
      <c r="T13" s="174"/>
      <c r="U13" s="174"/>
      <c r="V13" s="174" t="s">
        <v>347</v>
      </c>
      <c r="W13" s="180" t="s">
        <v>404</v>
      </c>
      <c r="X13" s="174"/>
      <c r="Y13" s="181"/>
      <c r="Z13" s="182"/>
      <c r="AA13" s="174"/>
      <c r="AB13" s="174"/>
      <c r="AC13" s="180" t="s">
        <v>257</v>
      </c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</row>
    <row r="14">
      <c r="A14" s="160" t="s">
        <v>77</v>
      </c>
      <c r="B14" s="188"/>
      <c r="C14" s="171" t="s">
        <v>169</v>
      </c>
      <c r="D14" s="172"/>
      <c r="E14" s="172"/>
      <c r="F14" s="172"/>
      <c r="G14" s="172"/>
      <c r="J14" s="172"/>
      <c r="K14" s="172"/>
      <c r="L14" s="172"/>
      <c r="M14" s="172"/>
      <c r="N14" s="172"/>
      <c r="O14" s="174" t="s">
        <v>260</v>
      </c>
      <c r="P14" s="174" t="s">
        <v>405</v>
      </c>
      <c r="Q14" s="174"/>
      <c r="R14" s="174" t="s">
        <v>336</v>
      </c>
      <c r="S14" s="174" t="s">
        <v>337</v>
      </c>
      <c r="T14" s="174"/>
      <c r="U14" s="174"/>
      <c r="V14" s="174" t="s">
        <v>338</v>
      </c>
      <c r="W14" s="174" t="s">
        <v>406</v>
      </c>
      <c r="X14" s="174" t="s">
        <v>407</v>
      </c>
      <c r="Y14" s="185">
        <v>3.8130066E7</v>
      </c>
      <c r="Z14" s="186">
        <v>34362.0</v>
      </c>
      <c r="AA14" s="174"/>
      <c r="AB14" s="174"/>
      <c r="AC14" s="180" t="s">
        <v>408</v>
      </c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</row>
    <row r="15">
      <c r="A15" s="160" t="s">
        <v>83</v>
      </c>
      <c r="B15" s="188"/>
      <c r="C15" s="171" t="s">
        <v>10</v>
      </c>
      <c r="D15" s="172"/>
      <c r="E15" s="172"/>
      <c r="F15" s="172"/>
      <c r="G15" s="172"/>
      <c r="H15" s="189">
        <v>45463.0</v>
      </c>
      <c r="I15" s="190"/>
      <c r="J15" s="172"/>
      <c r="K15" s="172"/>
      <c r="L15" s="172"/>
      <c r="M15" s="172"/>
      <c r="N15" s="172"/>
      <c r="O15" s="174" t="s">
        <v>409</v>
      </c>
      <c r="P15" s="174" t="s">
        <v>410</v>
      </c>
      <c r="Q15" s="174"/>
      <c r="R15" s="174" t="s">
        <v>336</v>
      </c>
      <c r="S15" s="174" t="s">
        <v>337</v>
      </c>
      <c r="T15" s="174"/>
      <c r="U15" s="174"/>
      <c r="V15" s="174" t="s">
        <v>353</v>
      </c>
      <c r="W15" s="174" t="s">
        <v>411</v>
      </c>
      <c r="X15" s="174" t="s">
        <v>412</v>
      </c>
      <c r="Y15" s="185">
        <v>2.3644015E7</v>
      </c>
      <c r="Z15" s="186">
        <v>26980.0</v>
      </c>
      <c r="AA15" s="174"/>
      <c r="AB15" s="174"/>
      <c r="AC15" s="180" t="s">
        <v>413</v>
      </c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</row>
    <row r="16">
      <c r="A16" s="160" t="s">
        <v>81</v>
      </c>
      <c r="B16" s="188"/>
      <c r="C16" s="171" t="s">
        <v>151</v>
      </c>
      <c r="D16" s="172"/>
      <c r="E16" s="172"/>
      <c r="F16" s="172"/>
      <c r="G16" s="172"/>
      <c r="H16" s="189">
        <v>45464.0</v>
      </c>
      <c r="I16" s="190"/>
      <c r="J16" s="172"/>
      <c r="K16" s="172"/>
      <c r="L16" s="172"/>
      <c r="M16" s="172"/>
      <c r="N16" s="172"/>
      <c r="O16" s="174" t="s">
        <v>264</v>
      </c>
      <c r="P16" s="174" t="s">
        <v>414</v>
      </c>
      <c r="Q16" s="174"/>
      <c r="R16" s="174" t="s">
        <v>336</v>
      </c>
      <c r="S16" s="174" t="s">
        <v>337</v>
      </c>
      <c r="T16" s="174"/>
      <c r="U16" s="174"/>
      <c r="V16" s="174" t="s">
        <v>338</v>
      </c>
      <c r="W16" s="180" t="s">
        <v>415</v>
      </c>
      <c r="X16" s="174"/>
      <c r="Y16" s="181"/>
      <c r="Z16" s="182"/>
      <c r="AA16" s="174"/>
      <c r="AB16" s="174"/>
      <c r="AC16" s="180" t="s">
        <v>416</v>
      </c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</row>
    <row r="17">
      <c r="A17" s="160" t="s">
        <v>71</v>
      </c>
      <c r="B17" s="188"/>
      <c r="C17" s="171" t="s">
        <v>173</v>
      </c>
      <c r="D17" s="172"/>
      <c r="E17" s="172"/>
      <c r="F17" s="172"/>
      <c r="G17" s="172"/>
      <c r="H17" s="193">
        <v>45488.0</v>
      </c>
      <c r="I17" s="194" t="s">
        <v>417</v>
      </c>
      <c r="J17" s="172"/>
      <c r="K17" s="172"/>
      <c r="L17" s="172"/>
      <c r="M17" s="172"/>
      <c r="N17" s="172"/>
      <c r="O17" s="174" t="s">
        <v>418</v>
      </c>
      <c r="P17" s="174" t="s">
        <v>419</v>
      </c>
      <c r="Q17" s="174"/>
      <c r="R17" s="174" t="s">
        <v>336</v>
      </c>
      <c r="S17" s="174" t="s">
        <v>337</v>
      </c>
      <c r="T17" s="174"/>
      <c r="U17" s="174"/>
      <c r="V17" s="174" t="s">
        <v>338</v>
      </c>
      <c r="W17" s="174" t="s">
        <v>420</v>
      </c>
      <c r="X17" s="174" t="s">
        <v>421</v>
      </c>
      <c r="Y17" s="185">
        <v>2.1055137E7</v>
      </c>
      <c r="Z17" s="186">
        <v>25407.0</v>
      </c>
      <c r="AA17" s="174"/>
      <c r="AB17" s="174"/>
      <c r="AC17" s="180" t="s">
        <v>422</v>
      </c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</row>
    <row r="18">
      <c r="A18" s="160" t="s">
        <v>117</v>
      </c>
      <c r="B18" s="188"/>
      <c r="C18" s="171" t="s">
        <v>423</v>
      </c>
      <c r="D18" s="172"/>
      <c r="E18" s="172"/>
      <c r="F18" s="172"/>
      <c r="G18" s="172"/>
      <c r="H18" s="193">
        <f t="shared" ref="H18:H28" si="1">H17+1</f>
        <v>45489</v>
      </c>
      <c r="I18" s="194" t="s">
        <v>417</v>
      </c>
      <c r="J18" s="172"/>
      <c r="K18" s="172"/>
      <c r="L18" s="172"/>
      <c r="M18" s="172"/>
      <c r="N18" s="172"/>
      <c r="O18" s="174" t="s">
        <v>424</v>
      </c>
      <c r="P18" s="174" t="s">
        <v>425</v>
      </c>
      <c r="Q18" s="174"/>
      <c r="R18" s="174" t="s">
        <v>336</v>
      </c>
      <c r="S18" s="174" t="s">
        <v>337</v>
      </c>
      <c r="T18" s="174"/>
      <c r="U18" s="174"/>
      <c r="V18" s="174" t="s">
        <v>338</v>
      </c>
      <c r="W18" s="180" t="s">
        <v>426</v>
      </c>
      <c r="X18" s="174"/>
      <c r="Y18" s="174"/>
      <c r="Z18" s="174"/>
      <c r="AA18" s="174"/>
      <c r="AB18" s="174"/>
      <c r="AC18" s="180" t="s">
        <v>427</v>
      </c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</row>
    <row r="19">
      <c r="A19" s="160" t="s">
        <v>201</v>
      </c>
      <c r="B19" s="188"/>
      <c r="C19" s="171" t="s">
        <v>167</v>
      </c>
      <c r="D19" s="172"/>
      <c r="E19" s="172"/>
      <c r="F19" s="172"/>
      <c r="G19" s="172"/>
      <c r="H19" s="193">
        <f t="shared" si="1"/>
        <v>45490</v>
      </c>
      <c r="I19" s="194" t="s">
        <v>417</v>
      </c>
      <c r="J19" s="172"/>
      <c r="K19" s="172"/>
      <c r="L19" s="172"/>
      <c r="M19" s="172"/>
      <c r="N19" s="172"/>
      <c r="O19" s="174" t="s">
        <v>428</v>
      </c>
      <c r="P19" s="174" t="s">
        <v>429</v>
      </c>
      <c r="Q19" s="174"/>
      <c r="R19" s="174" t="s">
        <v>336</v>
      </c>
      <c r="S19" s="174" t="s">
        <v>337</v>
      </c>
      <c r="T19" s="174"/>
      <c r="U19" s="174"/>
      <c r="V19" s="174" t="s">
        <v>338</v>
      </c>
      <c r="W19" s="180" t="s">
        <v>430</v>
      </c>
      <c r="X19" s="174"/>
      <c r="Y19" s="181"/>
      <c r="Z19" s="182"/>
      <c r="AA19" s="174"/>
      <c r="AB19" s="174"/>
      <c r="AC19" s="180" t="s">
        <v>431</v>
      </c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</row>
    <row r="20">
      <c r="A20" s="160" t="s">
        <v>267</v>
      </c>
      <c r="B20" s="188"/>
      <c r="C20" s="171" t="s">
        <v>13</v>
      </c>
      <c r="D20" s="172"/>
      <c r="E20" s="172"/>
      <c r="F20" s="172"/>
      <c r="G20" s="172"/>
      <c r="H20" s="193">
        <f t="shared" si="1"/>
        <v>45491</v>
      </c>
      <c r="I20" s="194" t="s">
        <v>417</v>
      </c>
      <c r="J20" s="172"/>
      <c r="K20" s="172"/>
      <c r="L20" s="172"/>
      <c r="M20" s="172"/>
      <c r="N20" s="172"/>
      <c r="O20" s="174" t="s">
        <v>432</v>
      </c>
      <c r="P20" s="174" t="s">
        <v>433</v>
      </c>
      <c r="Q20" s="174"/>
      <c r="R20" s="174" t="s">
        <v>336</v>
      </c>
      <c r="S20" s="174" t="s">
        <v>386</v>
      </c>
      <c r="T20" s="174"/>
      <c r="U20" s="174" t="s">
        <v>353</v>
      </c>
      <c r="V20" s="174" t="s">
        <v>338</v>
      </c>
      <c r="W20" s="174" t="s">
        <v>434</v>
      </c>
      <c r="X20" s="174" t="s">
        <v>435</v>
      </c>
      <c r="Y20" s="185">
        <v>2.2706578E7</v>
      </c>
      <c r="Z20" s="186">
        <v>26385.0</v>
      </c>
      <c r="AA20" s="174"/>
      <c r="AB20" s="174"/>
      <c r="AC20" s="180" t="s">
        <v>436</v>
      </c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</row>
    <row r="21">
      <c r="A21" s="160" t="s">
        <v>89</v>
      </c>
      <c r="B21" s="188"/>
      <c r="C21" s="171" t="s">
        <v>4</v>
      </c>
      <c r="D21" s="172"/>
      <c r="E21" s="172"/>
      <c r="F21" s="172"/>
      <c r="G21" s="172"/>
      <c r="H21" s="193">
        <f t="shared" si="1"/>
        <v>45492</v>
      </c>
      <c r="I21" s="194" t="s">
        <v>417</v>
      </c>
      <c r="J21" s="172"/>
      <c r="K21" s="172"/>
      <c r="L21" s="172"/>
      <c r="M21" s="172"/>
      <c r="N21" s="172"/>
      <c r="O21" s="174" t="s">
        <v>437</v>
      </c>
      <c r="P21" s="174" t="s">
        <v>438</v>
      </c>
      <c r="Q21" s="174"/>
      <c r="R21" s="174" t="s">
        <v>336</v>
      </c>
      <c r="S21" s="174" t="s">
        <v>337</v>
      </c>
      <c r="T21" s="174"/>
      <c r="U21" s="174"/>
      <c r="V21" s="174" t="s">
        <v>338</v>
      </c>
      <c r="W21" s="174" t="s">
        <v>439</v>
      </c>
      <c r="X21" s="174" t="s">
        <v>440</v>
      </c>
      <c r="Y21" s="185">
        <v>2.3513827E7</v>
      </c>
      <c r="Z21" s="186">
        <v>27024.0</v>
      </c>
      <c r="AA21" s="174"/>
      <c r="AB21" s="174"/>
      <c r="AC21" s="180" t="s">
        <v>441</v>
      </c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</row>
    <row r="22">
      <c r="A22" s="160" t="s">
        <v>107</v>
      </c>
      <c r="B22" s="188"/>
      <c r="C22" s="171" t="s">
        <v>15</v>
      </c>
      <c r="D22" s="172"/>
      <c r="E22" s="172"/>
      <c r="F22" s="172"/>
      <c r="G22" s="172"/>
      <c r="H22" s="193">
        <f t="shared" si="1"/>
        <v>45493</v>
      </c>
      <c r="I22" s="194" t="s">
        <v>417</v>
      </c>
      <c r="J22" s="172"/>
      <c r="K22" s="172"/>
      <c r="L22" s="172"/>
      <c r="M22" s="172"/>
      <c r="N22" s="172"/>
      <c r="O22" s="174" t="s">
        <v>442</v>
      </c>
      <c r="P22" s="180" t="s">
        <v>443</v>
      </c>
      <c r="Q22" s="174"/>
      <c r="R22" s="174" t="s">
        <v>336</v>
      </c>
      <c r="S22" s="174" t="s">
        <v>337</v>
      </c>
      <c r="T22" s="174"/>
      <c r="U22" s="174"/>
      <c r="V22" s="174" t="s">
        <v>338</v>
      </c>
      <c r="W22" s="180" t="s">
        <v>444</v>
      </c>
      <c r="X22" s="174"/>
      <c r="Y22" s="181"/>
      <c r="Z22" s="182"/>
      <c r="AA22" s="174"/>
      <c r="AB22" s="174"/>
      <c r="AC22" s="180" t="s">
        <v>445</v>
      </c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</row>
    <row r="23">
      <c r="A23" s="160" t="s">
        <v>164</v>
      </c>
      <c r="B23" s="188"/>
      <c r="C23" s="171" t="s">
        <v>7</v>
      </c>
      <c r="D23" s="172"/>
      <c r="E23" s="172"/>
      <c r="F23" s="172"/>
      <c r="G23" s="172"/>
      <c r="H23" s="193">
        <f t="shared" si="1"/>
        <v>45494</v>
      </c>
      <c r="I23" s="194" t="s">
        <v>417</v>
      </c>
      <c r="J23" s="172"/>
      <c r="K23" s="172"/>
      <c r="L23" s="172"/>
      <c r="M23" s="172"/>
      <c r="N23" s="172"/>
      <c r="O23" s="174" t="s">
        <v>446</v>
      </c>
      <c r="P23" s="174" t="s">
        <v>375</v>
      </c>
      <c r="Q23" s="174"/>
      <c r="R23" s="174" t="s">
        <v>336</v>
      </c>
      <c r="S23" s="174" t="s">
        <v>337</v>
      </c>
      <c r="T23" s="174"/>
      <c r="U23" s="174"/>
      <c r="V23" s="174" t="s">
        <v>338</v>
      </c>
      <c r="W23" s="174" t="s">
        <v>447</v>
      </c>
      <c r="X23" s="174" t="s">
        <v>448</v>
      </c>
      <c r="Y23" s="185">
        <v>2.2211266E7</v>
      </c>
      <c r="Z23" s="186">
        <v>26188.0</v>
      </c>
      <c r="AA23" s="174"/>
      <c r="AB23" s="174"/>
      <c r="AC23" s="180" t="s">
        <v>449</v>
      </c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</row>
    <row r="24">
      <c r="A24" s="160" t="s">
        <v>294</v>
      </c>
      <c r="B24" s="188"/>
      <c r="C24" s="171" t="s">
        <v>5</v>
      </c>
      <c r="D24" s="172"/>
      <c r="E24" s="172"/>
      <c r="F24" s="172"/>
      <c r="G24" s="172"/>
      <c r="H24" s="193">
        <f t="shared" si="1"/>
        <v>45495</v>
      </c>
      <c r="I24" s="194" t="s">
        <v>417</v>
      </c>
      <c r="J24" s="172"/>
      <c r="K24" s="172"/>
      <c r="L24" s="172"/>
      <c r="M24" s="172"/>
      <c r="N24" s="172"/>
      <c r="O24" s="174" t="s">
        <v>450</v>
      </c>
      <c r="P24" s="174" t="s">
        <v>451</v>
      </c>
      <c r="Q24" s="174"/>
      <c r="R24" s="174" t="s">
        <v>336</v>
      </c>
      <c r="S24" s="174" t="s">
        <v>386</v>
      </c>
      <c r="T24" s="174"/>
      <c r="U24" s="174" t="s">
        <v>353</v>
      </c>
      <c r="V24" s="174" t="s">
        <v>452</v>
      </c>
      <c r="W24" s="174" t="s">
        <v>453</v>
      </c>
      <c r="X24" s="174" t="s">
        <v>454</v>
      </c>
      <c r="Y24" s="185">
        <v>2.40617E7</v>
      </c>
      <c r="Z24" s="186">
        <v>27173.0</v>
      </c>
      <c r="AA24" s="174"/>
      <c r="AB24" s="174"/>
      <c r="AC24" s="180" t="s">
        <v>455</v>
      </c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</row>
    <row r="25">
      <c r="A25" s="160" t="s">
        <v>101</v>
      </c>
      <c r="B25" s="188"/>
      <c r="C25" s="172"/>
      <c r="D25" s="172"/>
      <c r="E25" s="172"/>
      <c r="F25" s="172"/>
      <c r="G25" s="172"/>
      <c r="H25" s="193">
        <f t="shared" si="1"/>
        <v>45496</v>
      </c>
      <c r="I25" s="194" t="s">
        <v>417</v>
      </c>
      <c r="J25" s="172"/>
      <c r="K25" s="172"/>
      <c r="L25" s="172"/>
      <c r="M25" s="172"/>
      <c r="N25" s="172"/>
      <c r="O25" s="174" t="s">
        <v>456</v>
      </c>
      <c r="P25" s="174" t="s">
        <v>457</v>
      </c>
      <c r="Q25" s="174"/>
      <c r="R25" s="174" t="s">
        <v>336</v>
      </c>
      <c r="S25" s="174" t="s">
        <v>337</v>
      </c>
      <c r="T25" s="174"/>
      <c r="U25" s="174"/>
      <c r="V25" s="174" t="s">
        <v>338</v>
      </c>
      <c r="W25" s="174" t="s">
        <v>458</v>
      </c>
      <c r="X25" s="174" t="s">
        <v>459</v>
      </c>
      <c r="Y25" s="185">
        <v>2.4068771E7</v>
      </c>
      <c r="Z25" s="186">
        <v>27221.0</v>
      </c>
      <c r="AA25" s="174"/>
      <c r="AB25" s="174"/>
      <c r="AC25" s="180" t="s">
        <v>460</v>
      </c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</row>
    <row r="26">
      <c r="A26" s="160" t="s">
        <v>86</v>
      </c>
      <c r="B26" s="188"/>
      <c r="C26" s="172"/>
      <c r="D26" s="172"/>
      <c r="E26" s="172"/>
      <c r="F26" s="172"/>
      <c r="G26" s="172"/>
      <c r="H26" s="193">
        <f t="shared" si="1"/>
        <v>45497</v>
      </c>
      <c r="I26" s="194" t="s">
        <v>417</v>
      </c>
      <c r="J26" s="172"/>
      <c r="K26" s="172"/>
      <c r="L26" s="172"/>
      <c r="M26" s="172"/>
      <c r="N26" s="172"/>
      <c r="O26" s="174" t="s">
        <v>461</v>
      </c>
      <c r="P26" s="174" t="s">
        <v>462</v>
      </c>
      <c r="Q26" s="174"/>
      <c r="R26" s="174" t="s">
        <v>336</v>
      </c>
      <c r="S26" s="174" t="s">
        <v>337</v>
      </c>
      <c r="T26" s="174"/>
      <c r="U26" s="174"/>
      <c r="V26" s="174" t="s">
        <v>347</v>
      </c>
      <c r="W26" s="180" t="s">
        <v>463</v>
      </c>
      <c r="X26" s="174"/>
      <c r="Y26" s="181"/>
      <c r="Z26" s="182"/>
      <c r="AA26" s="174"/>
      <c r="AB26" s="174"/>
      <c r="AC26" s="174" t="s">
        <v>464</v>
      </c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</row>
    <row r="27">
      <c r="A27" s="160" t="s">
        <v>57</v>
      </c>
      <c r="B27" s="188"/>
      <c r="C27" s="172"/>
      <c r="D27" s="172"/>
      <c r="E27" s="172"/>
      <c r="F27" s="172"/>
      <c r="G27" s="172"/>
      <c r="H27" s="193">
        <f t="shared" si="1"/>
        <v>45498</v>
      </c>
      <c r="I27" s="194" t="s">
        <v>417</v>
      </c>
      <c r="J27" s="172"/>
      <c r="K27" s="172"/>
      <c r="L27" s="172"/>
      <c r="M27" s="172"/>
      <c r="N27" s="172"/>
      <c r="O27" s="174" t="s">
        <v>465</v>
      </c>
      <c r="P27" s="174" t="s">
        <v>466</v>
      </c>
      <c r="Q27" s="174"/>
      <c r="R27" s="174" t="s">
        <v>336</v>
      </c>
      <c r="S27" s="174" t="s">
        <v>337</v>
      </c>
      <c r="T27" s="174"/>
      <c r="U27" s="174"/>
      <c r="V27" s="174" t="s">
        <v>338</v>
      </c>
      <c r="W27" s="180" t="s">
        <v>467</v>
      </c>
      <c r="X27" s="174"/>
      <c r="Y27" s="181"/>
      <c r="Z27" s="182"/>
      <c r="AA27" s="174"/>
      <c r="AB27" s="174"/>
      <c r="AC27" s="174" t="s">
        <v>468</v>
      </c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</row>
    <row r="28">
      <c r="A28" s="160" t="s">
        <v>63</v>
      </c>
      <c r="B28" s="188"/>
      <c r="C28" s="172"/>
      <c r="D28" s="172"/>
      <c r="E28" s="172"/>
      <c r="F28" s="172"/>
      <c r="G28" s="172"/>
      <c r="H28" s="193">
        <f t="shared" si="1"/>
        <v>45499</v>
      </c>
      <c r="I28" s="194" t="s">
        <v>417</v>
      </c>
      <c r="J28" s="172"/>
      <c r="K28" s="172"/>
      <c r="L28" s="172"/>
      <c r="M28" s="172"/>
      <c r="N28" s="172"/>
      <c r="O28" s="174" t="s">
        <v>469</v>
      </c>
      <c r="P28" s="180" t="s">
        <v>470</v>
      </c>
      <c r="Q28" s="174"/>
      <c r="R28" s="174" t="s">
        <v>336</v>
      </c>
      <c r="S28" s="174" t="s">
        <v>337</v>
      </c>
      <c r="T28" s="174"/>
      <c r="U28" s="174"/>
      <c r="V28" s="174" t="s">
        <v>353</v>
      </c>
      <c r="W28" s="174" t="s">
        <v>471</v>
      </c>
      <c r="X28" s="174" t="s">
        <v>472</v>
      </c>
      <c r="Y28" s="185">
        <v>1.8171624E7</v>
      </c>
      <c r="Z28" s="186">
        <v>24615.0</v>
      </c>
      <c r="AA28" s="174"/>
      <c r="AB28" s="174"/>
      <c r="AC28" s="180" t="s">
        <v>473</v>
      </c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</row>
    <row r="29">
      <c r="A29" s="160" t="s">
        <v>306</v>
      </c>
      <c r="B29" s="188"/>
      <c r="C29" s="172"/>
      <c r="D29" s="172"/>
      <c r="E29" s="172"/>
      <c r="F29" s="172"/>
      <c r="G29" s="172"/>
      <c r="H29" s="193">
        <v>45551.0</v>
      </c>
      <c r="I29" s="195" t="s">
        <v>474</v>
      </c>
      <c r="J29" s="172"/>
      <c r="K29" s="172"/>
      <c r="L29" s="172"/>
      <c r="M29" s="172"/>
      <c r="N29" s="172"/>
      <c r="O29" s="174" t="s">
        <v>475</v>
      </c>
      <c r="P29" s="174" t="s">
        <v>476</v>
      </c>
      <c r="Q29" s="174"/>
      <c r="R29" s="174" t="s">
        <v>336</v>
      </c>
      <c r="S29" s="174" t="s">
        <v>337</v>
      </c>
      <c r="T29" s="174"/>
      <c r="U29" s="174"/>
      <c r="V29" s="174" t="s">
        <v>338</v>
      </c>
      <c r="W29" s="174" t="s">
        <v>477</v>
      </c>
      <c r="X29" s="174" t="s">
        <v>478</v>
      </c>
      <c r="Y29" s="185">
        <v>3.598535E7</v>
      </c>
      <c r="Z29" s="186">
        <v>33296.0</v>
      </c>
      <c r="AA29" s="174"/>
      <c r="AB29" s="174"/>
      <c r="AC29" s="180" t="s">
        <v>479</v>
      </c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</row>
    <row r="30">
      <c r="A30" s="160" t="s">
        <v>141</v>
      </c>
      <c r="B30" s="188"/>
      <c r="C30" s="172"/>
      <c r="D30" s="172"/>
      <c r="E30" s="172"/>
      <c r="F30" s="172"/>
      <c r="G30" s="172"/>
      <c r="H30" s="193">
        <f t="shared" ref="H30:H32" si="2">H29+1</f>
        <v>45552</v>
      </c>
      <c r="I30" s="195" t="s">
        <v>474</v>
      </c>
      <c r="J30" s="172"/>
      <c r="K30" s="172"/>
      <c r="L30" s="172"/>
      <c r="M30" s="172"/>
      <c r="N30" s="172"/>
      <c r="O30" s="174" t="s">
        <v>480</v>
      </c>
      <c r="P30" s="174" t="s">
        <v>481</v>
      </c>
      <c r="Q30" s="174"/>
      <c r="R30" s="174" t="s">
        <v>336</v>
      </c>
      <c r="S30" s="174" t="s">
        <v>337</v>
      </c>
      <c r="T30" s="174"/>
      <c r="U30" s="174"/>
      <c r="V30" s="174" t="s">
        <v>338</v>
      </c>
      <c r="W30" s="174" t="s">
        <v>482</v>
      </c>
      <c r="X30" s="174" t="s">
        <v>483</v>
      </c>
      <c r="Y30" s="185">
        <v>2.4463214E7</v>
      </c>
      <c r="Z30" s="186">
        <v>27466.0</v>
      </c>
      <c r="AA30" s="174"/>
      <c r="AB30" s="174"/>
      <c r="AC30" s="180" t="s">
        <v>484</v>
      </c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</row>
    <row r="31">
      <c r="A31" s="160" t="s">
        <v>200</v>
      </c>
      <c r="B31" s="188"/>
      <c r="C31" s="172"/>
      <c r="D31" s="172"/>
      <c r="E31" s="172"/>
      <c r="F31" s="172"/>
      <c r="G31" s="172"/>
      <c r="H31" s="193">
        <f t="shared" si="2"/>
        <v>45553</v>
      </c>
      <c r="I31" s="195" t="s">
        <v>474</v>
      </c>
      <c r="J31" s="172"/>
      <c r="K31" s="172"/>
      <c r="L31" s="172"/>
      <c r="M31" s="172"/>
      <c r="N31" s="172"/>
      <c r="O31" s="174" t="s">
        <v>485</v>
      </c>
      <c r="P31" s="174" t="s">
        <v>486</v>
      </c>
      <c r="Q31" s="174"/>
      <c r="R31" s="174" t="s">
        <v>336</v>
      </c>
      <c r="S31" s="174" t="s">
        <v>337</v>
      </c>
      <c r="T31" s="174"/>
      <c r="U31" s="174"/>
      <c r="V31" s="174" t="s">
        <v>338</v>
      </c>
      <c r="W31" s="174" t="s">
        <v>487</v>
      </c>
      <c r="X31" s="174" t="s">
        <v>488</v>
      </c>
      <c r="Y31" s="185">
        <v>1.3470647E7</v>
      </c>
      <c r="Z31" s="186">
        <v>21014.0</v>
      </c>
      <c r="AA31" s="174"/>
      <c r="AB31" s="174"/>
      <c r="AC31" s="180" t="s">
        <v>489</v>
      </c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</row>
    <row r="32">
      <c r="A32" s="160" t="s">
        <v>490</v>
      </c>
      <c r="B32" s="188"/>
      <c r="C32" s="172"/>
      <c r="D32" s="172"/>
      <c r="E32" s="172"/>
      <c r="F32" s="172"/>
      <c r="G32" s="172"/>
      <c r="H32" s="193">
        <f t="shared" si="2"/>
        <v>45554</v>
      </c>
      <c r="I32" s="195" t="s">
        <v>474</v>
      </c>
      <c r="J32" s="172"/>
      <c r="K32" s="172"/>
      <c r="L32" s="172"/>
      <c r="M32" s="172"/>
      <c r="N32" s="172"/>
      <c r="O32" s="174" t="s">
        <v>285</v>
      </c>
      <c r="P32" s="174" t="s">
        <v>491</v>
      </c>
      <c r="Q32" s="174"/>
      <c r="R32" s="174" t="s">
        <v>336</v>
      </c>
      <c r="S32" s="174" t="s">
        <v>337</v>
      </c>
      <c r="T32" s="174"/>
      <c r="U32" s="174"/>
      <c r="V32" s="174" t="s">
        <v>338</v>
      </c>
      <c r="W32" s="174" t="s">
        <v>492</v>
      </c>
      <c r="X32" s="174" t="s">
        <v>493</v>
      </c>
      <c r="Y32" s="185">
        <v>4.3974455E7</v>
      </c>
      <c r="Z32" s="186">
        <v>37273.0</v>
      </c>
      <c r="AA32" s="174"/>
      <c r="AB32" s="174"/>
      <c r="AC32" s="180" t="s">
        <v>494</v>
      </c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</row>
    <row r="33">
      <c r="A33" s="160" t="s">
        <v>84</v>
      </c>
      <c r="B33" s="188"/>
      <c r="C33" s="172"/>
      <c r="D33" s="172"/>
      <c r="E33" s="172"/>
      <c r="F33" s="172"/>
      <c r="G33" s="172"/>
      <c r="H33" s="193"/>
      <c r="I33" s="195"/>
      <c r="J33" s="172"/>
      <c r="K33" s="172"/>
      <c r="L33" s="172"/>
      <c r="M33" s="172"/>
      <c r="N33" s="172"/>
      <c r="O33" s="174" t="s">
        <v>495</v>
      </c>
      <c r="P33" s="174" t="s">
        <v>496</v>
      </c>
      <c r="Q33" s="174"/>
      <c r="R33" s="174" t="s">
        <v>336</v>
      </c>
      <c r="S33" s="174" t="s">
        <v>337</v>
      </c>
      <c r="T33" s="174"/>
      <c r="U33" s="174"/>
      <c r="V33" s="174" t="s">
        <v>338</v>
      </c>
      <c r="W33" s="174" t="s">
        <v>497</v>
      </c>
      <c r="X33" s="174" t="s">
        <v>498</v>
      </c>
      <c r="Y33" s="185">
        <v>2.1795284E7</v>
      </c>
      <c r="Z33" s="186">
        <v>25859.0</v>
      </c>
      <c r="AA33" s="174"/>
      <c r="AB33" s="174"/>
      <c r="AC33" s="180" t="s">
        <v>499</v>
      </c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</row>
    <row r="34">
      <c r="A34" s="160" t="s">
        <v>99</v>
      </c>
      <c r="B34" s="188"/>
      <c r="C34" s="172"/>
      <c r="D34" s="172"/>
      <c r="E34" s="172"/>
      <c r="F34" s="172"/>
      <c r="G34" s="172"/>
      <c r="H34" s="193">
        <f>H32+1</f>
        <v>45555</v>
      </c>
      <c r="I34" s="195" t="s">
        <v>474</v>
      </c>
      <c r="J34" s="172"/>
      <c r="K34" s="172"/>
      <c r="L34" s="172"/>
      <c r="M34" s="172"/>
      <c r="N34" s="172"/>
      <c r="O34" s="174" t="s">
        <v>500</v>
      </c>
      <c r="P34" s="174" t="s">
        <v>501</v>
      </c>
      <c r="Q34" s="174"/>
      <c r="R34" s="174" t="s">
        <v>336</v>
      </c>
      <c r="S34" s="174" t="s">
        <v>337</v>
      </c>
      <c r="T34" s="174"/>
      <c r="U34" s="174"/>
      <c r="V34" s="174" t="s">
        <v>353</v>
      </c>
      <c r="W34" s="174" t="s">
        <v>502</v>
      </c>
      <c r="X34" s="174" t="s">
        <v>503</v>
      </c>
      <c r="Y34" s="185">
        <v>1.7423961E7</v>
      </c>
      <c r="Z34" s="186" t="s">
        <v>504</v>
      </c>
      <c r="AA34" s="174"/>
      <c r="AB34" s="174"/>
      <c r="AC34" s="180" t="s">
        <v>505</v>
      </c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</row>
    <row r="35">
      <c r="A35" s="160" t="s">
        <v>73</v>
      </c>
      <c r="B35" s="188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4" t="s">
        <v>506</v>
      </c>
      <c r="P35" s="174" t="s">
        <v>507</v>
      </c>
      <c r="Q35" s="174"/>
      <c r="R35" s="174" t="s">
        <v>336</v>
      </c>
      <c r="S35" s="174" t="s">
        <v>337</v>
      </c>
      <c r="T35" s="174"/>
      <c r="U35" s="174"/>
      <c r="V35" s="174" t="s">
        <v>338</v>
      </c>
      <c r="W35" s="180" t="s">
        <v>508</v>
      </c>
      <c r="X35" s="174"/>
      <c r="Y35" s="181"/>
      <c r="Z35" s="182"/>
      <c r="AA35" s="174"/>
      <c r="AB35" s="174"/>
      <c r="AC35" s="180" t="s">
        <v>509</v>
      </c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</row>
    <row r="36">
      <c r="A36" s="160" t="s">
        <v>98</v>
      </c>
      <c r="B36" s="188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4" t="s">
        <v>510</v>
      </c>
      <c r="P36" s="174" t="s">
        <v>451</v>
      </c>
      <c r="Q36" s="174"/>
      <c r="R36" s="174" t="s">
        <v>336</v>
      </c>
      <c r="S36" s="174" t="s">
        <v>337</v>
      </c>
      <c r="T36" s="174"/>
      <c r="U36" s="174"/>
      <c r="V36" s="174" t="s">
        <v>338</v>
      </c>
      <c r="W36" s="174" t="s">
        <v>511</v>
      </c>
      <c r="X36" s="174" t="s">
        <v>512</v>
      </c>
      <c r="Y36" s="185">
        <v>2.3157398E7</v>
      </c>
      <c r="Z36" s="186">
        <v>26632.0</v>
      </c>
      <c r="AA36" s="174"/>
      <c r="AB36" s="174"/>
      <c r="AC36" s="180" t="s">
        <v>513</v>
      </c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</row>
    <row r="37">
      <c r="A37" s="160" t="s">
        <v>102</v>
      </c>
      <c r="B37" s="188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4" t="s">
        <v>514</v>
      </c>
      <c r="P37" s="174" t="s">
        <v>515</v>
      </c>
      <c r="Q37" s="174"/>
      <c r="R37" s="174" t="s">
        <v>336</v>
      </c>
      <c r="S37" s="174" t="s">
        <v>386</v>
      </c>
      <c r="T37" s="174"/>
      <c r="U37" s="174" t="s">
        <v>338</v>
      </c>
      <c r="V37" s="174" t="s">
        <v>338</v>
      </c>
      <c r="W37" s="180" t="s">
        <v>516</v>
      </c>
      <c r="X37" s="174"/>
      <c r="Y37" s="181"/>
      <c r="Z37" s="182"/>
      <c r="AA37" s="174"/>
      <c r="AB37" s="174"/>
      <c r="AC37" s="180" t="s">
        <v>517</v>
      </c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</row>
    <row r="38">
      <c r="A38" s="160" t="s">
        <v>87</v>
      </c>
      <c r="B38" s="188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4" t="s">
        <v>518</v>
      </c>
      <c r="P38" s="180" t="s">
        <v>519</v>
      </c>
      <c r="Q38" s="174"/>
      <c r="R38" s="174" t="s">
        <v>336</v>
      </c>
      <c r="S38" s="174" t="s">
        <v>337</v>
      </c>
      <c r="T38" s="174"/>
      <c r="U38" s="174"/>
      <c r="V38" s="174" t="s">
        <v>338</v>
      </c>
      <c r="W38" s="174" t="s">
        <v>520</v>
      </c>
      <c r="X38" s="174" t="s">
        <v>521</v>
      </c>
      <c r="Y38" s="185">
        <v>3.6215077E7</v>
      </c>
      <c r="Z38" s="186">
        <v>33392.0</v>
      </c>
      <c r="AA38" s="174"/>
      <c r="AB38" s="174"/>
      <c r="AC38" s="180" t="s">
        <v>522</v>
      </c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</row>
    <row r="39">
      <c r="A39" s="160" t="s">
        <v>134</v>
      </c>
      <c r="B39" s="188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4" t="s">
        <v>292</v>
      </c>
      <c r="P39" s="174" t="s">
        <v>523</v>
      </c>
      <c r="Q39" s="174"/>
      <c r="R39" s="174" t="s">
        <v>336</v>
      </c>
      <c r="S39" s="174" t="s">
        <v>337</v>
      </c>
      <c r="T39" s="174"/>
      <c r="U39" s="174"/>
      <c r="V39" s="174" t="s">
        <v>353</v>
      </c>
      <c r="W39" s="174" t="s">
        <v>524</v>
      </c>
      <c r="X39" s="174" t="s">
        <v>525</v>
      </c>
      <c r="Y39" s="185">
        <v>2.5803236E7</v>
      </c>
      <c r="Z39" s="186">
        <v>28308.0</v>
      </c>
      <c r="AA39" s="174"/>
      <c r="AB39" s="174"/>
      <c r="AC39" s="180" t="s">
        <v>526</v>
      </c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</row>
    <row r="40">
      <c r="A40" s="160" t="s">
        <v>275</v>
      </c>
      <c r="B40" s="188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4" t="s">
        <v>527</v>
      </c>
      <c r="P40" s="174" t="s">
        <v>528</v>
      </c>
      <c r="Q40" s="174"/>
      <c r="R40" s="174" t="s">
        <v>336</v>
      </c>
      <c r="S40" s="174" t="s">
        <v>386</v>
      </c>
      <c r="T40" s="174"/>
      <c r="U40" s="174" t="s">
        <v>338</v>
      </c>
      <c r="V40" s="174" t="s">
        <v>338</v>
      </c>
      <c r="W40" s="180" t="s">
        <v>529</v>
      </c>
      <c r="X40" s="174"/>
      <c r="Y40" s="174"/>
      <c r="Z40" s="174"/>
      <c r="AA40" s="174"/>
      <c r="AB40" s="174"/>
      <c r="AC40" s="174" t="s">
        <v>530</v>
      </c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</row>
    <row r="41">
      <c r="A41" s="160" t="s">
        <v>109</v>
      </c>
      <c r="B41" s="188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4" t="s">
        <v>298</v>
      </c>
      <c r="P41" s="174" t="s">
        <v>531</v>
      </c>
      <c r="Q41" s="174"/>
      <c r="R41" s="174" t="s">
        <v>336</v>
      </c>
      <c r="S41" s="174" t="s">
        <v>337</v>
      </c>
      <c r="T41" s="174"/>
      <c r="U41" s="174"/>
      <c r="V41" s="174" t="s">
        <v>338</v>
      </c>
      <c r="W41" s="174" t="s">
        <v>532</v>
      </c>
      <c r="X41" s="174" t="s">
        <v>533</v>
      </c>
      <c r="Y41" s="185">
        <v>2.8316837E7</v>
      </c>
      <c r="Z41" s="186">
        <v>29437.0</v>
      </c>
      <c r="AA41" s="174"/>
      <c r="AB41" s="174"/>
      <c r="AC41" s="180" t="s">
        <v>534</v>
      </c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</row>
    <row r="42">
      <c r="A42" s="160" t="s">
        <v>121</v>
      </c>
      <c r="B42" s="188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4" t="s">
        <v>535</v>
      </c>
      <c r="P42" s="174" t="s">
        <v>536</v>
      </c>
      <c r="Q42" s="174"/>
      <c r="R42" s="174" t="s">
        <v>336</v>
      </c>
      <c r="S42" s="174" t="s">
        <v>386</v>
      </c>
      <c r="T42" s="174"/>
      <c r="U42" s="174" t="s">
        <v>338</v>
      </c>
      <c r="V42" s="174" t="s">
        <v>338</v>
      </c>
      <c r="W42" s="174" t="s">
        <v>537</v>
      </c>
      <c r="X42" s="174" t="s">
        <v>537</v>
      </c>
      <c r="Y42" s="185">
        <v>2.061919E7</v>
      </c>
      <c r="Z42" s="186">
        <v>25204.0</v>
      </c>
      <c r="AA42" s="174"/>
      <c r="AB42" s="174"/>
      <c r="AC42" s="180" t="s">
        <v>538</v>
      </c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</row>
    <row r="43">
      <c r="A43" s="160" t="s">
        <v>126</v>
      </c>
      <c r="B43" s="188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4" t="s">
        <v>539</v>
      </c>
      <c r="P43" s="180" t="s">
        <v>540</v>
      </c>
      <c r="Q43" s="174"/>
      <c r="R43" s="174" t="s">
        <v>336</v>
      </c>
      <c r="S43" s="174" t="s">
        <v>337</v>
      </c>
      <c r="T43" s="174"/>
      <c r="U43" s="174"/>
      <c r="V43" s="174" t="s">
        <v>338</v>
      </c>
      <c r="W43" s="174" t="s">
        <v>541</v>
      </c>
      <c r="X43" s="174" t="s">
        <v>542</v>
      </c>
      <c r="Y43" s="185">
        <v>2.2399379E7</v>
      </c>
      <c r="Z43" s="186">
        <v>26250.0</v>
      </c>
      <c r="AA43" s="174"/>
      <c r="AB43" s="174"/>
      <c r="AC43" s="180" t="s">
        <v>543</v>
      </c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</row>
    <row r="44">
      <c r="A44" s="160" t="s">
        <v>112</v>
      </c>
      <c r="B44" s="188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4" t="s">
        <v>544</v>
      </c>
      <c r="P44" s="174" t="s">
        <v>545</v>
      </c>
      <c r="Q44" s="174"/>
      <c r="R44" s="174" t="s">
        <v>336</v>
      </c>
      <c r="S44" s="174" t="s">
        <v>337</v>
      </c>
      <c r="T44" s="174"/>
      <c r="U44" s="174"/>
      <c r="V44" s="174" t="s">
        <v>338</v>
      </c>
      <c r="W44" s="174" t="s">
        <v>546</v>
      </c>
      <c r="X44" s="174" t="s">
        <v>547</v>
      </c>
      <c r="Y44" s="185">
        <v>3.95942E7</v>
      </c>
      <c r="Z44" s="186">
        <v>35219.0</v>
      </c>
      <c r="AA44" s="174"/>
      <c r="AB44" s="174"/>
      <c r="AC44" s="180" t="s">
        <v>548</v>
      </c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</row>
    <row r="45">
      <c r="A45" s="160" t="s">
        <v>79</v>
      </c>
      <c r="B45" s="188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4" t="s">
        <v>549</v>
      </c>
      <c r="P45" s="174" t="s">
        <v>550</v>
      </c>
      <c r="Q45" s="174"/>
      <c r="R45" s="174" t="s">
        <v>336</v>
      </c>
      <c r="S45" s="174" t="s">
        <v>386</v>
      </c>
      <c r="T45" s="174"/>
      <c r="U45" s="174"/>
      <c r="V45" s="174" t="s">
        <v>338</v>
      </c>
      <c r="W45" s="180" t="s">
        <v>551</v>
      </c>
      <c r="X45" s="174"/>
      <c r="Y45" s="174"/>
      <c r="Z45" s="174"/>
      <c r="AA45" s="174"/>
      <c r="AB45" s="174"/>
      <c r="AC45" s="180" t="s">
        <v>552</v>
      </c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</row>
    <row r="46">
      <c r="A46" s="160" t="s">
        <v>110</v>
      </c>
      <c r="B46" s="188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4" t="s">
        <v>553</v>
      </c>
      <c r="P46" s="180" t="s">
        <v>554</v>
      </c>
      <c r="Q46" s="174"/>
      <c r="R46" s="174" t="s">
        <v>336</v>
      </c>
      <c r="S46" s="174" t="s">
        <v>337</v>
      </c>
      <c r="T46" s="174"/>
      <c r="U46" s="174"/>
      <c r="V46" s="174" t="s">
        <v>338</v>
      </c>
      <c r="W46" s="174" t="s">
        <v>555</v>
      </c>
      <c r="X46" s="174" t="s">
        <v>556</v>
      </c>
      <c r="Y46" s="185">
        <v>2.2913601E7</v>
      </c>
      <c r="Z46" s="186">
        <v>26553.0</v>
      </c>
      <c r="AA46" s="174"/>
      <c r="AB46" s="174"/>
      <c r="AC46" s="180" t="s">
        <v>557</v>
      </c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</row>
    <row r="47">
      <c r="A47" s="160" t="s">
        <v>297</v>
      </c>
      <c r="B47" s="188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4" t="s">
        <v>309</v>
      </c>
      <c r="P47" s="174" t="s">
        <v>558</v>
      </c>
      <c r="Q47" s="174"/>
      <c r="R47" s="174" t="s">
        <v>336</v>
      </c>
      <c r="S47" s="174" t="s">
        <v>337</v>
      </c>
      <c r="T47" s="174"/>
      <c r="U47" s="174"/>
      <c r="V47" s="174" t="s">
        <v>338</v>
      </c>
      <c r="W47" s="174" t="s">
        <v>559</v>
      </c>
      <c r="X47" s="174" t="s">
        <v>560</v>
      </c>
      <c r="Y47" s="185">
        <v>3.4924473E7</v>
      </c>
      <c r="Z47" s="186">
        <v>33101.0</v>
      </c>
      <c r="AA47" s="174"/>
      <c r="AB47" s="174"/>
      <c r="AC47" s="180" t="s">
        <v>561</v>
      </c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</row>
    <row r="48">
      <c r="A48" s="160" t="s">
        <v>67</v>
      </c>
      <c r="B48" s="188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4" t="s">
        <v>562</v>
      </c>
      <c r="P48" s="180" t="s">
        <v>563</v>
      </c>
      <c r="Q48" s="174"/>
      <c r="R48" s="174" t="s">
        <v>336</v>
      </c>
      <c r="S48" s="174" t="s">
        <v>337</v>
      </c>
      <c r="T48" s="174"/>
      <c r="U48" s="174"/>
      <c r="V48" s="174" t="s">
        <v>353</v>
      </c>
      <c r="W48" s="174" t="s">
        <v>564</v>
      </c>
      <c r="X48" s="174" t="s">
        <v>565</v>
      </c>
      <c r="Y48" s="185">
        <v>2.717909E7</v>
      </c>
      <c r="Z48" s="186">
        <v>28916.0</v>
      </c>
      <c r="AA48" s="174"/>
      <c r="AB48" s="174"/>
      <c r="AC48" s="180" t="s">
        <v>566</v>
      </c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</row>
    <row r="49">
      <c r="A49" s="160" t="s">
        <v>105</v>
      </c>
      <c r="B49" s="188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4" t="s">
        <v>567</v>
      </c>
      <c r="P49" s="180" t="s">
        <v>568</v>
      </c>
      <c r="Q49" s="174"/>
      <c r="R49" s="174" t="s">
        <v>336</v>
      </c>
      <c r="S49" s="174" t="s">
        <v>337</v>
      </c>
      <c r="T49" s="174"/>
      <c r="U49" s="174"/>
      <c r="V49" s="174" t="s">
        <v>338</v>
      </c>
      <c r="W49" s="174" t="s">
        <v>569</v>
      </c>
      <c r="X49" s="174" t="s">
        <v>570</v>
      </c>
      <c r="Y49" s="185">
        <v>2.6201168E7</v>
      </c>
      <c r="Z49" s="186">
        <v>28436.0</v>
      </c>
      <c r="AA49" s="174"/>
      <c r="AB49" s="174"/>
      <c r="AC49" s="180" t="s">
        <v>571</v>
      </c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</row>
    <row r="50">
      <c r="A50" s="160" t="s">
        <v>279</v>
      </c>
      <c r="B50" s="188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4" t="s">
        <v>572</v>
      </c>
      <c r="P50" s="174" t="s">
        <v>573</v>
      </c>
      <c r="Q50" s="174"/>
      <c r="R50" s="174" t="s">
        <v>336</v>
      </c>
      <c r="S50" s="174" t="s">
        <v>337</v>
      </c>
      <c r="T50" s="174"/>
      <c r="U50" s="174"/>
      <c r="V50" s="174" t="s">
        <v>347</v>
      </c>
      <c r="W50" s="180" t="s">
        <v>574</v>
      </c>
      <c r="X50" s="174"/>
      <c r="Y50" s="181"/>
      <c r="Z50" s="182"/>
      <c r="AA50" s="174"/>
      <c r="AB50" s="174"/>
      <c r="AC50" s="174" t="s">
        <v>575</v>
      </c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</row>
    <row r="51">
      <c r="A51" s="160" t="s">
        <v>66</v>
      </c>
      <c r="B51" s="188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4" t="s">
        <v>576</v>
      </c>
      <c r="P51" s="180" t="s">
        <v>577</v>
      </c>
      <c r="Q51" s="174"/>
      <c r="R51" s="174" t="s">
        <v>336</v>
      </c>
      <c r="S51" s="174" t="s">
        <v>386</v>
      </c>
      <c r="T51" s="174"/>
      <c r="U51" s="174"/>
      <c r="V51" s="174" t="s">
        <v>338</v>
      </c>
      <c r="W51" s="174" t="s">
        <v>578</v>
      </c>
      <c r="X51" s="174" t="s">
        <v>579</v>
      </c>
      <c r="Y51" s="185">
        <v>3.0993693E7</v>
      </c>
      <c r="Z51" s="186">
        <v>31235.0</v>
      </c>
      <c r="AA51" s="174"/>
      <c r="AB51" s="174"/>
      <c r="AC51" s="180" t="s">
        <v>580</v>
      </c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</row>
    <row r="52">
      <c r="A52" s="160" t="s">
        <v>59</v>
      </c>
      <c r="B52" s="188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4"/>
      <c r="P52" s="180"/>
      <c r="Q52" s="174"/>
      <c r="R52" s="174"/>
      <c r="S52" s="174"/>
      <c r="T52" s="174"/>
      <c r="U52" s="174"/>
      <c r="V52" s="174"/>
      <c r="W52" s="174"/>
      <c r="X52" s="174"/>
      <c r="Y52" s="185"/>
      <c r="Z52" s="186"/>
      <c r="AA52" s="174"/>
      <c r="AB52" s="174"/>
      <c r="AC52" s="180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</row>
    <row r="53">
      <c r="A53" s="160" t="s">
        <v>113</v>
      </c>
      <c r="B53" s="188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4" t="s">
        <v>581</v>
      </c>
      <c r="P53" s="174" t="s">
        <v>582</v>
      </c>
      <c r="Q53" s="174"/>
      <c r="R53" s="174" t="s">
        <v>336</v>
      </c>
      <c r="S53" s="174" t="s">
        <v>337</v>
      </c>
      <c r="T53" s="174"/>
      <c r="U53" s="174"/>
      <c r="V53" s="174" t="s">
        <v>338</v>
      </c>
      <c r="W53" s="174" t="s">
        <v>583</v>
      </c>
      <c r="X53" s="174" t="s">
        <v>584</v>
      </c>
      <c r="Y53" s="185">
        <v>2.6939768E7</v>
      </c>
      <c r="Z53" s="186">
        <v>28818.0</v>
      </c>
      <c r="AA53" s="174"/>
      <c r="AB53" s="174"/>
      <c r="AC53" s="180" t="s">
        <v>585</v>
      </c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</row>
    <row r="54">
      <c r="A54" s="160" t="s">
        <v>103</v>
      </c>
      <c r="B54" s="188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4" t="s">
        <v>586</v>
      </c>
      <c r="P54" s="174" t="s">
        <v>587</v>
      </c>
      <c r="Q54" s="174"/>
      <c r="R54" s="174" t="s">
        <v>336</v>
      </c>
      <c r="S54" s="174" t="s">
        <v>386</v>
      </c>
      <c r="T54" s="174"/>
      <c r="U54" s="174"/>
      <c r="V54" s="174"/>
      <c r="W54" s="180" t="s">
        <v>588</v>
      </c>
      <c r="X54" s="174"/>
      <c r="Y54" s="174"/>
      <c r="Z54" s="174"/>
      <c r="AA54" s="174"/>
      <c r="AB54" s="174"/>
      <c r="AC54" s="180" t="s">
        <v>589</v>
      </c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</row>
    <row r="55">
      <c r="A55" s="160" t="s">
        <v>80</v>
      </c>
      <c r="B55" s="188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4" t="s">
        <v>590</v>
      </c>
      <c r="P55" s="174" t="s">
        <v>591</v>
      </c>
      <c r="Q55" s="174"/>
      <c r="R55" s="174" t="s">
        <v>336</v>
      </c>
      <c r="S55" s="174" t="s">
        <v>386</v>
      </c>
      <c r="T55" s="174"/>
      <c r="U55" s="174" t="s">
        <v>353</v>
      </c>
      <c r="V55" s="174" t="s">
        <v>347</v>
      </c>
      <c r="W55" s="180" t="s">
        <v>592</v>
      </c>
      <c r="X55" s="174"/>
      <c r="Y55" s="174"/>
      <c r="Z55" s="174"/>
      <c r="AA55" s="174"/>
      <c r="AB55" s="174"/>
      <c r="AC55" s="180" t="s">
        <v>593</v>
      </c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</row>
    <row r="56">
      <c r="A56" s="160" t="s">
        <v>90</v>
      </c>
      <c r="B56" s="188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4" t="s">
        <v>315</v>
      </c>
      <c r="P56" s="174" t="s">
        <v>491</v>
      </c>
      <c r="Q56" s="174"/>
      <c r="R56" s="174" t="s">
        <v>336</v>
      </c>
      <c r="S56" s="174" t="s">
        <v>337</v>
      </c>
      <c r="T56" s="174"/>
      <c r="U56" s="174"/>
      <c r="V56" s="174" t="s">
        <v>338</v>
      </c>
      <c r="W56" s="180" t="s">
        <v>594</v>
      </c>
      <c r="X56" s="174"/>
      <c r="Y56" s="181"/>
      <c r="Z56" s="182"/>
      <c r="AA56" s="174"/>
      <c r="AB56" s="174"/>
      <c r="AC56" s="180" t="s">
        <v>595</v>
      </c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</row>
    <row r="57">
      <c r="A57" s="160" t="s">
        <v>142</v>
      </c>
      <c r="B57" s="188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4" t="s">
        <v>317</v>
      </c>
      <c r="P57" s="174" t="s">
        <v>596</v>
      </c>
      <c r="Q57" s="174"/>
      <c r="R57" s="174" t="s">
        <v>336</v>
      </c>
      <c r="S57" s="174" t="s">
        <v>337</v>
      </c>
      <c r="T57" s="174"/>
      <c r="U57" s="174"/>
      <c r="V57" s="174" t="s">
        <v>347</v>
      </c>
      <c r="W57" s="174" t="s">
        <v>597</v>
      </c>
      <c r="X57" s="174" t="s">
        <v>598</v>
      </c>
      <c r="Y57" s="185">
        <v>3.8701826E7</v>
      </c>
      <c r="Z57" s="186">
        <v>34761.0</v>
      </c>
      <c r="AA57" s="174"/>
      <c r="AB57" s="174"/>
      <c r="AC57" s="180" t="s">
        <v>599</v>
      </c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</row>
    <row r="58">
      <c r="A58" s="160" t="s">
        <v>114</v>
      </c>
      <c r="B58" s="188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4" t="s">
        <v>320</v>
      </c>
      <c r="P58" s="180" t="s">
        <v>600</v>
      </c>
      <c r="Q58" s="174"/>
      <c r="R58" s="174" t="s">
        <v>336</v>
      </c>
      <c r="S58" s="174" t="s">
        <v>337</v>
      </c>
      <c r="T58" s="174"/>
      <c r="U58" s="174"/>
      <c r="V58" s="174" t="s">
        <v>338</v>
      </c>
      <c r="W58" s="180" t="s">
        <v>601</v>
      </c>
      <c r="X58" s="174"/>
      <c r="Y58" s="181"/>
      <c r="Z58" s="182"/>
      <c r="AA58" s="174"/>
      <c r="AB58" s="174"/>
      <c r="AC58" s="180" t="s">
        <v>319</v>
      </c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</row>
    <row r="59">
      <c r="A59" s="160" t="s">
        <v>96</v>
      </c>
      <c r="B59" s="188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4" t="s">
        <v>602</v>
      </c>
      <c r="P59" s="174" t="s">
        <v>603</v>
      </c>
      <c r="Q59" s="174"/>
      <c r="R59" s="174" t="s">
        <v>336</v>
      </c>
      <c r="S59" s="174" t="s">
        <v>337</v>
      </c>
      <c r="T59" s="174"/>
      <c r="U59" s="174"/>
      <c r="V59" s="174" t="s">
        <v>338</v>
      </c>
      <c r="W59" s="180" t="s">
        <v>604</v>
      </c>
      <c r="X59" s="174"/>
      <c r="Y59" s="181"/>
      <c r="Z59" s="182"/>
      <c r="AA59" s="174"/>
      <c r="AB59" s="174"/>
      <c r="AC59" s="174" t="s">
        <v>605</v>
      </c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</row>
    <row r="60">
      <c r="A60" s="160" t="s">
        <v>129</v>
      </c>
      <c r="B60" s="188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4" t="s">
        <v>606</v>
      </c>
      <c r="P60" s="180" t="s">
        <v>607</v>
      </c>
      <c r="Q60" s="174"/>
      <c r="R60" s="174" t="s">
        <v>336</v>
      </c>
      <c r="S60" s="174" t="s">
        <v>337</v>
      </c>
      <c r="T60" s="174"/>
      <c r="U60" s="174"/>
      <c r="V60" s="174" t="s">
        <v>353</v>
      </c>
      <c r="W60" s="174" t="s">
        <v>608</v>
      </c>
      <c r="X60" s="174" t="s">
        <v>609</v>
      </c>
      <c r="Y60" s="185">
        <v>3.8992837E7</v>
      </c>
      <c r="Z60" s="186">
        <v>34954.0</v>
      </c>
      <c r="AA60" s="174"/>
      <c r="AB60" s="174"/>
      <c r="AC60" s="180" t="s">
        <v>610</v>
      </c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</row>
    <row r="61">
      <c r="A61" s="160"/>
      <c r="B61" s="188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 t="s">
        <v>611</v>
      </c>
      <c r="P61" s="172" t="s">
        <v>342</v>
      </c>
      <c r="Q61" s="172"/>
      <c r="R61" s="172" t="s">
        <v>336</v>
      </c>
      <c r="S61" s="172" t="s">
        <v>612</v>
      </c>
      <c r="T61" s="172"/>
      <c r="U61" s="172" t="s">
        <v>338</v>
      </c>
      <c r="V61" s="172"/>
      <c r="W61" s="172" t="s">
        <v>613</v>
      </c>
      <c r="X61" s="172" t="s">
        <v>614</v>
      </c>
      <c r="Y61" s="196">
        <v>3.608174E7</v>
      </c>
      <c r="Z61" s="197">
        <v>33372.0</v>
      </c>
      <c r="AA61" s="172"/>
      <c r="AB61" s="172"/>
      <c r="AC61" s="172" t="s">
        <v>615</v>
      </c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</row>
    <row r="62">
      <c r="A62" s="160"/>
      <c r="B62" s="188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 t="s">
        <v>616</v>
      </c>
      <c r="P62" s="172" t="s">
        <v>617</v>
      </c>
      <c r="Q62" s="172"/>
      <c r="R62" s="172" t="s">
        <v>336</v>
      </c>
      <c r="S62" s="172" t="s">
        <v>612</v>
      </c>
      <c r="T62" s="172"/>
      <c r="U62" s="172" t="s">
        <v>338</v>
      </c>
      <c r="V62" s="172"/>
      <c r="W62" s="172" t="s">
        <v>618</v>
      </c>
      <c r="X62" s="172"/>
      <c r="Y62" s="172"/>
      <c r="Z62" s="172"/>
      <c r="AA62" s="172"/>
      <c r="AB62" s="172"/>
      <c r="AC62" s="172" t="s">
        <v>619</v>
      </c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</row>
    <row r="63">
      <c r="A63" s="160"/>
      <c r="B63" s="188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 t="s">
        <v>620</v>
      </c>
      <c r="P63" s="172" t="s">
        <v>621</v>
      </c>
      <c r="Q63" s="172"/>
      <c r="R63" s="172" t="s">
        <v>336</v>
      </c>
      <c r="S63" s="172" t="s">
        <v>622</v>
      </c>
      <c r="T63" s="172" t="s">
        <v>353</v>
      </c>
      <c r="U63" s="172"/>
      <c r="V63" s="172"/>
      <c r="W63" s="172" t="s">
        <v>623</v>
      </c>
      <c r="X63" s="172" t="s">
        <v>624</v>
      </c>
      <c r="Y63" s="196">
        <v>2.8324927E7</v>
      </c>
      <c r="Z63" s="197">
        <v>29413.0</v>
      </c>
      <c r="AA63" s="172"/>
      <c r="AB63" s="172"/>
      <c r="AC63" s="172" t="s">
        <v>625</v>
      </c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</row>
    <row r="64">
      <c r="A64" s="160"/>
      <c r="B64" s="188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 t="s">
        <v>456</v>
      </c>
      <c r="P64" s="172" t="s">
        <v>457</v>
      </c>
      <c r="Q64" s="172"/>
      <c r="R64" s="172" t="s">
        <v>336</v>
      </c>
      <c r="S64" s="172" t="s">
        <v>337</v>
      </c>
      <c r="T64" s="172"/>
      <c r="U64" s="172"/>
      <c r="V64" s="172" t="s">
        <v>338</v>
      </c>
      <c r="W64" s="172" t="s">
        <v>458</v>
      </c>
      <c r="X64" s="172" t="s">
        <v>459</v>
      </c>
      <c r="Y64" s="196">
        <v>2.4068771E7</v>
      </c>
      <c r="Z64" s="197">
        <v>27221.0</v>
      </c>
      <c r="AA64" s="172"/>
      <c r="AB64" s="172"/>
      <c r="AC64" s="172" t="s">
        <v>460</v>
      </c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</row>
    <row r="65">
      <c r="A65" s="160"/>
      <c r="B65" s="188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 t="s">
        <v>626</v>
      </c>
      <c r="P65" s="172" t="s">
        <v>627</v>
      </c>
      <c r="Q65" s="172"/>
      <c r="R65" s="172" t="s">
        <v>336</v>
      </c>
      <c r="S65" s="172" t="s">
        <v>622</v>
      </c>
      <c r="T65" s="172" t="s">
        <v>338</v>
      </c>
      <c r="U65" s="172"/>
      <c r="V65" s="172"/>
      <c r="W65" s="172" t="s">
        <v>628</v>
      </c>
      <c r="X65" s="172"/>
      <c r="Y65" s="172"/>
      <c r="Z65" s="172"/>
      <c r="AA65" s="172"/>
      <c r="AB65" s="172"/>
      <c r="AC65" s="172" t="s">
        <v>629</v>
      </c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</row>
    <row r="66">
      <c r="A66" s="160"/>
      <c r="B66" s="188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 t="s">
        <v>461</v>
      </c>
      <c r="P66" s="172" t="s">
        <v>462</v>
      </c>
      <c r="Q66" s="172"/>
      <c r="R66" s="172" t="s">
        <v>336</v>
      </c>
      <c r="S66" s="172" t="s">
        <v>337</v>
      </c>
      <c r="T66" s="172"/>
      <c r="U66" s="172"/>
      <c r="V66" s="172" t="s">
        <v>347</v>
      </c>
      <c r="W66" s="172" t="s">
        <v>463</v>
      </c>
      <c r="X66" s="172"/>
      <c r="Y66" s="172"/>
      <c r="Z66" s="172"/>
      <c r="AA66" s="172"/>
      <c r="AB66" s="172"/>
      <c r="AC66" s="172" t="s">
        <v>464</v>
      </c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</row>
    <row r="67">
      <c r="A67" s="160"/>
      <c r="B67" s="188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 t="s">
        <v>630</v>
      </c>
      <c r="P67" s="172" t="s">
        <v>631</v>
      </c>
      <c r="Q67" s="172"/>
      <c r="R67" s="172" t="s">
        <v>336</v>
      </c>
      <c r="S67" s="172" t="s">
        <v>612</v>
      </c>
      <c r="T67" s="172"/>
      <c r="U67" s="172" t="s">
        <v>353</v>
      </c>
      <c r="V67" s="172"/>
      <c r="W67" s="172" t="s">
        <v>632</v>
      </c>
      <c r="X67" s="172" t="s">
        <v>633</v>
      </c>
      <c r="Y67" s="196">
        <v>1.4129006E7</v>
      </c>
      <c r="Z67" s="197">
        <v>22028.0</v>
      </c>
      <c r="AA67" s="172"/>
      <c r="AB67" s="172"/>
      <c r="AC67" s="172" t="s">
        <v>634</v>
      </c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</row>
    <row r="68">
      <c r="A68" s="160"/>
      <c r="B68" s="188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 t="s">
        <v>465</v>
      </c>
      <c r="P68" s="172" t="s">
        <v>466</v>
      </c>
      <c r="Q68" s="172"/>
      <c r="R68" s="172" t="s">
        <v>336</v>
      </c>
      <c r="S68" s="172" t="s">
        <v>337</v>
      </c>
      <c r="T68" s="172"/>
      <c r="U68" s="172"/>
      <c r="V68" s="172" t="s">
        <v>338</v>
      </c>
      <c r="W68" s="172" t="s">
        <v>467</v>
      </c>
      <c r="X68" s="172"/>
      <c r="Y68" s="172"/>
      <c r="Z68" s="172"/>
      <c r="AA68" s="172"/>
      <c r="AB68" s="172"/>
      <c r="AC68" s="172" t="s">
        <v>468</v>
      </c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</row>
    <row r="69">
      <c r="A69" s="198"/>
      <c r="B69" s="188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 t="s">
        <v>465</v>
      </c>
      <c r="P69" s="172" t="s">
        <v>635</v>
      </c>
      <c r="Q69" s="172"/>
      <c r="R69" s="172" t="s">
        <v>336</v>
      </c>
      <c r="S69" s="172" t="s">
        <v>612</v>
      </c>
      <c r="T69" s="172"/>
      <c r="U69" s="172" t="s">
        <v>338</v>
      </c>
      <c r="V69" s="172"/>
      <c r="W69" s="172" t="s">
        <v>636</v>
      </c>
      <c r="X69" s="172"/>
      <c r="Y69" s="172"/>
      <c r="Z69" s="172"/>
      <c r="AA69" s="172"/>
      <c r="AB69" s="172"/>
      <c r="AC69" s="172" t="s">
        <v>637</v>
      </c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</row>
    <row r="70">
      <c r="A70" s="199"/>
      <c r="B70" s="188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 t="s">
        <v>638</v>
      </c>
      <c r="P70" s="172" t="s">
        <v>639</v>
      </c>
      <c r="Q70" s="172"/>
      <c r="R70" s="172" t="s">
        <v>336</v>
      </c>
      <c r="S70" s="172" t="s">
        <v>640</v>
      </c>
      <c r="T70" s="172"/>
      <c r="U70" s="172"/>
      <c r="V70" s="172"/>
      <c r="W70" s="172" t="s">
        <v>641</v>
      </c>
      <c r="X70" s="172" t="s">
        <v>642</v>
      </c>
      <c r="Y70" s="196">
        <v>2.6486998E7</v>
      </c>
      <c r="Z70" s="197">
        <v>28718.0</v>
      </c>
      <c r="AA70" s="172"/>
      <c r="AB70" s="172"/>
      <c r="AC70" s="172" t="s">
        <v>643</v>
      </c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</row>
    <row r="71">
      <c r="A71" s="198"/>
      <c r="B71" s="188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 t="s">
        <v>644</v>
      </c>
      <c r="P71" s="172" t="s">
        <v>645</v>
      </c>
      <c r="Q71" s="172"/>
      <c r="R71" s="172" t="s">
        <v>336</v>
      </c>
      <c r="S71" s="172" t="s">
        <v>622</v>
      </c>
      <c r="T71" s="172" t="s">
        <v>338</v>
      </c>
      <c r="U71" s="172"/>
      <c r="V71" s="172"/>
      <c r="W71" s="172" t="s">
        <v>646</v>
      </c>
      <c r="X71" s="172"/>
      <c r="Y71" s="172"/>
      <c r="Z71" s="172"/>
      <c r="AA71" s="172"/>
      <c r="AB71" s="172"/>
      <c r="AC71" s="172" t="s">
        <v>647</v>
      </c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</row>
    <row r="72">
      <c r="A72" s="199"/>
      <c r="B72" s="188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 t="s">
        <v>469</v>
      </c>
      <c r="P72" s="172" t="s">
        <v>470</v>
      </c>
      <c r="Q72" s="172"/>
      <c r="R72" s="172" t="s">
        <v>336</v>
      </c>
      <c r="S72" s="172" t="s">
        <v>337</v>
      </c>
      <c r="T72" s="172"/>
      <c r="U72" s="172"/>
      <c r="V72" s="172" t="s">
        <v>353</v>
      </c>
      <c r="W72" s="172" t="s">
        <v>471</v>
      </c>
      <c r="X72" s="172" t="s">
        <v>472</v>
      </c>
      <c r="Y72" s="196">
        <v>1.8171624E7</v>
      </c>
      <c r="Z72" s="197">
        <v>24615.0</v>
      </c>
      <c r="AA72" s="172"/>
      <c r="AB72" s="172"/>
      <c r="AC72" s="172" t="s">
        <v>473</v>
      </c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</row>
    <row r="73">
      <c r="A73" s="198"/>
      <c r="B73" s="188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 t="s">
        <v>648</v>
      </c>
      <c r="P73" s="172" t="s">
        <v>649</v>
      </c>
      <c r="Q73" s="172"/>
      <c r="R73" s="172" t="s">
        <v>336</v>
      </c>
      <c r="S73" s="172" t="s">
        <v>612</v>
      </c>
      <c r="T73" s="172"/>
      <c r="U73" s="172" t="s">
        <v>338</v>
      </c>
      <c r="V73" s="172"/>
      <c r="W73" s="172" t="s">
        <v>650</v>
      </c>
      <c r="X73" s="172" t="s">
        <v>651</v>
      </c>
      <c r="Y73" s="196">
        <v>3.7986099E7</v>
      </c>
      <c r="Z73" s="197">
        <v>34273.0</v>
      </c>
      <c r="AA73" s="172"/>
      <c r="AB73" s="172"/>
      <c r="AC73" s="172" t="s">
        <v>652</v>
      </c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</row>
    <row r="74">
      <c r="A74" s="199"/>
      <c r="B74" s="188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 t="s">
        <v>653</v>
      </c>
      <c r="P74" s="172" t="s">
        <v>573</v>
      </c>
      <c r="Q74" s="172"/>
      <c r="R74" s="172" t="s">
        <v>336</v>
      </c>
      <c r="S74" s="172" t="s">
        <v>622</v>
      </c>
      <c r="T74" s="172" t="s">
        <v>338</v>
      </c>
      <c r="U74" s="172"/>
      <c r="V74" s="172"/>
      <c r="W74" s="172" t="s">
        <v>654</v>
      </c>
      <c r="X74" s="172" t="s">
        <v>655</v>
      </c>
      <c r="Y74" s="196">
        <v>3.8043417E7</v>
      </c>
      <c r="Z74" s="197">
        <v>34311.0</v>
      </c>
      <c r="AA74" s="172"/>
      <c r="AB74" s="172"/>
      <c r="AC74" s="172" t="s">
        <v>656</v>
      </c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</row>
    <row r="75">
      <c r="A75" s="198"/>
      <c r="B75" s="188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 t="s">
        <v>475</v>
      </c>
      <c r="P75" s="172" t="s">
        <v>476</v>
      </c>
      <c r="Q75" s="172"/>
      <c r="R75" s="172" t="s">
        <v>336</v>
      </c>
      <c r="S75" s="172" t="s">
        <v>337</v>
      </c>
      <c r="T75" s="172"/>
      <c r="U75" s="172"/>
      <c r="V75" s="172" t="s">
        <v>338</v>
      </c>
      <c r="W75" s="172" t="s">
        <v>477</v>
      </c>
      <c r="X75" s="172" t="s">
        <v>478</v>
      </c>
      <c r="Y75" s="196">
        <v>3.598535E7</v>
      </c>
      <c r="Z75" s="197">
        <v>33296.0</v>
      </c>
      <c r="AA75" s="172"/>
      <c r="AB75" s="172"/>
      <c r="AC75" s="172" t="s">
        <v>479</v>
      </c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</row>
    <row r="76">
      <c r="A76" s="199"/>
      <c r="B76" s="188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 t="s">
        <v>657</v>
      </c>
      <c r="P76" s="172" t="s">
        <v>658</v>
      </c>
      <c r="Q76" s="172"/>
      <c r="R76" s="172" t="s">
        <v>336</v>
      </c>
      <c r="S76" s="172" t="s">
        <v>612</v>
      </c>
      <c r="T76" s="172"/>
      <c r="U76" s="172" t="s">
        <v>347</v>
      </c>
      <c r="V76" s="172"/>
      <c r="W76" s="172" t="s">
        <v>659</v>
      </c>
      <c r="X76" s="172" t="s">
        <v>660</v>
      </c>
      <c r="Y76" s="196">
        <v>3.6919998E7</v>
      </c>
      <c r="Z76" s="197">
        <v>33809.0</v>
      </c>
      <c r="AA76" s="172"/>
      <c r="AB76" s="172"/>
      <c r="AC76" s="172" t="s">
        <v>661</v>
      </c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</row>
    <row r="77">
      <c r="A77" s="198"/>
      <c r="B77" s="188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 t="s">
        <v>480</v>
      </c>
      <c r="P77" s="172" t="s">
        <v>481</v>
      </c>
      <c r="Q77" s="172"/>
      <c r="R77" s="172" t="s">
        <v>336</v>
      </c>
      <c r="S77" s="172" t="s">
        <v>337</v>
      </c>
      <c r="T77" s="172"/>
      <c r="U77" s="172"/>
      <c r="V77" s="172" t="s">
        <v>338</v>
      </c>
      <c r="W77" s="172" t="s">
        <v>482</v>
      </c>
      <c r="X77" s="172" t="s">
        <v>483</v>
      </c>
      <c r="Y77" s="196">
        <v>2.4463214E7</v>
      </c>
      <c r="Z77" s="197">
        <v>27466.0</v>
      </c>
      <c r="AA77" s="172"/>
      <c r="AB77" s="172"/>
      <c r="AC77" s="172" t="s">
        <v>484</v>
      </c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</row>
    <row r="78">
      <c r="A78" s="199"/>
      <c r="B78" s="188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 t="s">
        <v>283</v>
      </c>
      <c r="P78" s="172" t="s">
        <v>662</v>
      </c>
      <c r="Q78" s="172"/>
      <c r="R78" s="172" t="s">
        <v>336</v>
      </c>
      <c r="S78" s="172" t="s">
        <v>622</v>
      </c>
      <c r="T78" s="172" t="s">
        <v>338</v>
      </c>
      <c r="U78" s="172"/>
      <c r="V78" s="172"/>
      <c r="W78" s="172" t="s">
        <v>663</v>
      </c>
      <c r="X78" s="172"/>
      <c r="Y78" s="172"/>
      <c r="Z78" s="172"/>
      <c r="AA78" s="172"/>
      <c r="AB78" s="172"/>
      <c r="AC78" s="172" t="s">
        <v>664</v>
      </c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</row>
    <row r="79">
      <c r="A79" s="198"/>
      <c r="B79" s="188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 t="s">
        <v>485</v>
      </c>
      <c r="P79" s="172" t="s">
        <v>486</v>
      </c>
      <c r="Q79" s="172"/>
      <c r="R79" s="172" t="s">
        <v>336</v>
      </c>
      <c r="S79" s="172" t="s">
        <v>337</v>
      </c>
      <c r="T79" s="172"/>
      <c r="U79" s="172"/>
      <c r="V79" s="172" t="s">
        <v>338</v>
      </c>
      <c r="W79" s="172" t="s">
        <v>487</v>
      </c>
      <c r="X79" s="172" t="s">
        <v>488</v>
      </c>
      <c r="Y79" s="196">
        <v>1.3470647E7</v>
      </c>
      <c r="Z79" s="197">
        <v>21014.0</v>
      </c>
      <c r="AA79" s="172"/>
      <c r="AB79" s="172"/>
      <c r="AC79" s="172" t="s">
        <v>489</v>
      </c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</row>
    <row r="80">
      <c r="A80" s="200"/>
      <c r="B80" s="188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 t="s">
        <v>285</v>
      </c>
      <c r="P80" s="172" t="s">
        <v>491</v>
      </c>
      <c r="Q80" s="172"/>
      <c r="R80" s="172" t="s">
        <v>336</v>
      </c>
      <c r="S80" s="172" t="s">
        <v>337</v>
      </c>
      <c r="T80" s="172"/>
      <c r="U80" s="172"/>
      <c r="V80" s="172" t="s">
        <v>338</v>
      </c>
      <c r="W80" s="172" t="s">
        <v>492</v>
      </c>
      <c r="X80" s="172" t="s">
        <v>493</v>
      </c>
      <c r="Y80" s="196">
        <v>4.3974455E7</v>
      </c>
      <c r="Z80" s="197">
        <v>37273.0</v>
      </c>
      <c r="AA80" s="172"/>
      <c r="AB80" s="172"/>
      <c r="AC80" s="172" t="s">
        <v>494</v>
      </c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</row>
    <row r="81">
      <c r="A81" s="201"/>
      <c r="B81" s="188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 t="s">
        <v>665</v>
      </c>
      <c r="P81" s="172" t="s">
        <v>666</v>
      </c>
      <c r="Q81" s="172"/>
      <c r="R81" s="172" t="s">
        <v>336</v>
      </c>
      <c r="S81" s="172" t="s">
        <v>612</v>
      </c>
      <c r="T81" s="172"/>
      <c r="U81" s="172" t="s">
        <v>347</v>
      </c>
      <c r="V81" s="172"/>
      <c r="W81" s="172" t="s">
        <v>667</v>
      </c>
      <c r="X81" s="172" t="s">
        <v>668</v>
      </c>
      <c r="Y81" s="196">
        <v>4.1541952E7</v>
      </c>
      <c r="Z81" s="197">
        <v>36052.0</v>
      </c>
      <c r="AA81" s="172"/>
      <c r="AB81" s="172"/>
      <c r="AC81" s="172" t="s">
        <v>669</v>
      </c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</row>
    <row r="82">
      <c r="A82" s="200"/>
      <c r="B82" s="188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 t="s">
        <v>670</v>
      </c>
      <c r="P82" s="172" t="s">
        <v>671</v>
      </c>
      <c r="Q82" s="172"/>
      <c r="R82" s="172" t="s">
        <v>336</v>
      </c>
      <c r="S82" s="172" t="s">
        <v>640</v>
      </c>
      <c r="T82" s="172"/>
      <c r="U82" s="172"/>
      <c r="V82" s="172"/>
      <c r="W82" s="172" t="s">
        <v>672</v>
      </c>
      <c r="X82" s="172" t="s">
        <v>673</v>
      </c>
      <c r="Y82" s="196">
        <v>2.8080023E7</v>
      </c>
      <c r="Z82" s="197">
        <v>29319.0</v>
      </c>
      <c r="AA82" s="172"/>
      <c r="AB82" s="172"/>
      <c r="AC82" s="172" t="s">
        <v>674</v>
      </c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</row>
    <row r="83">
      <c r="A83" s="201"/>
      <c r="B83" s="188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 t="s">
        <v>675</v>
      </c>
      <c r="P83" s="172" t="s">
        <v>645</v>
      </c>
      <c r="Q83" s="172"/>
      <c r="R83" s="172" t="s">
        <v>336</v>
      </c>
      <c r="S83" s="172" t="s">
        <v>622</v>
      </c>
      <c r="T83" s="172" t="s">
        <v>338</v>
      </c>
      <c r="U83" s="172"/>
      <c r="V83" s="172"/>
      <c r="W83" s="172" t="s">
        <v>676</v>
      </c>
      <c r="X83" s="172"/>
      <c r="Y83" s="172"/>
      <c r="Z83" s="172"/>
      <c r="AA83" s="172"/>
      <c r="AB83" s="172"/>
      <c r="AC83" s="172" t="s">
        <v>677</v>
      </c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</row>
    <row r="84">
      <c r="A84" s="200"/>
      <c r="B84" s="188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 t="s">
        <v>678</v>
      </c>
      <c r="P84" s="172" t="s">
        <v>679</v>
      </c>
      <c r="Q84" s="172"/>
      <c r="R84" s="172" t="s">
        <v>336</v>
      </c>
      <c r="S84" s="172" t="s">
        <v>612</v>
      </c>
      <c r="T84" s="172"/>
      <c r="U84" s="172" t="s">
        <v>347</v>
      </c>
      <c r="V84" s="172"/>
      <c r="W84" s="172" t="s">
        <v>680</v>
      </c>
      <c r="X84" s="172"/>
      <c r="Y84" s="172"/>
      <c r="Z84" s="172"/>
      <c r="AA84" s="172"/>
      <c r="AB84" s="172"/>
      <c r="AC84" s="172" t="s">
        <v>681</v>
      </c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</row>
    <row r="85">
      <c r="A85" s="201"/>
      <c r="B85" s="188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 t="s">
        <v>495</v>
      </c>
      <c r="P85" s="172" t="s">
        <v>496</v>
      </c>
      <c r="Q85" s="172"/>
      <c r="R85" s="172" t="s">
        <v>336</v>
      </c>
      <c r="S85" s="172" t="s">
        <v>337</v>
      </c>
      <c r="T85" s="172"/>
      <c r="U85" s="172"/>
      <c r="V85" s="172" t="s">
        <v>338</v>
      </c>
      <c r="W85" s="172" t="s">
        <v>497</v>
      </c>
      <c r="X85" s="172" t="s">
        <v>498</v>
      </c>
      <c r="Y85" s="196">
        <v>2.1795284E7</v>
      </c>
      <c r="Z85" s="197">
        <v>25859.0</v>
      </c>
      <c r="AA85" s="172"/>
      <c r="AB85" s="172"/>
      <c r="AC85" s="172" t="s">
        <v>499</v>
      </c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</row>
    <row r="86">
      <c r="A86" s="200"/>
      <c r="B86" s="188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 t="s">
        <v>500</v>
      </c>
      <c r="P86" s="172" t="s">
        <v>501</v>
      </c>
      <c r="Q86" s="172"/>
      <c r="R86" s="172" t="s">
        <v>336</v>
      </c>
      <c r="S86" s="172" t="s">
        <v>337</v>
      </c>
      <c r="T86" s="172"/>
      <c r="U86" s="172"/>
      <c r="V86" s="172" t="s">
        <v>353</v>
      </c>
      <c r="W86" s="172" t="s">
        <v>502</v>
      </c>
      <c r="X86" s="172" t="s">
        <v>503</v>
      </c>
      <c r="Y86" s="196">
        <v>1.7423961E7</v>
      </c>
      <c r="Z86" s="197" t="s">
        <v>504</v>
      </c>
      <c r="AA86" s="172"/>
      <c r="AB86" s="172"/>
      <c r="AC86" s="172" t="s">
        <v>505</v>
      </c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</row>
    <row r="87">
      <c r="A87" s="201"/>
      <c r="B87" s="188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 t="s">
        <v>506</v>
      </c>
      <c r="P87" s="172" t="s">
        <v>507</v>
      </c>
      <c r="Q87" s="172"/>
      <c r="R87" s="172" t="s">
        <v>336</v>
      </c>
      <c r="S87" s="172" t="s">
        <v>337</v>
      </c>
      <c r="T87" s="172"/>
      <c r="U87" s="172"/>
      <c r="V87" s="172" t="s">
        <v>338</v>
      </c>
      <c r="W87" s="172" t="s">
        <v>508</v>
      </c>
      <c r="X87" s="172"/>
      <c r="Y87" s="172"/>
      <c r="Z87" s="172"/>
      <c r="AA87" s="172"/>
      <c r="AB87" s="172"/>
      <c r="AC87" s="172" t="s">
        <v>509</v>
      </c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</row>
    <row r="88">
      <c r="A88" s="200"/>
      <c r="B88" s="188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 t="s">
        <v>510</v>
      </c>
      <c r="P88" s="172" t="s">
        <v>451</v>
      </c>
      <c r="Q88" s="172"/>
      <c r="R88" s="172" t="s">
        <v>336</v>
      </c>
      <c r="S88" s="172" t="s">
        <v>337</v>
      </c>
      <c r="T88" s="172"/>
      <c r="U88" s="172"/>
      <c r="V88" s="172" t="s">
        <v>338</v>
      </c>
      <c r="W88" s="172" t="s">
        <v>511</v>
      </c>
      <c r="X88" s="172" t="s">
        <v>512</v>
      </c>
      <c r="Y88" s="196">
        <v>2.3157398E7</v>
      </c>
      <c r="Z88" s="197">
        <v>26632.0</v>
      </c>
      <c r="AA88" s="172"/>
      <c r="AB88" s="172"/>
      <c r="AC88" s="172" t="s">
        <v>513</v>
      </c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</row>
    <row r="89">
      <c r="A89" s="201"/>
      <c r="B89" s="188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 t="s">
        <v>514</v>
      </c>
      <c r="P89" s="172" t="s">
        <v>515</v>
      </c>
      <c r="Q89" s="172"/>
      <c r="R89" s="172" t="s">
        <v>336</v>
      </c>
      <c r="S89" s="172" t="s">
        <v>386</v>
      </c>
      <c r="T89" s="172"/>
      <c r="U89" s="172" t="s">
        <v>338</v>
      </c>
      <c r="V89" s="172" t="s">
        <v>338</v>
      </c>
      <c r="W89" s="172" t="s">
        <v>516</v>
      </c>
      <c r="X89" s="172"/>
      <c r="Y89" s="172"/>
      <c r="Z89" s="172"/>
      <c r="AA89" s="172"/>
      <c r="AB89" s="172"/>
      <c r="AC89" s="172" t="s">
        <v>517</v>
      </c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</row>
    <row r="90">
      <c r="A90" s="200"/>
      <c r="B90" s="188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 t="s">
        <v>682</v>
      </c>
      <c r="P90" s="172" t="s">
        <v>683</v>
      </c>
      <c r="Q90" s="172"/>
      <c r="R90" s="172" t="s">
        <v>336</v>
      </c>
      <c r="S90" s="172" t="s">
        <v>612</v>
      </c>
      <c r="T90" s="172"/>
      <c r="U90" s="172" t="s">
        <v>338</v>
      </c>
      <c r="V90" s="172"/>
      <c r="W90" s="172" t="s">
        <v>684</v>
      </c>
      <c r="X90" s="172" t="s">
        <v>685</v>
      </c>
      <c r="Y90" s="196">
        <v>2.6057387E7</v>
      </c>
      <c r="Z90" s="197">
        <v>28419.0</v>
      </c>
      <c r="AA90" s="172"/>
      <c r="AB90" s="172"/>
      <c r="AC90" s="172" t="s">
        <v>686</v>
      </c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</row>
    <row r="91">
      <c r="A91" s="201"/>
      <c r="B91" s="188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 t="s">
        <v>518</v>
      </c>
      <c r="P91" s="172" t="s">
        <v>519</v>
      </c>
      <c r="Q91" s="172"/>
      <c r="R91" s="172" t="s">
        <v>336</v>
      </c>
      <c r="S91" s="172" t="s">
        <v>337</v>
      </c>
      <c r="T91" s="172"/>
      <c r="U91" s="172"/>
      <c r="V91" s="172" t="s">
        <v>338</v>
      </c>
      <c r="W91" s="172" t="s">
        <v>520</v>
      </c>
      <c r="X91" s="172" t="s">
        <v>521</v>
      </c>
      <c r="Y91" s="196">
        <v>3.6215077E7</v>
      </c>
      <c r="Z91" s="197">
        <v>33392.0</v>
      </c>
      <c r="AA91" s="172"/>
      <c r="AB91" s="172"/>
      <c r="AC91" s="172" t="s">
        <v>522</v>
      </c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</row>
    <row r="92">
      <c r="A92" s="200"/>
      <c r="B92" s="188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 t="s">
        <v>687</v>
      </c>
      <c r="P92" s="172" t="s">
        <v>688</v>
      </c>
      <c r="Q92" s="172"/>
      <c r="R92" s="172" t="s">
        <v>336</v>
      </c>
      <c r="S92" s="172" t="s">
        <v>622</v>
      </c>
      <c r="T92" s="172" t="s">
        <v>338</v>
      </c>
      <c r="U92" s="172"/>
      <c r="V92" s="172"/>
      <c r="W92" s="172" t="s">
        <v>689</v>
      </c>
      <c r="X92" s="172" t="s">
        <v>690</v>
      </c>
      <c r="Y92" s="196">
        <v>2.3552112E7</v>
      </c>
      <c r="Z92" s="197">
        <v>27136.0</v>
      </c>
      <c r="AA92" s="172"/>
      <c r="AB92" s="172"/>
      <c r="AC92" s="172" t="s">
        <v>691</v>
      </c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</row>
    <row r="93">
      <c r="A93" s="201"/>
      <c r="B93" s="188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 t="s">
        <v>692</v>
      </c>
      <c r="P93" s="172" t="s">
        <v>451</v>
      </c>
      <c r="Q93" s="172"/>
      <c r="R93" s="172" t="s">
        <v>336</v>
      </c>
      <c r="S93" s="172" t="s">
        <v>693</v>
      </c>
      <c r="T93" s="172" t="s">
        <v>347</v>
      </c>
      <c r="U93" s="172"/>
      <c r="V93" s="172" t="s">
        <v>347</v>
      </c>
      <c r="W93" s="172" t="s">
        <v>694</v>
      </c>
      <c r="X93" s="172"/>
      <c r="Y93" s="172"/>
      <c r="Z93" s="172"/>
      <c r="AA93" s="172"/>
      <c r="AB93" s="172"/>
      <c r="AC93" s="172" t="s">
        <v>695</v>
      </c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</row>
    <row r="94">
      <c r="A94" s="200"/>
      <c r="B94" s="188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 t="s">
        <v>696</v>
      </c>
      <c r="P94" s="172" t="s">
        <v>697</v>
      </c>
      <c r="Q94" s="172"/>
      <c r="R94" s="172" t="s">
        <v>336</v>
      </c>
      <c r="S94" s="172" t="s">
        <v>622</v>
      </c>
      <c r="T94" s="172" t="s">
        <v>338</v>
      </c>
      <c r="U94" s="172"/>
      <c r="V94" s="172"/>
      <c r="W94" s="172" t="s">
        <v>698</v>
      </c>
      <c r="X94" s="172"/>
      <c r="Y94" s="172"/>
      <c r="Z94" s="172"/>
      <c r="AA94" s="172"/>
      <c r="AB94" s="172"/>
      <c r="AC94" s="172" t="s">
        <v>699</v>
      </c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</row>
    <row r="95">
      <c r="A95" s="201"/>
      <c r="B95" s="188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 t="s">
        <v>292</v>
      </c>
      <c r="P95" s="172" t="s">
        <v>523</v>
      </c>
      <c r="Q95" s="172"/>
      <c r="R95" s="172" t="s">
        <v>336</v>
      </c>
      <c r="S95" s="172" t="s">
        <v>337</v>
      </c>
      <c r="T95" s="172"/>
      <c r="U95" s="172"/>
      <c r="V95" s="172" t="s">
        <v>353</v>
      </c>
      <c r="W95" s="172" t="s">
        <v>524</v>
      </c>
      <c r="X95" s="172" t="s">
        <v>525</v>
      </c>
      <c r="Y95" s="196">
        <v>2.5803236E7</v>
      </c>
      <c r="Z95" s="197">
        <v>28308.0</v>
      </c>
      <c r="AA95" s="172"/>
      <c r="AB95" s="172"/>
      <c r="AC95" s="172" t="s">
        <v>526</v>
      </c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</row>
    <row r="96">
      <c r="A96" s="200"/>
      <c r="B96" s="188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 t="s">
        <v>700</v>
      </c>
      <c r="P96" s="172" t="s">
        <v>701</v>
      </c>
      <c r="Q96" s="172"/>
      <c r="R96" s="172" t="s">
        <v>336</v>
      </c>
      <c r="S96" s="172" t="s">
        <v>612</v>
      </c>
      <c r="T96" s="172"/>
      <c r="U96" s="172" t="s">
        <v>338</v>
      </c>
      <c r="V96" s="172"/>
      <c r="W96" s="172" t="s">
        <v>702</v>
      </c>
      <c r="X96" s="172" t="s">
        <v>703</v>
      </c>
      <c r="Y96" s="196">
        <v>1.043158E7</v>
      </c>
      <c r="Z96" s="197">
        <v>19315.0</v>
      </c>
      <c r="AA96" s="172"/>
      <c r="AB96" s="172"/>
      <c r="AC96" s="172" t="s">
        <v>704</v>
      </c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</row>
    <row r="97">
      <c r="A97" s="201"/>
      <c r="B97" s="188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 t="s">
        <v>705</v>
      </c>
      <c r="P97" s="172" t="s">
        <v>573</v>
      </c>
      <c r="Q97" s="172"/>
      <c r="R97" s="172" t="s">
        <v>336</v>
      </c>
      <c r="S97" s="172" t="s">
        <v>640</v>
      </c>
      <c r="T97" s="172"/>
      <c r="U97" s="172"/>
      <c r="V97" s="172"/>
      <c r="W97" s="172" t="s">
        <v>706</v>
      </c>
      <c r="X97" s="172"/>
      <c r="Y97" s="172"/>
      <c r="Z97" s="172"/>
      <c r="AA97" s="172"/>
      <c r="AB97" s="172"/>
      <c r="AC97" s="172" t="s">
        <v>707</v>
      </c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</row>
    <row r="98">
      <c r="A98" s="200"/>
      <c r="B98" s="188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 t="s">
        <v>527</v>
      </c>
      <c r="P98" s="172" t="s">
        <v>528</v>
      </c>
      <c r="Q98" s="172"/>
      <c r="R98" s="172" t="s">
        <v>336</v>
      </c>
      <c r="S98" s="172" t="s">
        <v>386</v>
      </c>
      <c r="T98" s="172"/>
      <c r="U98" s="172" t="s">
        <v>338</v>
      </c>
      <c r="V98" s="172" t="s">
        <v>338</v>
      </c>
      <c r="W98" s="172" t="s">
        <v>529</v>
      </c>
      <c r="X98" s="172"/>
      <c r="Y98" s="172"/>
      <c r="Z98" s="172"/>
      <c r="AA98" s="172"/>
      <c r="AB98" s="172"/>
      <c r="AC98" s="172" t="s">
        <v>530</v>
      </c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</row>
    <row r="99">
      <c r="A99" s="201"/>
      <c r="B99" s="188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 t="s">
        <v>708</v>
      </c>
      <c r="P99" s="172" t="s">
        <v>451</v>
      </c>
      <c r="Q99" s="172"/>
      <c r="R99" s="172" t="s">
        <v>336</v>
      </c>
      <c r="S99" s="172" t="s">
        <v>337</v>
      </c>
      <c r="T99" s="172"/>
      <c r="U99" s="172"/>
      <c r="V99" s="172" t="s">
        <v>338</v>
      </c>
      <c r="W99" s="172" t="s">
        <v>709</v>
      </c>
      <c r="X99" s="172" t="s">
        <v>710</v>
      </c>
      <c r="Y99" s="196">
        <v>2.9119577E7</v>
      </c>
      <c r="Z99" s="197">
        <v>29886.0</v>
      </c>
      <c r="AA99" s="172"/>
      <c r="AB99" s="172"/>
      <c r="AC99" s="172" t="s">
        <v>711</v>
      </c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</row>
    <row r="100">
      <c r="A100" s="200"/>
      <c r="B100" s="188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 t="s">
        <v>712</v>
      </c>
      <c r="P100" s="172" t="s">
        <v>713</v>
      </c>
      <c r="Q100" s="172"/>
      <c r="R100" s="172" t="s">
        <v>336</v>
      </c>
      <c r="S100" s="172" t="s">
        <v>612</v>
      </c>
      <c r="T100" s="172"/>
      <c r="U100" s="172" t="s">
        <v>338</v>
      </c>
      <c r="V100" s="172"/>
      <c r="W100" s="172" t="s">
        <v>714</v>
      </c>
      <c r="X100" s="172"/>
      <c r="Y100" s="172"/>
      <c r="Z100" s="172"/>
      <c r="AA100" s="172"/>
      <c r="AB100" s="172"/>
      <c r="AC100" s="172" t="s">
        <v>715</v>
      </c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</row>
    <row r="101">
      <c r="A101" s="201"/>
      <c r="B101" s="188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 t="s">
        <v>298</v>
      </c>
      <c r="P101" s="172" t="s">
        <v>531</v>
      </c>
      <c r="Q101" s="172"/>
      <c r="R101" s="172" t="s">
        <v>336</v>
      </c>
      <c r="S101" s="172" t="s">
        <v>337</v>
      </c>
      <c r="T101" s="172"/>
      <c r="U101" s="172"/>
      <c r="V101" s="172" t="s">
        <v>338</v>
      </c>
      <c r="W101" s="172" t="s">
        <v>532</v>
      </c>
      <c r="X101" s="172" t="s">
        <v>533</v>
      </c>
      <c r="Y101" s="196">
        <v>2.8316837E7</v>
      </c>
      <c r="Z101" s="197">
        <v>29437.0</v>
      </c>
      <c r="AA101" s="172"/>
      <c r="AB101" s="172"/>
      <c r="AC101" s="172" t="s">
        <v>534</v>
      </c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</row>
    <row r="102">
      <c r="A102" s="200"/>
      <c r="B102" s="188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 t="s">
        <v>716</v>
      </c>
      <c r="P102" s="172" t="s">
        <v>717</v>
      </c>
      <c r="Q102" s="172"/>
      <c r="R102" s="172" t="s">
        <v>336</v>
      </c>
      <c r="S102" s="172" t="s">
        <v>640</v>
      </c>
      <c r="T102" s="172"/>
      <c r="U102" s="172"/>
      <c r="V102" s="172"/>
      <c r="W102" s="172" t="s">
        <v>718</v>
      </c>
      <c r="X102" s="172" t="s">
        <v>719</v>
      </c>
      <c r="Y102" s="196">
        <v>3.259537E7</v>
      </c>
      <c r="Z102" s="197">
        <v>31594.0</v>
      </c>
      <c r="AA102" s="172"/>
      <c r="AB102" s="172"/>
      <c r="AC102" s="172" t="s">
        <v>720</v>
      </c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</row>
    <row r="103">
      <c r="A103" s="201"/>
      <c r="B103" s="188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 t="s">
        <v>721</v>
      </c>
      <c r="P103" s="172" t="s">
        <v>722</v>
      </c>
      <c r="Q103" s="172"/>
      <c r="R103" s="172" t="s">
        <v>336</v>
      </c>
      <c r="S103" s="172" t="s">
        <v>622</v>
      </c>
      <c r="T103" s="172" t="s">
        <v>338</v>
      </c>
      <c r="U103" s="172"/>
      <c r="V103" s="172"/>
      <c r="W103" s="172" t="s">
        <v>723</v>
      </c>
      <c r="X103" s="172" t="s">
        <v>724</v>
      </c>
      <c r="Y103" s="196">
        <v>1.7255744E7</v>
      </c>
      <c r="Z103" s="197">
        <v>23678.0</v>
      </c>
      <c r="AA103" s="172"/>
      <c r="AB103" s="172"/>
      <c r="AC103" s="172" t="s">
        <v>725</v>
      </c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</row>
    <row r="104">
      <c r="A104" s="200"/>
      <c r="B104" s="188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 t="s">
        <v>726</v>
      </c>
      <c r="P104" s="172" t="s">
        <v>727</v>
      </c>
      <c r="Q104" s="172"/>
      <c r="R104" s="172" t="s">
        <v>336</v>
      </c>
      <c r="S104" s="172" t="s">
        <v>640</v>
      </c>
      <c r="T104" s="172"/>
      <c r="U104" s="172"/>
      <c r="V104" s="172"/>
      <c r="W104" s="172" t="s">
        <v>728</v>
      </c>
      <c r="X104" s="172"/>
      <c r="Y104" s="172"/>
      <c r="Z104" s="172"/>
      <c r="AA104" s="172"/>
      <c r="AB104" s="172"/>
      <c r="AC104" s="172" t="s">
        <v>729</v>
      </c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</row>
    <row r="105">
      <c r="A105" s="201"/>
      <c r="B105" s="188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 t="s">
        <v>730</v>
      </c>
      <c r="P105" s="172" t="s">
        <v>731</v>
      </c>
      <c r="Q105" s="172"/>
      <c r="R105" s="172" t="s">
        <v>336</v>
      </c>
      <c r="S105" s="172" t="s">
        <v>640</v>
      </c>
      <c r="T105" s="172"/>
      <c r="U105" s="172"/>
      <c r="V105" s="172"/>
      <c r="W105" s="172" t="s">
        <v>732</v>
      </c>
      <c r="X105" s="172"/>
      <c r="Y105" s="172"/>
      <c r="Z105" s="172"/>
      <c r="AA105" s="172"/>
      <c r="AB105" s="172"/>
      <c r="AC105" s="172" t="s">
        <v>733</v>
      </c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</row>
    <row r="106">
      <c r="A106" s="200"/>
      <c r="B106" s="188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 t="s">
        <v>734</v>
      </c>
      <c r="P106" s="172" t="s">
        <v>735</v>
      </c>
      <c r="Q106" s="172"/>
      <c r="R106" s="172" t="s">
        <v>336</v>
      </c>
      <c r="S106" s="172" t="s">
        <v>736</v>
      </c>
      <c r="T106" s="172" t="s">
        <v>338</v>
      </c>
      <c r="U106" s="172" t="s">
        <v>338</v>
      </c>
      <c r="V106" s="172"/>
      <c r="W106" s="172" t="s">
        <v>737</v>
      </c>
      <c r="X106" s="172" t="s">
        <v>738</v>
      </c>
      <c r="Y106" s="196">
        <v>2.9800187E7</v>
      </c>
      <c r="Z106" s="197">
        <v>30223.0</v>
      </c>
      <c r="AA106" s="172"/>
      <c r="AB106" s="172"/>
      <c r="AC106" s="172" t="s">
        <v>739</v>
      </c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</row>
    <row r="107">
      <c r="A107" s="201"/>
      <c r="B107" s="188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 t="s">
        <v>740</v>
      </c>
      <c r="P107" s="172" t="s">
        <v>741</v>
      </c>
      <c r="Q107" s="172"/>
      <c r="R107" s="172" t="s">
        <v>336</v>
      </c>
      <c r="S107" s="172" t="s">
        <v>612</v>
      </c>
      <c r="T107" s="172"/>
      <c r="U107" s="172" t="s">
        <v>338</v>
      </c>
      <c r="V107" s="172"/>
      <c r="W107" s="172" t="s">
        <v>742</v>
      </c>
      <c r="X107" s="172"/>
      <c r="Y107" s="172"/>
      <c r="Z107" s="172"/>
      <c r="AA107" s="172"/>
      <c r="AB107" s="172"/>
      <c r="AC107" s="172" t="s">
        <v>743</v>
      </c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</row>
    <row r="108">
      <c r="A108" s="200"/>
      <c r="B108" s="188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 t="s">
        <v>535</v>
      </c>
      <c r="P108" s="172" t="s">
        <v>536</v>
      </c>
      <c r="Q108" s="172"/>
      <c r="R108" s="172" t="s">
        <v>336</v>
      </c>
      <c r="S108" s="172" t="s">
        <v>386</v>
      </c>
      <c r="T108" s="172"/>
      <c r="U108" s="172" t="s">
        <v>338</v>
      </c>
      <c r="V108" s="172" t="s">
        <v>338</v>
      </c>
      <c r="W108" s="172" t="s">
        <v>537</v>
      </c>
      <c r="X108" s="172" t="s">
        <v>537</v>
      </c>
      <c r="Y108" s="196">
        <v>2.061919E7</v>
      </c>
      <c r="Z108" s="197">
        <v>25204.0</v>
      </c>
      <c r="AA108" s="172"/>
      <c r="AB108" s="172"/>
      <c r="AC108" s="172" t="s">
        <v>538</v>
      </c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</row>
    <row r="109">
      <c r="A109" s="201"/>
      <c r="B109" s="188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 t="s">
        <v>744</v>
      </c>
      <c r="P109" s="172" t="s">
        <v>745</v>
      </c>
      <c r="Q109" s="172"/>
      <c r="R109" s="172" t="s">
        <v>336</v>
      </c>
      <c r="S109" s="172" t="s">
        <v>640</v>
      </c>
      <c r="T109" s="172" t="s">
        <v>746</v>
      </c>
      <c r="U109" s="172" t="s">
        <v>746</v>
      </c>
      <c r="V109" s="172" t="s">
        <v>746</v>
      </c>
      <c r="W109" s="172" t="s">
        <v>747</v>
      </c>
      <c r="X109" s="172" t="s">
        <v>748</v>
      </c>
      <c r="Y109" s="196">
        <v>1.8173963E7</v>
      </c>
      <c r="Z109" s="197">
        <v>24441.0</v>
      </c>
      <c r="AA109" s="172"/>
      <c r="AB109" s="172"/>
      <c r="AC109" s="172" t="s">
        <v>749</v>
      </c>
      <c r="AD109" s="172"/>
      <c r="AE109" s="172"/>
      <c r="AF109" s="172"/>
      <c r="AG109" s="172"/>
      <c r="AH109" s="172"/>
      <c r="AI109" s="172"/>
      <c r="AJ109" s="172"/>
      <c r="AK109" s="172"/>
      <c r="AL109" s="172"/>
      <c r="AM109" s="172"/>
    </row>
    <row r="110">
      <c r="A110" s="200"/>
      <c r="B110" s="188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 t="s">
        <v>750</v>
      </c>
      <c r="P110" s="172" t="s">
        <v>751</v>
      </c>
      <c r="Q110" s="172"/>
      <c r="R110" s="172" t="s">
        <v>336</v>
      </c>
      <c r="S110" s="172" t="s">
        <v>622</v>
      </c>
      <c r="T110" s="172" t="s">
        <v>338</v>
      </c>
      <c r="U110" s="172"/>
      <c r="V110" s="172"/>
      <c r="W110" s="172" t="s">
        <v>752</v>
      </c>
      <c r="X110" s="172"/>
      <c r="Y110" s="172"/>
      <c r="Z110" s="172"/>
      <c r="AA110" s="172"/>
      <c r="AB110" s="172"/>
      <c r="AC110" s="172" t="s">
        <v>753</v>
      </c>
      <c r="AD110" s="172"/>
      <c r="AE110" s="172"/>
      <c r="AF110" s="172"/>
      <c r="AG110" s="172"/>
      <c r="AH110" s="172"/>
      <c r="AI110" s="172"/>
      <c r="AJ110" s="172"/>
      <c r="AK110" s="172"/>
      <c r="AL110" s="172"/>
      <c r="AM110" s="172"/>
    </row>
    <row r="111">
      <c r="A111" s="201"/>
      <c r="B111" s="188"/>
      <c r="C111" s="172"/>
      <c r="D111" s="172"/>
      <c r="E111" s="172"/>
      <c r="F111" s="172"/>
      <c r="G111" s="172"/>
      <c r="H111" s="172"/>
      <c r="I111" s="172"/>
      <c r="J111" s="172"/>
      <c r="K111" s="172"/>
      <c r="L111" s="172"/>
      <c r="M111" s="172"/>
      <c r="N111" s="172"/>
      <c r="O111" s="172" t="s">
        <v>754</v>
      </c>
      <c r="P111" s="172" t="s">
        <v>755</v>
      </c>
      <c r="Q111" s="172"/>
      <c r="R111" s="172" t="s">
        <v>336</v>
      </c>
      <c r="S111" s="172" t="s">
        <v>622</v>
      </c>
      <c r="T111" s="172" t="s">
        <v>347</v>
      </c>
      <c r="U111" s="172"/>
      <c r="V111" s="172"/>
      <c r="W111" s="172" t="s">
        <v>756</v>
      </c>
      <c r="X111" s="172"/>
      <c r="Y111" s="172"/>
      <c r="Z111" s="172"/>
      <c r="AA111" s="172"/>
      <c r="AB111" s="172"/>
      <c r="AC111" s="172" t="s">
        <v>757</v>
      </c>
      <c r="AD111" s="172"/>
      <c r="AE111" s="172"/>
      <c r="AF111" s="172"/>
      <c r="AG111" s="172"/>
      <c r="AH111" s="172"/>
      <c r="AI111" s="172"/>
      <c r="AJ111" s="172"/>
      <c r="AK111" s="172"/>
      <c r="AL111" s="172"/>
      <c r="AM111" s="172"/>
    </row>
    <row r="112">
      <c r="A112" s="200"/>
      <c r="B112" s="188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 t="s">
        <v>758</v>
      </c>
      <c r="P112" s="172" t="s">
        <v>759</v>
      </c>
      <c r="Q112" s="172"/>
      <c r="R112" s="172" t="s">
        <v>336</v>
      </c>
      <c r="S112" s="172" t="s">
        <v>612</v>
      </c>
      <c r="T112" s="172"/>
      <c r="U112" s="172" t="s">
        <v>338</v>
      </c>
      <c r="V112" s="172"/>
      <c r="W112" s="172" t="s">
        <v>760</v>
      </c>
      <c r="X112" s="172" t="s">
        <v>761</v>
      </c>
      <c r="Y112" s="196">
        <v>1.8674322E7</v>
      </c>
      <c r="Z112" s="197" t="s">
        <v>762</v>
      </c>
      <c r="AA112" s="172"/>
      <c r="AB112" s="172"/>
      <c r="AC112" s="172" t="s">
        <v>763</v>
      </c>
      <c r="AD112" s="172"/>
      <c r="AE112" s="172"/>
      <c r="AF112" s="172"/>
      <c r="AG112" s="172"/>
      <c r="AH112" s="172"/>
      <c r="AI112" s="172"/>
      <c r="AJ112" s="172"/>
      <c r="AK112" s="172"/>
      <c r="AL112" s="172"/>
      <c r="AM112" s="172"/>
    </row>
    <row r="113">
      <c r="A113" s="201"/>
      <c r="B113" s="188"/>
      <c r="C113" s="172"/>
      <c r="D113" s="172"/>
      <c r="E113" s="172"/>
      <c r="F113" s="172"/>
      <c r="G113" s="172"/>
      <c r="H113" s="172"/>
      <c r="I113" s="172"/>
      <c r="J113" s="172"/>
      <c r="K113" s="172"/>
      <c r="L113" s="172"/>
      <c r="M113" s="172"/>
      <c r="N113" s="172"/>
      <c r="O113" s="172" t="s">
        <v>539</v>
      </c>
      <c r="P113" s="172" t="s">
        <v>540</v>
      </c>
      <c r="Q113" s="172"/>
      <c r="R113" s="172" t="s">
        <v>336</v>
      </c>
      <c r="S113" s="172" t="s">
        <v>337</v>
      </c>
      <c r="T113" s="172"/>
      <c r="U113" s="172"/>
      <c r="V113" s="172" t="s">
        <v>338</v>
      </c>
      <c r="W113" s="172" t="s">
        <v>541</v>
      </c>
      <c r="X113" s="172" t="s">
        <v>542</v>
      </c>
      <c r="Y113" s="196">
        <v>2.2399379E7</v>
      </c>
      <c r="Z113" s="197">
        <v>26250.0</v>
      </c>
      <c r="AA113" s="172"/>
      <c r="AB113" s="172"/>
      <c r="AC113" s="172" t="s">
        <v>543</v>
      </c>
      <c r="AD113" s="172"/>
      <c r="AE113" s="172"/>
      <c r="AF113" s="172"/>
      <c r="AG113" s="172"/>
      <c r="AH113" s="172"/>
      <c r="AI113" s="172"/>
      <c r="AJ113" s="172"/>
      <c r="AK113" s="172"/>
      <c r="AL113" s="172"/>
      <c r="AM113" s="172"/>
    </row>
    <row r="114">
      <c r="A114" s="200"/>
      <c r="B114" s="188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 t="s">
        <v>544</v>
      </c>
      <c r="P114" s="172" t="s">
        <v>545</v>
      </c>
      <c r="Q114" s="172"/>
      <c r="R114" s="172" t="s">
        <v>336</v>
      </c>
      <c r="S114" s="172" t="s">
        <v>337</v>
      </c>
      <c r="T114" s="172"/>
      <c r="U114" s="172"/>
      <c r="V114" s="172" t="s">
        <v>338</v>
      </c>
      <c r="W114" s="172" t="s">
        <v>546</v>
      </c>
      <c r="X114" s="172" t="s">
        <v>547</v>
      </c>
      <c r="Y114" s="196">
        <v>3.95942E7</v>
      </c>
      <c r="Z114" s="197">
        <v>35219.0</v>
      </c>
      <c r="AA114" s="172"/>
      <c r="AB114" s="172"/>
      <c r="AC114" s="172" t="s">
        <v>548</v>
      </c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</row>
    <row r="115">
      <c r="A115" s="201"/>
      <c r="B115" s="188"/>
      <c r="C115" s="172"/>
      <c r="D115" s="172"/>
      <c r="E115" s="172"/>
      <c r="F115" s="172"/>
      <c r="G115" s="172"/>
      <c r="H115" s="172"/>
      <c r="I115" s="172"/>
      <c r="J115" s="172"/>
      <c r="K115" s="172"/>
      <c r="L115" s="172"/>
      <c r="M115" s="172"/>
      <c r="N115" s="172"/>
      <c r="O115" s="172" t="s">
        <v>549</v>
      </c>
      <c r="P115" s="172" t="s">
        <v>550</v>
      </c>
      <c r="Q115" s="172"/>
      <c r="R115" s="172" t="s">
        <v>336</v>
      </c>
      <c r="S115" s="172" t="s">
        <v>386</v>
      </c>
      <c r="T115" s="172"/>
      <c r="U115" s="172"/>
      <c r="V115" s="172" t="s">
        <v>338</v>
      </c>
      <c r="W115" s="172" t="s">
        <v>551</v>
      </c>
      <c r="X115" s="172"/>
      <c r="Y115" s="172"/>
      <c r="Z115" s="172"/>
      <c r="AA115" s="172"/>
      <c r="AB115" s="172"/>
      <c r="AC115" s="172" t="s">
        <v>552</v>
      </c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</row>
    <row r="116">
      <c r="A116" s="200"/>
      <c r="B116" s="188"/>
      <c r="C116" s="172"/>
      <c r="D116" s="172"/>
      <c r="E116" s="172"/>
      <c r="F116" s="172"/>
      <c r="G116" s="172"/>
      <c r="H116" s="172"/>
      <c r="I116" s="172"/>
      <c r="J116" s="172"/>
      <c r="K116" s="172"/>
      <c r="L116" s="172"/>
      <c r="M116" s="172"/>
      <c r="N116" s="172"/>
      <c r="O116" s="172" t="s">
        <v>764</v>
      </c>
      <c r="P116" s="172" t="s">
        <v>603</v>
      </c>
      <c r="Q116" s="172"/>
      <c r="R116" s="172" t="s">
        <v>336</v>
      </c>
      <c r="S116" s="172" t="s">
        <v>612</v>
      </c>
      <c r="T116" s="172"/>
      <c r="U116" s="172" t="s">
        <v>338</v>
      </c>
      <c r="V116" s="172"/>
      <c r="W116" s="172" t="s">
        <v>765</v>
      </c>
      <c r="X116" s="172"/>
      <c r="Y116" s="172"/>
      <c r="Z116" s="172"/>
      <c r="AA116" s="172"/>
      <c r="AB116" s="172"/>
      <c r="AC116" s="172" t="s">
        <v>766</v>
      </c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</row>
    <row r="117">
      <c r="A117" s="201"/>
      <c r="B117" s="188"/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 t="s">
        <v>767</v>
      </c>
      <c r="P117" s="172" t="s">
        <v>768</v>
      </c>
      <c r="Q117" s="172"/>
      <c r="R117" s="172" t="s">
        <v>336</v>
      </c>
      <c r="S117" s="172" t="s">
        <v>612</v>
      </c>
      <c r="T117" s="172"/>
      <c r="U117" s="172" t="s">
        <v>338</v>
      </c>
      <c r="V117" s="172"/>
      <c r="W117" s="172" t="s">
        <v>769</v>
      </c>
      <c r="X117" s="172" t="s">
        <v>770</v>
      </c>
      <c r="Y117" s="196">
        <v>2.6690621E7</v>
      </c>
      <c r="Z117" s="197">
        <v>28659.0</v>
      </c>
      <c r="AA117" s="172"/>
      <c r="AB117" s="172"/>
      <c r="AC117" s="172" t="s">
        <v>771</v>
      </c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</row>
    <row r="118">
      <c r="A118" s="200"/>
      <c r="B118" s="188"/>
      <c r="C118" s="172"/>
      <c r="D118" s="172"/>
      <c r="E118" s="172"/>
      <c r="F118" s="172"/>
      <c r="G118" s="172"/>
      <c r="H118" s="172"/>
      <c r="I118" s="172"/>
      <c r="J118" s="172"/>
      <c r="K118" s="172"/>
      <c r="L118" s="172"/>
      <c r="M118" s="172"/>
      <c r="N118" s="172"/>
      <c r="O118" s="172" t="s">
        <v>772</v>
      </c>
      <c r="P118" s="172" t="s">
        <v>773</v>
      </c>
      <c r="Q118" s="172"/>
      <c r="R118" s="172" t="s">
        <v>336</v>
      </c>
      <c r="S118" s="172" t="s">
        <v>612</v>
      </c>
      <c r="T118" s="172"/>
      <c r="U118" s="172" t="s">
        <v>338</v>
      </c>
      <c r="V118" s="172"/>
      <c r="W118" s="172" t="s">
        <v>774</v>
      </c>
      <c r="X118" s="172"/>
      <c r="Y118" s="172"/>
      <c r="Z118" s="172"/>
      <c r="AA118" s="172"/>
      <c r="AB118" s="172"/>
      <c r="AC118" s="172" t="s">
        <v>775</v>
      </c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</row>
    <row r="119">
      <c r="A119" s="201"/>
      <c r="B119" s="188"/>
      <c r="C119" s="172"/>
      <c r="D119" s="172"/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 t="s">
        <v>776</v>
      </c>
      <c r="P119" s="172" t="s">
        <v>777</v>
      </c>
      <c r="Q119" s="172"/>
      <c r="R119" s="172" t="s">
        <v>336</v>
      </c>
      <c r="S119" s="172" t="s">
        <v>640</v>
      </c>
      <c r="T119" s="172" t="s">
        <v>353</v>
      </c>
      <c r="U119" s="172" t="s">
        <v>452</v>
      </c>
      <c r="V119" s="172" t="s">
        <v>452</v>
      </c>
      <c r="W119" s="172" t="s">
        <v>778</v>
      </c>
      <c r="X119" s="172" t="s">
        <v>779</v>
      </c>
      <c r="Y119" s="196">
        <v>1.4943725E7</v>
      </c>
      <c r="Z119" s="197">
        <v>22897.0</v>
      </c>
      <c r="AA119" s="172"/>
      <c r="AB119" s="172"/>
      <c r="AC119" s="172" t="s">
        <v>780</v>
      </c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</row>
    <row r="120">
      <c r="A120" s="200"/>
      <c r="B120" s="188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 t="s">
        <v>781</v>
      </c>
      <c r="P120" s="172" t="s">
        <v>550</v>
      </c>
      <c r="Q120" s="172"/>
      <c r="R120" s="172" t="s">
        <v>336</v>
      </c>
      <c r="S120" s="172" t="s">
        <v>612</v>
      </c>
      <c r="T120" s="172"/>
      <c r="U120" s="172" t="s">
        <v>338</v>
      </c>
      <c r="V120" s="172"/>
      <c r="W120" s="172" t="s">
        <v>782</v>
      </c>
      <c r="X120" s="172" t="s">
        <v>783</v>
      </c>
      <c r="Y120" s="172"/>
      <c r="Z120" s="197">
        <v>25559.0</v>
      </c>
      <c r="AA120" s="172"/>
      <c r="AB120" s="172"/>
      <c r="AC120" s="172" t="s">
        <v>784</v>
      </c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</row>
    <row r="121">
      <c r="A121" s="201"/>
      <c r="B121" s="188"/>
      <c r="C121" s="172"/>
      <c r="D121" s="172"/>
      <c r="E121" s="172"/>
      <c r="F121" s="172"/>
      <c r="G121" s="172"/>
      <c r="H121" s="172"/>
      <c r="I121" s="172"/>
      <c r="J121" s="172"/>
      <c r="K121" s="172"/>
      <c r="L121" s="172"/>
      <c r="M121" s="172"/>
      <c r="N121" s="172"/>
      <c r="O121" s="172" t="s">
        <v>785</v>
      </c>
      <c r="P121" s="172" t="s">
        <v>786</v>
      </c>
      <c r="Q121" s="172"/>
      <c r="R121" s="172" t="s">
        <v>336</v>
      </c>
      <c r="S121" s="172" t="s">
        <v>622</v>
      </c>
      <c r="T121" s="172" t="s">
        <v>353</v>
      </c>
      <c r="U121" s="172"/>
      <c r="V121" s="172"/>
      <c r="W121" s="172" t="s">
        <v>787</v>
      </c>
      <c r="X121" s="172" t="s">
        <v>788</v>
      </c>
      <c r="Y121" s="196">
        <v>2.5965286E7</v>
      </c>
      <c r="Z121" s="197">
        <v>28265.0</v>
      </c>
      <c r="AA121" s="172"/>
      <c r="AB121" s="172"/>
      <c r="AC121" s="172" t="s">
        <v>789</v>
      </c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</row>
    <row r="122">
      <c r="A122" s="200"/>
      <c r="B122" s="188"/>
      <c r="C122" s="172"/>
      <c r="D122" s="172"/>
      <c r="E122" s="172"/>
      <c r="F122" s="172"/>
      <c r="G122" s="172"/>
      <c r="H122" s="172"/>
      <c r="I122" s="172"/>
      <c r="J122" s="172"/>
      <c r="K122" s="172"/>
      <c r="L122" s="172"/>
      <c r="M122" s="172"/>
      <c r="N122" s="172"/>
      <c r="O122" s="172" t="s">
        <v>790</v>
      </c>
      <c r="P122" s="172" t="s">
        <v>791</v>
      </c>
      <c r="Q122" s="172"/>
      <c r="R122" s="172" t="s">
        <v>336</v>
      </c>
      <c r="S122" s="172" t="s">
        <v>622</v>
      </c>
      <c r="T122" s="172" t="s">
        <v>338</v>
      </c>
      <c r="U122" s="172"/>
      <c r="V122" s="172"/>
      <c r="W122" s="172" t="s">
        <v>792</v>
      </c>
      <c r="X122" s="172"/>
      <c r="Y122" s="172"/>
      <c r="Z122" s="172"/>
      <c r="AA122" s="172"/>
      <c r="AB122" s="172"/>
      <c r="AC122" s="172" t="s">
        <v>793</v>
      </c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</row>
    <row r="123">
      <c r="A123" s="201"/>
      <c r="B123" s="188"/>
      <c r="C123" s="172"/>
      <c r="D123" s="172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 t="s">
        <v>794</v>
      </c>
      <c r="P123" s="172" t="s">
        <v>795</v>
      </c>
      <c r="Q123" s="172"/>
      <c r="R123" s="172" t="s">
        <v>336</v>
      </c>
      <c r="S123" s="172" t="s">
        <v>622</v>
      </c>
      <c r="T123" s="172" t="s">
        <v>338</v>
      </c>
      <c r="U123" s="172"/>
      <c r="V123" s="172"/>
      <c r="W123" s="172" t="s">
        <v>796</v>
      </c>
      <c r="X123" s="172"/>
      <c r="Y123" s="172"/>
      <c r="Z123" s="172"/>
      <c r="AA123" s="172"/>
      <c r="AB123" s="172"/>
      <c r="AC123" s="172" t="s">
        <v>797</v>
      </c>
      <c r="AD123" s="172"/>
      <c r="AE123" s="172"/>
      <c r="AF123" s="172"/>
      <c r="AG123" s="172"/>
      <c r="AH123" s="172"/>
      <c r="AI123" s="172"/>
      <c r="AJ123" s="172"/>
      <c r="AK123" s="172"/>
      <c r="AL123" s="172"/>
      <c r="AM123" s="172"/>
    </row>
    <row r="124">
      <c r="A124" s="200"/>
      <c r="B124" s="188"/>
      <c r="C124" s="172"/>
      <c r="D124" s="172"/>
      <c r="E124" s="172"/>
      <c r="F124" s="172"/>
      <c r="G124" s="172"/>
      <c r="H124" s="172"/>
      <c r="I124" s="172"/>
      <c r="J124" s="172"/>
      <c r="K124" s="172"/>
      <c r="L124" s="172"/>
      <c r="M124" s="172"/>
      <c r="N124" s="172"/>
      <c r="O124" s="172" t="s">
        <v>553</v>
      </c>
      <c r="P124" s="172" t="s">
        <v>554</v>
      </c>
      <c r="Q124" s="172"/>
      <c r="R124" s="172" t="s">
        <v>336</v>
      </c>
      <c r="S124" s="172" t="s">
        <v>337</v>
      </c>
      <c r="T124" s="172"/>
      <c r="U124" s="172"/>
      <c r="V124" s="172" t="s">
        <v>338</v>
      </c>
      <c r="W124" s="172" t="s">
        <v>555</v>
      </c>
      <c r="X124" s="172" t="s">
        <v>556</v>
      </c>
      <c r="Y124" s="196">
        <v>2.2913601E7</v>
      </c>
      <c r="Z124" s="197">
        <v>26553.0</v>
      </c>
      <c r="AA124" s="172"/>
      <c r="AB124" s="172"/>
      <c r="AC124" s="172" t="s">
        <v>557</v>
      </c>
      <c r="AD124" s="172"/>
      <c r="AE124" s="172"/>
      <c r="AF124" s="172"/>
      <c r="AG124" s="172"/>
      <c r="AH124" s="172"/>
      <c r="AI124" s="172"/>
      <c r="AJ124" s="172"/>
      <c r="AK124" s="172"/>
      <c r="AL124" s="172"/>
      <c r="AM124" s="172"/>
    </row>
    <row r="125">
      <c r="A125" s="201"/>
      <c r="B125" s="188"/>
      <c r="C125" s="172"/>
      <c r="D125" s="172"/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 t="s">
        <v>798</v>
      </c>
      <c r="P125" s="172" t="s">
        <v>573</v>
      </c>
      <c r="Q125" s="172"/>
      <c r="R125" s="172" t="s">
        <v>336</v>
      </c>
      <c r="S125" s="172" t="s">
        <v>612</v>
      </c>
      <c r="T125" s="172"/>
      <c r="U125" s="172" t="s">
        <v>338</v>
      </c>
      <c r="V125" s="172"/>
      <c r="W125" s="172" t="s">
        <v>799</v>
      </c>
      <c r="X125" s="172"/>
      <c r="Y125" s="172"/>
      <c r="Z125" s="172"/>
      <c r="AA125" s="172"/>
      <c r="AB125" s="172"/>
      <c r="AC125" s="172" t="s">
        <v>800</v>
      </c>
      <c r="AD125" s="172"/>
      <c r="AE125" s="172"/>
      <c r="AF125" s="172"/>
      <c r="AG125" s="172"/>
      <c r="AH125" s="172"/>
      <c r="AI125" s="172"/>
      <c r="AJ125" s="172"/>
      <c r="AK125" s="172"/>
      <c r="AL125" s="172"/>
      <c r="AM125" s="172"/>
    </row>
    <row r="126">
      <c r="A126" s="200"/>
      <c r="B126" s="188"/>
      <c r="C126" s="172"/>
      <c r="D126" s="172"/>
      <c r="E126" s="172"/>
      <c r="F126" s="172"/>
      <c r="G126" s="172"/>
      <c r="H126" s="172"/>
      <c r="I126" s="172"/>
      <c r="J126" s="172"/>
      <c r="K126" s="172"/>
      <c r="L126" s="172"/>
      <c r="M126" s="172"/>
      <c r="N126" s="172"/>
      <c r="O126" s="172" t="s">
        <v>309</v>
      </c>
      <c r="P126" s="172" t="s">
        <v>558</v>
      </c>
      <c r="Q126" s="172"/>
      <c r="R126" s="172" t="s">
        <v>336</v>
      </c>
      <c r="S126" s="172" t="s">
        <v>337</v>
      </c>
      <c r="T126" s="172"/>
      <c r="U126" s="172"/>
      <c r="V126" s="172" t="s">
        <v>338</v>
      </c>
      <c r="W126" s="172" t="s">
        <v>559</v>
      </c>
      <c r="X126" s="172" t="s">
        <v>560</v>
      </c>
      <c r="Y126" s="196">
        <v>3.4924473E7</v>
      </c>
      <c r="Z126" s="197">
        <v>33101.0</v>
      </c>
      <c r="AA126" s="172"/>
      <c r="AB126" s="172"/>
      <c r="AC126" s="172" t="s">
        <v>561</v>
      </c>
      <c r="AD126" s="172"/>
      <c r="AE126" s="172"/>
      <c r="AF126" s="172"/>
      <c r="AG126" s="172"/>
      <c r="AH126" s="172"/>
      <c r="AI126" s="172"/>
      <c r="AJ126" s="172"/>
      <c r="AK126" s="172"/>
      <c r="AL126" s="172"/>
      <c r="AM126" s="172"/>
    </row>
    <row r="127">
      <c r="A127" s="201"/>
      <c r="B127" s="188"/>
      <c r="C127" s="172"/>
      <c r="D127" s="172"/>
      <c r="E127" s="172"/>
      <c r="F127" s="172"/>
      <c r="G127" s="172"/>
      <c r="H127" s="172"/>
      <c r="I127" s="172"/>
      <c r="J127" s="172"/>
      <c r="K127" s="172"/>
      <c r="L127" s="172"/>
      <c r="M127" s="172"/>
      <c r="N127" s="172"/>
      <c r="O127" s="172" t="s">
        <v>562</v>
      </c>
      <c r="P127" s="172" t="s">
        <v>563</v>
      </c>
      <c r="Q127" s="172"/>
      <c r="R127" s="172" t="s">
        <v>336</v>
      </c>
      <c r="S127" s="172" t="s">
        <v>337</v>
      </c>
      <c r="T127" s="172"/>
      <c r="U127" s="172"/>
      <c r="V127" s="172" t="s">
        <v>353</v>
      </c>
      <c r="W127" s="172" t="s">
        <v>564</v>
      </c>
      <c r="X127" s="172" t="s">
        <v>565</v>
      </c>
      <c r="Y127" s="196">
        <v>2.717909E7</v>
      </c>
      <c r="Z127" s="197">
        <v>28916.0</v>
      </c>
      <c r="AA127" s="172"/>
      <c r="AB127" s="172"/>
      <c r="AC127" s="172" t="s">
        <v>566</v>
      </c>
      <c r="AD127" s="172"/>
      <c r="AE127" s="172"/>
      <c r="AF127" s="172"/>
      <c r="AG127" s="172"/>
      <c r="AH127" s="172"/>
      <c r="AI127" s="172"/>
      <c r="AJ127" s="172"/>
      <c r="AK127" s="172"/>
      <c r="AL127" s="172"/>
      <c r="AM127" s="172"/>
    </row>
    <row r="128">
      <c r="A128" s="200"/>
      <c r="B128" s="188"/>
      <c r="C128" s="172"/>
      <c r="D128" s="172"/>
      <c r="E128" s="172"/>
      <c r="F128" s="172"/>
      <c r="G128" s="172"/>
      <c r="H128" s="172"/>
      <c r="I128" s="172"/>
      <c r="J128" s="172"/>
      <c r="K128" s="172"/>
      <c r="L128" s="172"/>
      <c r="M128" s="172"/>
      <c r="N128" s="172"/>
      <c r="O128" s="172" t="s">
        <v>801</v>
      </c>
      <c r="P128" s="172" t="s">
        <v>768</v>
      </c>
      <c r="Q128" s="172"/>
      <c r="R128" s="172" t="s">
        <v>336</v>
      </c>
      <c r="S128" s="172" t="s">
        <v>612</v>
      </c>
      <c r="T128" s="172"/>
      <c r="U128" s="172" t="s">
        <v>338</v>
      </c>
      <c r="V128" s="172"/>
      <c r="W128" s="172" t="s">
        <v>802</v>
      </c>
      <c r="X128" s="172"/>
      <c r="Y128" s="172"/>
      <c r="Z128" s="172"/>
      <c r="AA128" s="172"/>
      <c r="AB128" s="172"/>
      <c r="AC128" s="172" t="s">
        <v>803</v>
      </c>
      <c r="AD128" s="172"/>
      <c r="AE128" s="172"/>
      <c r="AF128" s="172"/>
      <c r="AG128" s="172"/>
      <c r="AH128" s="172"/>
      <c r="AI128" s="172"/>
      <c r="AJ128" s="172"/>
      <c r="AK128" s="172"/>
      <c r="AL128" s="172"/>
      <c r="AM128" s="172"/>
    </row>
    <row r="129">
      <c r="A129" s="201"/>
      <c r="B129" s="188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 t="s">
        <v>567</v>
      </c>
      <c r="P129" s="172" t="s">
        <v>568</v>
      </c>
      <c r="Q129" s="172"/>
      <c r="R129" s="172" t="s">
        <v>336</v>
      </c>
      <c r="S129" s="172" t="s">
        <v>337</v>
      </c>
      <c r="T129" s="172"/>
      <c r="U129" s="172"/>
      <c r="V129" s="172" t="s">
        <v>338</v>
      </c>
      <c r="W129" s="172" t="s">
        <v>569</v>
      </c>
      <c r="X129" s="172" t="s">
        <v>570</v>
      </c>
      <c r="Y129" s="196">
        <v>2.6201168E7</v>
      </c>
      <c r="Z129" s="197">
        <v>28436.0</v>
      </c>
      <c r="AA129" s="172"/>
      <c r="AB129" s="172"/>
      <c r="AC129" s="172" t="s">
        <v>571</v>
      </c>
      <c r="AD129" s="172"/>
      <c r="AE129" s="172"/>
      <c r="AF129" s="172"/>
      <c r="AG129" s="172"/>
      <c r="AH129" s="172"/>
      <c r="AI129" s="172"/>
      <c r="AJ129" s="172"/>
      <c r="AK129" s="172"/>
      <c r="AL129" s="172"/>
      <c r="AM129" s="172"/>
    </row>
    <row r="130">
      <c r="A130" s="200"/>
      <c r="B130" s="188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2"/>
      <c r="N130" s="172"/>
      <c r="O130" s="172" t="s">
        <v>804</v>
      </c>
      <c r="P130" s="172" t="s">
        <v>805</v>
      </c>
      <c r="Q130" s="172"/>
      <c r="R130" s="172" t="s">
        <v>336</v>
      </c>
      <c r="S130" s="172" t="s">
        <v>622</v>
      </c>
      <c r="T130" s="172" t="s">
        <v>338</v>
      </c>
      <c r="U130" s="172"/>
      <c r="V130" s="172"/>
      <c r="W130" s="172" t="s">
        <v>806</v>
      </c>
      <c r="X130" s="172" t="s">
        <v>807</v>
      </c>
      <c r="Y130" s="172"/>
      <c r="Z130" s="197">
        <v>27388.0</v>
      </c>
      <c r="AA130" s="172"/>
      <c r="AB130" s="172"/>
      <c r="AC130" s="172" t="s">
        <v>808</v>
      </c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72"/>
    </row>
    <row r="131">
      <c r="A131" s="201"/>
      <c r="B131" s="188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 t="s">
        <v>572</v>
      </c>
      <c r="P131" s="172" t="s">
        <v>573</v>
      </c>
      <c r="Q131" s="172"/>
      <c r="R131" s="172" t="s">
        <v>336</v>
      </c>
      <c r="S131" s="172" t="s">
        <v>337</v>
      </c>
      <c r="T131" s="172"/>
      <c r="U131" s="172"/>
      <c r="V131" s="172" t="s">
        <v>347</v>
      </c>
      <c r="W131" s="172" t="s">
        <v>574</v>
      </c>
      <c r="X131" s="172"/>
      <c r="Y131" s="172"/>
      <c r="Z131" s="172"/>
      <c r="AA131" s="172"/>
      <c r="AB131" s="172"/>
      <c r="AC131" s="172" t="s">
        <v>575</v>
      </c>
      <c r="AD131" s="172"/>
      <c r="AE131" s="172"/>
      <c r="AF131" s="172"/>
      <c r="AG131" s="172"/>
      <c r="AH131" s="172"/>
      <c r="AI131" s="172"/>
      <c r="AJ131" s="172"/>
      <c r="AK131" s="172"/>
      <c r="AL131" s="172"/>
      <c r="AM131" s="172"/>
    </row>
    <row r="132">
      <c r="A132" s="200"/>
      <c r="B132" s="188"/>
      <c r="C132" s="172"/>
      <c r="D132" s="172"/>
      <c r="E132" s="172"/>
      <c r="F132" s="172"/>
      <c r="G132" s="172"/>
      <c r="H132" s="172"/>
      <c r="I132" s="172"/>
      <c r="J132" s="172"/>
      <c r="K132" s="172"/>
      <c r="L132" s="172"/>
      <c r="M132" s="172"/>
      <c r="N132" s="172"/>
      <c r="O132" s="172" t="s">
        <v>576</v>
      </c>
      <c r="P132" s="172" t="s">
        <v>577</v>
      </c>
      <c r="Q132" s="172"/>
      <c r="R132" s="172" t="s">
        <v>336</v>
      </c>
      <c r="S132" s="172" t="s">
        <v>386</v>
      </c>
      <c r="T132" s="172"/>
      <c r="U132" s="172"/>
      <c r="V132" s="172" t="s">
        <v>338</v>
      </c>
      <c r="W132" s="172" t="s">
        <v>578</v>
      </c>
      <c r="X132" s="172" t="s">
        <v>579</v>
      </c>
      <c r="Y132" s="196">
        <v>3.0993693E7</v>
      </c>
      <c r="Z132" s="197">
        <v>31235.0</v>
      </c>
      <c r="AA132" s="172"/>
      <c r="AB132" s="172"/>
      <c r="AC132" s="172" t="s">
        <v>580</v>
      </c>
      <c r="AD132" s="172"/>
      <c r="AE132" s="172"/>
      <c r="AF132" s="172"/>
      <c r="AG132" s="172"/>
      <c r="AH132" s="172"/>
      <c r="AI132" s="172"/>
      <c r="AJ132" s="172"/>
      <c r="AK132" s="172"/>
      <c r="AL132" s="172"/>
      <c r="AM132" s="172"/>
    </row>
    <row r="133">
      <c r="A133" s="201"/>
      <c r="B133" s="188"/>
      <c r="C133" s="172"/>
      <c r="D133" s="172"/>
      <c r="E133" s="172"/>
      <c r="F133" s="172"/>
      <c r="G133" s="172"/>
      <c r="H133" s="172"/>
      <c r="I133" s="172"/>
      <c r="J133" s="172"/>
      <c r="K133" s="172"/>
      <c r="L133" s="172"/>
      <c r="M133" s="172"/>
      <c r="N133" s="172"/>
      <c r="O133" s="172" t="s">
        <v>809</v>
      </c>
      <c r="P133" s="172" t="s">
        <v>810</v>
      </c>
      <c r="Q133" s="172"/>
      <c r="R133" s="172" t="s">
        <v>336</v>
      </c>
      <c r="S133" s="172" t="s">
        <v>337</v>
      </c>
      <c r="T133" s="172"/>
      <c r="U133" s="172"/>
      <c r="V133" s="172" t="s">
        <v>746</v>
      </c>
      <c r="W133" s="172" t="s">
        <v>811</v>
      </c>
      <c r="X133" s="172" t="s">
        <v>812</v>
      </c>
      <c r="Y133" s="196">
        <v>2.1954339E7</v>
      </c>
      <c r="Z133" s="197">
        <v>25929.0</v>
      </c>
      <c r="AA133" s="172"/>
      <c r="AB133" s="172"/>
      <c r="AC133" s="172" t="s">
        <v>813</v>
      </c>
      <c r="AD133" s="172"/>
      <c r="AE133" s="172"/>
      <c r="AF133" s="172"/>
      <c r="AG133" s="172"/>
      <c r="AH133" s="172"/>
      <c r="AI133" s="172"/>
      <c r="AJ133" s="172"/>
      <c r="AK133" s="172"/>
      <c r="AL133" s="172"/>
      <c r="AM133" s="172"/>
    </row>
    <row r="134">
      <c r="A134" s="200"/>
      <c r="B134" s="188"/>
      <c r="C134" s="172"/>
      <c r="D134" s="172"/>
      <c r="E134" s="172"/>
      <c r="F134" s="172"/>
      <c r="G134" s="172"/>
      <c r="H134" s="172"/>
      <c r="I134" s="172"/>
      <c r="J134" s="172"/>
      <c r="K134" s="172"/>
      <c r="L134" s="172"/>
      <c r="M134" s="172"/>
      <c r="N134" s="172"/>
      <c r="O134" s="172" t="s">
        <v>814</v>
      </c>
      <c r="P134" s="172" t="s">
        <v>573</v>
      </c>
      <c r="Q134" s="172"/>
      <c r="R134" s="172" t="s">
        <v>336</v>
      </c>
      <c r="S134" s="172" t="s">
        <v>612</v>
      </c>
      <c r="T134" s="172"/>
      <c r="U134" s="172" t="s">
        <v>338</v>
      </c>
      <c r="V134" s="172"/>
      <c r="W134" s="172" t="s">
        <v>815</v>
      </c>
      <c r="X134" s="172"/>
      <c r="Y134" s="172"/>
      <c r="Z134" s="172"/>
      <c r="AA134" s="172"/>
      <c r="AB134" s="172"/>
      <c r="AC134" s="172" t="s">
        <v>816</v>
      </c>
      <c r="AD134" s="172"/>
      <c r="AE134" s="172"/>
      <c r="AF134" s="172"/>
      <c r="AG134" s="172"/>
      <c r="AH134" s="172"/>
      <c r="AI134" s="172"/>
      <c r="AJ134" s="172"/>
      <c r="AK134" s="172"/>
      <c r="AL134" s="172"/>
      <c r="AM134" s="172"/>
    </row>
    <row r="135">
      <c r="A135" s="201"/>
      <c r="B135" s="188"/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 t="s">
        <v>817</v>
      </c>
      <c r="P135" s="172" t="s">
        <v>818</v>
      </c>
      <c r="Q135" s="172"/>
      <c r="R135" s="172" t="s">
        <v>336</v>
      </c>
      <c r="S135" s="172" t="s">
        <v>640</v>
      </c>
      <c r="T135" s="172" t="s">
        <v>452</v>
      </c>
      <c r="U135" s="172" t="s">
        <v>452</v>
      </c>
      <c r="V135" s="172" t="s">
        <v>452</v>
      </c>
      <c r="W135" s="172" t="s">
        <v>819</v>
      </c>
      <c r="X135" s="172"/>
      <c r="Y135" s="172"/>
      <c r="Z135" s="172"/>
      <c r="AA135" s="172"/>
      <c r="AB135" s="172"/>
      <c r="AC135" s="172" t="s">
        <v>820</v>
      </c>
      <c r="AD135" s="172"/>
      <c r="AE135" s="172"/>
      <c r="AF135" s="172"/>
      <c r="AG135" s="172"/>
      <c r="AH135" s="172"/>
      <c r="AI135" s="172"/>
      <c r="AJ135" s="172"/>
      <c r="AK135" s="172"/>
      <c r="AL135" s="172"/>
      <c r="AM135" s="172"/>
    </row>
    <row r="136">
      <c r="A136" s="200"/>
      <c r="B136" s="188"/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 t="s">
        <v>821</v>
      </c>
      <c r="P136" s="172" t="s">
        <v>822</v>
      </c>
      <c r="Q136" s="172"/>
      <c r="R136" s="172" t="s">
        <v>336</v>
      </c>
      <c r="S136" s="172" t="s">
        <v>612</v>
      </c>
      <c r="T136" s="172"/>
      <c r="U136" s="172" t="s">
        <v>338</v>
      </c>
      <c r="V136" s="172"/>
      <c r="W136" s="172" t="s">
        <v>823</v>
      </c>
      <c r="X136" s="172" t="s">
        <v>824</v>
      </c>
      <c r="Y136" s="196">
        <v>4.1875299E7</v>
      </c>
      <c r="Z136" s="197">
        <v>36311.0</v>
      </c>
      <c r="AA136" s="172"/>
      <c r="AB136" s="172"/>
      <c r="AC136" s="172" t="s">
        <v>825</v>
      </c>
      <c r="AD136" s="172"/>
      <c r="AE136" s="172"/>
      <c r="AF136" s="172"/>
      <c r="AG136" s="172"/>
      <c r="AH136" s="172"/>
      <c r="AI136" s="172"/>
      <c r="AJ136" s="172"/>
      <c r="AK136" s="172"/>
      <c r="AL136" s="172"/>
      <c r="AM136" s="172"/>
    </row>
    <row r="137">
      <c r="A137" s="201"/>
      <c r="B137" s="188"/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 t="s">
        <v>581</v>
      </c>
      <c r="P137" s="172" t="s">
        <v>582</v>
      </c>
      <c r="Q137" s="172"/>
      <c r="R137" s="172" t="s">
        <v>336</v>
      </c>
      <c r="S137" s="172" t="s">
        <v>337</v>
      </c>
      <c r="T137" s="172"/>
      <c r="U137" s="172"/>
      <c r="V137" s="172" t="s">
        <v>338</v>
      </c>
      <c r="W137" s="172" t="s">
        <v>583</v>
      </c>
      <c r="X137" s="172" t="s">
        <v>584</v>
      </c>
      <c r="Y137" s="196">
        <v>2.6939768E7</v>
      </c>
      <c r="Z137" s="197">
        <v>28818.0</v>
      </c>
      <c r="AA137" s="172"/>
      <c r="AB137" s="172"/>
      <c r="AC137" s="172" t="s">
        <v>585</v>
      </c>
      <c r="AD137" s="172"/>
      <c r="AE137" s="172"/>
      <c r="AF137" s="172"/>
      <c r="AG137" s="172"/>
      <c r="AH137" s="172"/>
      <c r="AI137" s="172"/>
      <c r="AJ137" s="172"/>
      <c r="AK137" s="172"/>
      <c r="AL137" s="172"/>
      <c r="AM137" s="172"/>
    </row>
    <row r="138">
      <c r="A138" s="200"/>
      <c r="B138" s="188"/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 t="s">
        <v>586</v>
      </c>
      <c r="P138" s="172" t="s">
        <v>587</v>
      </c>
      <c r="Q138" s="172"/>
      <c r="R138" s="172" t="s">
        <v>336</v>
      </c>
      <c r="S138" s="172" t="s">
        <v>386</v>
      </c>
      <c r="T138" s="172"/>
      <c r="U138" s="172"/>
      <c r="V138" s="172"/>
      <c r="W138" s="172" t="s">
        <v>588</v>
      </c>
      <c r="X138" s="172"/>
      <c r="Y138" s="172"/>
      <c r="Z138" s="172"/>
      <c r="AA138" s="172"/>
      <c r="AB138" s="172"/>
      <c r="AC138" s="172" t="s">
        <v>589</v>
      </c>
      <c r="AD138" s="172"/>
      <c r="AE138" s="172"/>
      <c r="AF138" s="172"/>
      <c r="AG138" s="172"/>
      <c r="AH138" s="172"/>
      <c r="AI138" s="172"/>
      <c r="AJ138" s="172"/>
      <c r="AK138" s="172"/>
      <c r="AL138" s="172"/>
      <c r="AM138" s="172"/>
    </row>
    <row r="139">
      <c r="A139" s="201"/>
      <c r="B139" s="188"/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 t="s">
        <v>826</v>
      </c>
      <c r="P139" s="172" t="s">
        <v>827</v>
      </c>
      <c r="Q139" s="172"/>
      <c r="R139" s="172" t="s">
        <v>336</v>
      </c>
      <c r="S139" s="172" t="s">
        <v>640</v>
      </c>
      <c r="T139" s="172" t="s">
        <v>746</v>
      </c>
      <c r="U139" s="172" t="s">
        <v>746</v>
      </c>
      <c r="V139" s="172" t="s">
        <v>746</v>
      </c>
      <c r="W139" s="172" t="s">
        <v>828</v>
      </c>
      <c r="X139" s="172"/>
      <c r="Y139" s="172"/>
      <c r="Z139" s="172"/>
      <c r="AA139" s="172"/>
      <c r="AB139" s="172"/>
      <c r="AC139" s="172" t="s">
        <v>829</v>
      </c>
      <c r="AD139" s="172"/>
      <c r="AE139" s="172"/>
      <c r="AF139" s="172"/>
      <c r="AG139" s="172"/>
      <c r="AH139" s="172"/>
      <c r="AI139" s="172"/>
      <c r="AJ139" s="172"/>
      <c r="AK139" s="172"/>
      <c r="AL139" s="172"/>
      <c r="AM139" s="172"/>
    </row>
    <row r="140">
      <c r="A140" s="200"/>
      <c r="B140" s="188"/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 t="s">
        <v>830</v>
      </c>
      <c r="P140" s="172" t="s">
        <v>558</v>
      </c>
      <c r="Q140" s="172"/>
      <c r="R140" s="172" t="s">
        <v>336</v>
      </c>
      <c r="S140" s="172" t="s">
        <v>612</v>
      </c>
      <c r="T140" s="172"/>
      <c r="U140" s="172" t="s">
        <v>338</v>
      </c>
      <c r="V140" s="172"/>
      <c r="W140" s="172" t="s">
        <v>831</v>
      </c>
      <c r="X140" s="172" t="s">
        <v>832</v>
      </c>
      <c r="Y140" s="196">
        <v>4.2595374E7</v>
      </c>
      <c r="Z140" s="197">
        <v>36873.0</v>
      </c>
      <c r="AA140" s="172"/>
      <c r="AB140" s="172"/>
      <c r="AC140" s="172" t="s">
        <v>833</v>
      </c>
      <c r="AD140" s="172"/>
      <c r="AE140" s="172"/>
      <c r="AF140" s="172"/>
      <c r="AG140" s="172"/>
      <c r="AH140" s="172"/>
      <c r="AI140" s="172"/>
      <c r="AJ140" s="172"/>
      <c r="AK140" s="172"/>
      <c r="AL140" s="172"/>
      <c r="AM140" s="172"/>
    </row>
    <row r="141">
      <c r="A141" s="201"/>
      <c r="B141" s="188"/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 t="s">
        <v>590</v>
      </c>
      <c r="P141" s="172" t="s">
        <v>591</v>
      </c>
      <c r="Q141" s="172"/>
      <c r="R141" s="172" t="s">
        <v>336</v>
      </c>
      <c r="S141" s="172" t="s">
        <v>386</v>
      </c>
      <c r="T141" s="172"/>
      <c r="U141" s="172" t="s">
        <v>353</v>
      </c>
      <c r="V141" s="172" t="s">
        <v>347</v>
      </c>
      <c r="W141" s="172" t="s">
        <v>592</v>
      </c>
      <c r="X141" s="172"/>
      <c r="Y141" s="172"/>
      <c r="Z141" s="172"/>
      <c r="AA141" s="172"/>
      <c r="AB141" s="172"/>
      <c r="AC141" s="172" t="s">
        <v>593</v>
      </c>
      <c r="AD141" s="172"/>
      <c r="AE141" s="172"/>
      <c r="AF141" s="172"/>
      <c r="AG141" s="172"/>
      <c r="AH141" s="172"/>
      <c r="AI141" s="172"/>
      <c r="AJ141" s="172"/>
      <c r="AK141" s="172"/>
      <c r="AL141" s="172"/>
      <c r="AM141" s="172"/>
    </row>
    <row r="142">
      <c r="A142" s="200"/>
      <c r="B142" s="188"/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 t="s">
        <v>834</v>
      </c>
      <c r="P142" s="172" t="s">
        <v>835</v>
      </c>
      <c r="Q142" s="172"/>
      <c r="R142" s="172" t="s">
        <v>336</v>
      </c>
      <c r="S142" s="172" t="s">
        <v>612</v>
      </c>
      <c r="T142" s="172"/>
      <c r="U142" s="172" t="s">
        <v>338</v>
      </c>
      <c r="V142" s="172"/>
      <c r="W142" s="172" t="s">
        <v>836</v>
      </c>
      <c r="X142" s="172" t="s">
        <v>837</v>
      </c>
      <c r="Y142" s="196">
        <v>3.4162471E7</v>
      </c>
      <c r="Z142" s="197">
        <v>32436.0</v>
      </c>
      <c r="AA142" s="172"/>
      <c r="AB142" s="172"/>
      <c r="AC142" s="172" t="s">
        <v>838</v>
      </c>
      <c r="AD142" s="172"/>
      <c r="AE142" s="172"/>
      <c r="AF142" s="172"/>
      <c r="AG142" s="172"/>
      <c r="AH142" s="172"/>
      <c r="AI142" s="172"/>
      <c r="AJ142" s="172"/>
      <c r="AK142" s="172"/>
      <c r="AL142" s="172"/>
      <c r="AM142" s="172"/>
    </row>
    <row r="143">
      <c r="A143" s="201"/>
      <c r="B143" s="188"/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 t="s">
        <v>315</v>
      </c>
      <c r="P143" s="172" t="s">
        <v>491</v>
      </c>
      <c r="Q143" s="172"/>
      <c r="R143" s="172" t="s">
        <v>336</v>
      </c>
      <c r="S143" s="172" t="s">
        <v>337</v>
      </c>
      <c r="T143" s="172"/>
      <c r="U143" s="172"/>
      <c r="V143" s="172" t="s">
        <v>338</v>
      </c>
      <c r="W143" s="172" t="s">
        <v>594</v>
      </c>
      <c r="X143" s="172"/>
      <c r="Y143" s="172"/>
      <c r="Z143" s="172"/>
      <c r="AA143" s="172"/>
      <c r="AB143" s="172"/>
      <c r="AC143" s="172" t="s">
        <v>595</v>
      </c>
      <c r="AD143" s="172"/>
      <c r="AE143" s="172"/>
      <c r="AF143" s="172"/>
      <c r="AG143" s="172"/>
      <c r="AH143" s="172"/>
      <c r="AI143" s="172"/>
      <c r="AJ143" s="172"/>
      <c r="AK143" s="172"/>
      <c r="AL143" s="172"/>
      <c r="AM143" s="172"/>
    </row>
    <row r="144">
      <c r="A144" s="200"/>
      <c r="B144" s="188"/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 t="s">
        <v>839</v>
      </c>
      <c r="P144" s="172" t="s">
        <v>840</v>
      </c>
      <c r="Q144" s="172"/>
      <c r="R144" s="172" t="s">
        <v>336</v>
      </c>
      <c r="S144" s="172" t="s">
        <v>736</v>
      </c>
      <c r="T144" s="172" t="s">
        <v>338</v>
      </c>
      <c r="U144" s="172" t="s">
        <v>338</v>
      </c>
      <c r="V144" s="172"/>
      <c r="W144" s="172" t="s">
        <v>841</v>
      </c>
      <c r="X144" s="172" t="s">
        <v>841</v>
      </c>
      <c r="Y144" s="196">
        <v>2.0892413E7</v>
      </c>
      <c r="Z144" s="197">
        <v>25344.0</v>
      </c>
      <c r="AA144" s="172"/>
      <c r="AB144" s="172"/>
      <c r="AC144" s="172" t="s">
        <v>842</v>
      </c>
      <c r="AD144" s="172"/>
      <c r="AE144" s="172"/>
      <c r="AF144" s="172"/>
      <c r="AG144" s="172"/>
      <c r="AH144" s="172"/>
      <c r="AI144" s="172"/>
      <c r="AJ144" s="172"/>
      <c r="AK144" s="172"/>
      <c r="AL144" s="172"/>
      <c r="AM144" s="172"/>
    </row>
    <row r="145">
      <c r="A145" s="201"/>
      <c r="B145" s="188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 t="s">
        <v>843</v>
      </c>
      <c r="P145" s="172" t="s">
        <v>844</v>
      </c>
      <c r="Q145" s="172"/>
      <c r="R145" s="172" t="s">
        <v>336</v>
      </c>
      <c r="S145" s="172" t="s">
        <v>622</v>
      </c>
      <c r="T145" s="172" t="s">
        <v>338</v>
      </c>
      <c r="U145" s="172"/>
      <c r="V145" s="172"/>
      <c r="W145" s="172" t="s">
        <v>845</v>
      </c>
      <c r="X145" s="172" t="s">
        <v>846</v>
      </c>
      <c r="Y145" s="196">
        <v>2.7308597E7</v>
      </c>
      <c r="Z145" s="197">
        <v>28978.0</v>
      </c>
      <c r="AA145" s="172"/>
      <c r="AB145" s="172"/>
      <c r="AC145" s="172" t="s">
        <v>847</v>
      </c>
      <c r="AD145" s="172"/>
      <c r="AE145" s="172"/>
      <c r="AF145" s="172"/>
      <c r="AG145" s="172"/>
      <c r="AH145" s="172"/>
      <c r="AI145" s="172"/>
      <c r="AJ145" s="172"/>
      <c r="AK145" s="172"/>
      <c r="AL145" s="172"/>
      <c r="AM145" s="172"/>
    </row>
    <row r="146">
      <c r="A146" s="200"/>
      <c r="B146" s="188"/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 t="s">
        <v>848</v>
      </c>
      <c r="P146" s="172" t="s">
        <v>849</v>
      </c>
      <c r="Q146" s="172"/>
      <c r="R146" s="172" t="s">
        <v>336</v>
      </c>
      <c r="S146" s="172" t="s">
        <v>612</v>
      </c>
      <c r="T146" s="172"/>
      <c r="U146" s="172" t="s">
        <v>353</v>
      </c>
      <c r="V146" s="172"/>
      <c r="W146" s="172" t="s">
        <v>850</v>
      </c>
      <c r="X146" s="172" t="s">
        <v>851</v>
      </c>
      <c r="Y146" s="196">
        <v>2.442238E7</v>
      </c>
      <c r="Z146" s="197">
        <v>27481.0</v>
      </c>
      <c r="AA146" s="172"/>
      <c r="AB146" s="172"/>
      <c r="AC146" s="172" t="s">
        <v>852</v>
      </c>
      <c r="AD146" s="172"/>
      <c r="AE146" s="172"/>
      <c r="AF146" s="172"/>
      <c r="AG146" s="172"/>
      <c r="AH146" s="172"/>
      <c r="AI146" s="172"/>
      <c r="AJ146" s="172"/>
      <c r="AK146" s="172"/>
      <c r="AL146" s="172"/>
      <c r="AM146" s="172"/>
    </row>
    <row r="147">
      <c r="A147" s="201"/>
      <c r="B147" s="188"/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 t="s">
        <v>317</v>
      </c>
      <c r="P147" s="172" t="s">
        <v>596</v>
      </c>
      <c r="Q147" s="172"/>
      <c r="R147" s="172" t="s">
        <v>336</v>
      </c>
      <c r="S147" s="172" t="s">
        <v>337</v>
      </c>
      <c r="T147" s="172"/>
      <c r="U147" s="172"/>
      <c r="V147" s="172" t="s">
        <v>347</v>
      </c>
      <c r="W147" s="172" t="s">
        <v>597</v>
      </c>
      <c r="X147" s="172" t="s">
        <v>598</v>
      </c>
      <c r="Y147" s="196">
        <v>3.8701826E7</v>
      </c>
      <c r="Z147" s="197">
        <v>34761.0</v>
      </c>
      <c r="AA147" s="172"/>
      <c r="AB147" s="172"/>
      <c r="AC147" s="172" t="s">
        <v>599</v>
      </c>
      <c r="AD147" s="172"/>
      <c r="AE147" s="172"/>
      <c r="AF147" s="172"/>
      <c r="AG147" s="172"/>
      <c r="AH147" s="172"/>
      <c r="AI147" s="172"/>
      <c r="AJ147" s="172"/>
      <c r="AK147" s="172"/>
      <c r="AL147" s="172"/>
      <c r="AM147" s="172"/>
    </row>
    <row r="148">
      <c r="A148" s="200"/>
      <c r="B148" s="188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 t="s">
        <v>320</v>
      </c>
      <c r="P148" s="172" t="s">
        <v>600</v>
      </c>
      <c r="Q148" s="172"/>
      <c r="R148" s="172" t="s">
        <v>336</v>
      </c>
      <c r="S148" s="172" t="s">
        <v>337</v>
      </c>
      <c r="T148" s="172"/>
      <c r="U148" s="172"/>
      <c r="V148" s="172" t="s">
        <v>338</v>
      </c>
      <c r="W148" s="172" t="s">
        <v>601</v>
      </c>
      <c r="X148" s="172"/>
      <c r="Y148" s="172"/>
      <c r="Z148" s="172"/>
      <c r="AA148" s="172"/>
      <c r="AB148" s="172"/>
      <c r="AC148" s="172" t="s">
        <v>319</v>
      </c>
      <c r="AD148" s="172"/>
      <c r="AE148" s="172"/>
      <c r="AF148" s="172"/>
      <c r="AG148" s="172"/>
      <c r="AH148" s="172"/>
      <c r="AI148" s="172"/>
      <c r="AJ148" s="172"/>
      <c r="AK148" s="172"/>
      <c r="AL148" s="172"/>
      <c r="AM148" s="172"/>
    </row>
    <row r="149">
      <c r="A149" s="201"/>
      <c r="B149" s="188"/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 t="s">
        <v>853</v>
      </c>
      <c r="P149" s="172" t="s">
        <v>854</v>
      </c>
      <c r="Q149" s="172"/>
      <c r="R149" s="172" t="s">
        <v>336</v>
      </c>
      <c r="S149" s="172" t="s">
        <v>640</v>
      </c>
      <c r="T149" s="172"/>
      <c r="U149" s="172"/>
      <c r="V149" s="172"/>
      <c r="W149" s="172" t="s">
        <v>855</v>
      </c>
      <c r="X149" s="172" t="s">
        <v>856</v>
      </c>
      <c r="Y149" s="196">
        <v>2.8032512E7</v>
      </c>
      <c r="Z149" s="197">
        <v>29289.0</v>
      </c>
      <c r="AA149" s="172"/>
      <c r="AB149" s="172"/>
      <c r="AC149" s="172" t="s">
        <v>857</v>
      </c>
      <c r="AD149" s="172"/>
      <c r="AE149" s="172"/>
      <c r="AF149" s="172"/>
      <c r="AG149" s="172"/>
      <c r="AH149" s="172"/>
      <c r="AI149" s="172"/>
      <c r="AJ149" s="172"/>
      <c r="AK149" s="172"/>
      <c r="AL149" s="172"/>
      <c r="AM149" s="172"/>
    </row>
    <row r="150">
      <c r="A150" s="200"/>
      <c r="B150" s="188"/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 t="s">
        <v>602</v>
      </c>
      <c r="P150" s="172" t="s">
        <v>603</v>
      </c>
      <c r="Q150" s="172"/>
      <c r="R150" s="172" t="s">
        <v>336</v>
      </c>
      <c r="S150" s="172" t="s">
        <v>337</v>
      </c>
      <c r="T150" s="172"/>
      <c r="U150" s="172"/>
      <c r="V150" s="172" t="s">
        <v>338</v>
      </c>
      <c r="W150" s="172" t="s">
        <v>604</v>
      </c>
      <c r="X150" s="172"/>
      <c r="Y150" s="172"/>
      <c r="Z150" s="172"/>
      <c r="AA150" s="172"/>
      <c r="AB150" s="172"/>
      <c r="AC150" s="172" t="s">
        <v>605</v>
      </c>
      <c r="AD150" s="172"/>
      <c r="AE150" s="172"/>
      <c r="AF150" s="172"/>
      <c r="AG150" s="172"/>
      <c r="AH150" s="172"/>
      <c r="AI150" s="172"/>
      <c r="AJ150" s="172"/>
      <c r="AK150" s="172"/>
      <c r="AL150" s="172"/>
      <c r="AM150" s="172"/>
    </row>
    <row r="151">
      <c r="A151" s="201"/>
      <c r="B151" s="188"/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 t="s">
        <v>858</v>
      </c>
      <c r="P151" s="172" t="s">
        <v>603</v>
      </c>
      <c r="Q151" s="172"/>
      <c r="R151" s="172" t="s">
        <v>336</v>
      </c>
      <c r="S151" s="172" t="s">
        <v>640</v>
      </c>
      <c r="T151" s="172" t="s">
        <v>347</v>
      </c>
      <c r="U151" s="172" t="s">
        <v>347</v>
      </c>
      <c r="V151" s="172" t="s">
        <v>347</v>
      </c>
      <c r="W151" s="172" t="s">
        <v>859</v>
      </c>
      <c r="X151" s="172"/>
      <c r="Y151" s="172"/>
      <c r="Z151" s="172"/>
      <c r="AA151" s="172"/>
      <c r="AB151" s="172"/>
      <c r="AC151" s="172" t="s">
        <v>860</v>
      </c>
      <c r="AD151" s="172"/>
      <c r="AE151" s="172"/>
      <c r="AF151" s="172"/>
      <c r="AG151" s="172"/>
      <c r="AH151" s="172"/>
      <c r="AI151" s="172"/>
      <c r="AJ151" s="172"/>
      <c r="AK151" s="172"/>
      <c r="AL151" s="172"/>
      <c r="AM151" s="172"/>
    </row>
    <row r="152">
      <c r="A152" s="200"/>
      <c r="B152" s="188"/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 t="s">
        <v>861</v>
      </c>
      <c r="P152" s="172" t="s">
        <v>862</v>
      </c>
      <c r="Q152" s="172"/>
      <c r="R152" s="172" t="s">
        <v>336</v>
      </c>
      <c r="S152" s="172" t="s">
        <v>640</v>
      </c>
      <c r="T152" s="172" t="s">
        <v>347</v>
      </c>
      <c r="U152" s="172" t="s">
        <v>347</v>
      </c>
      <c r="V152" s="172" t="s">
        <v>347</v>
      </c>
      <c r="W152" s="172" t="s">
        <v>863</v>
      </c>
      <c r="X152" s="172" t="s">
        <v>864</v>
      </c>
      <c r="Y152" s="196">
        <v>2.1843057E7</v>
      </c>
      <c r="Z152" s="197">
        <v>25866.0</v>
      </c>
      <c r="AA152" s="172"/>
      <c r="AB152" s="172"/>
      <c r="AC152" s="172" t="s">
        <v>865</v>
      </c>
      <c r="AD152" s="172"/>
      <c r="AE152" s="172"/>
      <c r="AF152" s="172"/>
      <c r="AG152" s="172"/>
      <c r="AH152" s="172"/>
      <c r="AI152" s="172"/>
      <c r="AJ152" s="172"/>
      <c r="AK152" s="172"/>
      <c r="AL152" s="172"/>
      <c r="AM152" s="172"/>
    </row>
    <row r="153">
      <c r="A153" s="201"/>
      <c r="B153" s="188"/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 t="s">
        <v>866</v>
      </c>
      <c r="P153" s="172" t="s">
        <v>867</v>
      </c>
      <c r="Q153" s="172"/>
      <c r="R153" s="172" t="s">
        <v>336</v>
      </c>
      <c r="S153" s="172" t="s">
        <v>612</v>
      </c>
      <c r="T153" s="172"/>
      <c r="U153" s="172" t="s">
        <v>338</v>
      </c>
      <c r="V153" s="172"/>
      <c r="W153" s="172" t="s">
        <v>868</v>
      </c>
      <c r="X153" s="172"/>
      <c r="Y153" s="172"/>
      <c r="Z153" s="172"/>
      <c r="AA153" s="172"/>
      <c r="AB153" s="172"/>
      <c r="AC153" s="172" t="s">
        <v>869</v>
      </c>
      <c r="AD153" s="172"/>
      <c r="AE153" s="172"/>
      <c r="AF153" s="172"/>
      <c r="AG153" s="172"/>
      <c r="AH153" s="172"/>
      <c r="AI153" s="172"/>
      <c r="AJ153" s="172"/>
      <c r="AK153" s="172"/>
      <c r="AL153" s="172"/>
      <c r="AM153" s="172"/>
    </row>
    <row r="154">
      <c r="A154" s="200"/>
      <c r="B154" s="188"/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 t="s">
        <v>870</v>
      </c>
      <c r="P154" s="172" t="s">
        <v>871</v>
      </c>
      <c r="Q154" s="172"/>
      <c r="R154" s="172" t="s">
        <v>336</v>
      </c>
      <c r="S154" s="172" t="s">
        <v>612</v>
      </c>
      <c r="T154" s="172"/>
      <c r="U154" s="172" t="s">
        <v>338</v>
      </c>
      <c r="V154" s="172"/>
      <c r="W154" s="172" t="s">
        <v>872</v>
      </c>
      <c r="X154" s="172" t="s">
        <v>873</v>
      </c>
      <c r="Y154" s="196">
        <v>1.676478E7</v>
      </c>
      <c r="Z154" s="197">
        <v>23422.0</v>
      </c>
      <c r="AA154" s="172"/>
      <c r="AB154" s="172"/>
      <c r="AC154" s="172" t="s">
        <v>874</v>
      </c>
      <c r="AD154" s="172"/>
      <c r="AE154" s="172"/>
      <c r="AF154" s="172"/>
      <c r="AG154" s="172"/>
      <c r="AH154" s="172"/>
      <c r="AI154" s="172"/>
      <c r="AJ154" s="172"/>
      <c r="AK154" s="172"/>
      <c r="AL154" s="172"/>
      <c r="AM154" s="172"/>
    </row>
    <row r="155">
      <c r="A155" s="201"/>
      <c r="B155" s="188"/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 t="s">
        <v>606</v>
      </c>
      <c r="P155" s="172" t="s">
        <v>607</v>
      </c>
      <c r="Q155" s="172"/>
      <c r="R155" s="172" t="s">
        <v>336</v>
      </c>
      <c r="S155" s="172" t="s">
        <v>337</v>
      </c>
      <c r="T155" s="172"/>
      <c r="U155" s="172"/>
      <c r="V155" s="172" t="s">
        <v>353</v>
      </c>
      <c r="W155" s="172" t="s">
        <v>608</v>
      </c>
      <c r="X155" s="172" t="s">
        <v>609</v>
      </c>
      <c r="Y155" s="196">
        <v>3.8992837E7</v>
      </c>
      <c r="Z155" s="197">
        <v>34954.0</v>
      </c>
      <c r="AA155" s="172"/>
      <c r="AB155" s="172"/>
      <c r="AC155" s="172" t="s">
        <v>610</v>
      </c>
      <c r="AD155" s="172"/>
      <c r="AE155" s="172"/>
      <c r="AF155" s="172"/>
      <c r="AG155" s="172"/>
      <c r="AH155" s="172"/>
      <c r="AI155" s="172"/>
      <c r="AJ155" s="172"/>
      <c r="AK155" s="172"/>
      <c r="AL155" s="172"/>
      <c r="AM155" s="172"/>
    </row>
    <row r="156">
      <c r="A156" s="200"/>
      <c r="B156" s="188"/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 t="s">
        <v>875</v>
      </c>
      <c r="P156" s="172" t="s">
        <v>381</v>
      </c>
      <c r="Q156" s="172"/>
      <c r="R156" s="172" t="s">
        <v>336</v>
      </c>
      <c r="S156" s="172" t="s">
        <v>612</v>
      </c>
      <c r="T156" s="172"/>
      <c r="U156" s="172" t="s">
        <v>347</v>
      </c>
      <c r="V156" s="172"/>
      <c r="W156" s="172" t="s">
        <v>876</v>
      </c>
      <c r="X156" s="172"/>
      <c r="Y156" s="172"/>
      <c r="Z156" s="172"/>
      <c r="AA156" s="172"/>
      <c r="AB156" s="172"/>
      <c r="AC156" s="172" t="s">
        <v>877</v>
      </c>
      <c r="AD156" s="172"/>
      <c r="AE156" s="172"/>
      <c r="AF156" s="172"/>
      <c r="AG156" s="172"/>
      <c r="AH156" s="172"/>
      <c r="AI156" s="172"/>
      <c r="AJ156" s="172"/>
      <c r="AK156" s="172"/>
      <c r="AL156" s="172"/>
      <c r="AM156" s="172"/>
    </row>
    <row r="157">
      <c r="A157" s="201"/>
      <c r="B157" s="188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  <c r="AA157" s="172"/>
      <c r="AB157" s="172"/>
      <c r="AC157" s="172" t="s">
        <v>878</v>
      </c>
      <c r="AD157" s="172"/>
      <c r="AE157" s="172"/>
      <c r="AF157" s="172"/>
      <c r="AG157" s="172"/>
      <c r="AH157" s="172"/>
      <c r="AI157" s="172"/>
      <c r="AJ157" s="172"/>
      <c r="AK157" s="172"/>
      <c r="AL157" s="172"/>
      <c r="AM157" s="172"/>
    </row>
    <row r="158">
      <c r="A158" s="200"/>
      <c r="B158" s="188"/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  <c r="AA158" s="172"/>
      <c r="AB158" s="172"/>
      <c r="AC158" s="172" t="s">
        <v>878</v>
      </c>
      <c r="AD158" s="172"/>
      <c r="AE158" s="172"/>
      <c r="AF158" s="172"/>
      <c r="AG158" s="172"/>
      <c r="AH158" s="172"/>
      <c r="AI158" s="172"/>
      <c r="AJ158" s="172"/>
      <c r="AK158" s="172"/>
      <c r="AL158" s="172"/>
      <c r="AM158" s="172"/>
    </row>
    <row r="159">
      <c r="A159" s="201"/>
      <c r="B159" s="188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  <c r="AA159" s="172"/>
      <c r="AB159" s="172"/>
      <c r="AC159" s="172" t="s">
        <v>878</v>
      </c>
      <c r="AD159" s="172"/>
      <c r="AE159" s="172"/>
      <c r="AF159" s="172"/>
      <c r="AG159" s="172"/>
      <c r="AH159" s="172"/>
      <c r="AI159" s="172"/>
      <c r="AJ159" s="172"/>
      <c r="AK159" s="172"/>
      <c r="AL159" s="172"/>
      <c r="AM159" s="172"/>
    </row>
    <row r="160">
      <c r="A160" s="200"/>
      <c r="B160" s="188"/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  <c r="AA160" s="172"/>
      <c r="AB160" s="172"/>
      <c r="AC160" s="172" t="s">
        <v>878</v>
      </c>
      <c r="AD160" s="172"/>
      <c r="AE160" s="172"/>
      <c r="AF160" s="172"/>
      <c r="AG160" s="172"/>
      <c r="AH160" s="172"/>
      <c r="AI160" s="172"/>
      <c r="AJ160" s="172"/>
      <c r="AK160" s="172"/>
      <c r="AL160" s="172"/>
      <c r="AM160" s="172"/>
    </row>
    <row r="161">
      <c r="A161" s="201"/>
      <c r="B161" s="188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  <c r="AA161" s="172"/>
      <c r="AB161" s="172"/>
      <c r="AC161" s="172" t="s">
        <v>878</v>
      </c>
      <c r="AD161" s="172"/>
      <c r="AE161" s="172"/>
      <c r="AF161" s="172"/>
      <c r="AG161" s="172"/>
      <c r="AH161" s="172"/>
      <c r="AI161" s="172"/>
      <c r="AJ161" s="172"/>
      <c r="AK161" s="172"/>
      <c r="AL161" s="172"/>
      <c r="AM161" s="172"/>
    </row>
    <row r="162">
      <c r="A162" s="200"/>
      <c r="B162" s="188"/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  <c r="AA162" s="172"/>
      <c r="AB162" s="172"/>
      <c r="AC162" s="172" t="s">
        <v>878</v>
      </c>
      <c r="AD162" s="172"/>
      <c r="AE162" s="172"/>
      <c r="AF162" s="172"/>
      <c r="AG162" s="172"/>
      <c r="AH162" s="172"/>
      <c r="AI162" s="172"/>
      <c r="AJ162" s="172"/>
      <c r="AK162" s="172"/>
      <c r="AL162" s="172"/>
      <c r="AM162" s="172"/>
    </row>
    <row r="163">
      <c r="A163" s="201"/>
      <c r="B163" s="188"/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 t="s">
        <v>878</v>
      </c>
      <c r="AD163" s="172"/>
      <c r="AE163" s="172"/>
      <c r="AF163" s="172"/>
      <c r="AG163" s="172"/>
      <c r="AH163" s="172"/>
      <c r="AI163" s="172"/>
      <c r="AJ163" s="172"/>
      <c r="AK163" s="172"/>
      <c r="AL163" s="172"/>
      <c r="AM163" s="172"/>
    </row>
    <row r="164">
      <c r="A164" s="200"/>
      <c r="B164" s="188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 t="s">
        <v>878</v>
      </c>
      <c r="AD164" s="172"/>
      <c r="AE164" s="172"/>
      <c r="AF164" s="172"/>
      <c r="AG164" s="172"/>
      <c r="AH164" s="172"/>
      <c r="AI164" s="172"/>
      <c r="AJ164" s="172"/>
      <c r="AK164" s="172"/>
      <c r="AL164" s="172"/>
      <c r="AM164" s="172"/>
    </row>
    <row r="165">
      <c r="A165" s="201"/>
      <c r="B165" s="188"/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 t="s">
        <v>878</v>
      </c>
      <c r="AD165" s="172"/>
      <c r="AE165" s="172"/>
      <c r="AF165" s="172"/>
      <c r="AG165" s="172"/>
      <c r="AH165" s="172"/>
      <c r="AI165" s="172"/>
      <c r="AJ165" s="172"/>
      <c r="AK165" s="172"/>
      <c r="AL165" s="172"/>
      <c r="AM165" s="172"/>
    </row>
    <row r="166">
      <c r="A166" s="200"/>
      <c r="B166" s="188"/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  <c r="AA166" s="172"/>
      <c r="AB166" s="172"/>
      <c r="AC166" s="172" t="s">
        <v>878</v>
      </c>
      <c r="AD166" s="172"/>
      <c r="AE166" s="172"/>
      <c r="AF166" s="172"/>
      <c r="AG166" s="172"/>
      <c r="AH166" s="172"/>
      <c r="AI166" s="172"/>
      <c r="AJ166" s="172"/>
      <c r="AK166" s="172"/>
      <c r="AL166" s="172"/>
      <c r="AM166" s="172"/>
    </row>
    <row r="167">
      <c r="A167" s="201"/>
      <c r="B167" s="188"/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  <c r="AA167" s="172"/>
      <c r="AB167" s="172"/>
      <c r="AC167" s="172" t="s">
        <v>878</v>
      </c>
      <c r="AD167" s="172"/>
      <c r="AE167" s="172"/>
      <c r="AF167" s="172"/>
      <c r="AG167" s="172"/>
      <c r="AH167" s="172"/>
      <c r="AI167" s="172"/>
      <c r="AJ167" s="172"/>
      <c r="AK167" s="172"/>
      <c r="AL167" s="172"/>
      <c r="AM167" s="172"/>
    </row>
    <row r="168">
      <c r="A168" s="200"/>
      <c r="B168" s="188"/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  <c r="AA168" s="172"/>
      <c r="AB168" s="172"/>
      <c r="AC168" s="172" t="s">
        <v>878</v>
      </c>
      <c r="AD168" s="172"/>
      <c r="AE168" s="172"/>
      <c r="AF168" s="172"/>
      <c r="AG168" s="172"/>
      <c r="AH168" s="172"/>
      <c r="AI168" s="172"/>
      <c r="AJ168" s="172"/>
      <c r="AK168" s="172"/>
      <c r="AL168" s="172"/>
      <c r="AM168" s="172"/>
    </row>
    <row r="169">
      <c r="A169" s="201"/>
      <c r="B169" s="188"/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  <c r="AA169" s="172"/>
      <c r="AB169" s="172"/>
      <c r="AC169" s="172" t="s">
        <v>878</v>
      </c>
      <c r="AD169" s="172"/>
      <c r="AE169" s="172"/>
      <c r="AF169" s="172"/>
      <c r="AG169" s="172"/>
      <c r="AH169" s="172"/>
      <c r="AI169" s="172"/>
      <c r="AJ169" s="172"/>
      <c r="AK169" s="172"/>
      <c r="AL169" s="172"/>
      <c r="AM169" s="172"/>
    </row>
    <row r="170">
      <c r="A170" s="200"/>
      <c r="B170" s="188"/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 t="s">
        <v>878</v>
      </c>
      <c r="AD170" s="172"/>
      <c r="AE170" s="172"/>
      <c r="AF170" s="172"/>
      <c r="AG170" s="172"/>
      <c r="AH170" s="172"/>
      <c r="AI170" s="172"/>
      <c r="AJ170" s="172"/>
      <c r="AK170" s="172"/>
      <c r="AL170" s="172"/>
      <c r="AM170" s="172"/>
    </row>
    <row r="171">
      <c r="A171" s="201"/>
      <c r="B171" s="188"/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  <c r="AA171" s="172"/>
      <c r="AB171" s="172"/>
      <c r="AC171" s="172" t="s">
        <v>878</v>
      </c>
      <c r="AD171" s="172"/>
      <c r="AE171" s="172"/>
      <c r="AF171" s="172"/>
      <c r="AG171" s="172"/>
      <c r="AH171" s="172"/>
      <c r="AI171" s="172"/>
      <c r="AJ171" s="172"/>
      <c r="AK171" s="172"/>
      <c r="AL171" s="172"/>
      <c r="AM171" s="172"/>
    </row>
    <row r="172">
      <c r="A172" s="200"/>
      <c r="B172" s="188"/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 t="s">
        <v>878</v>
      </c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</row>
    <row r="173">
      <c r="A173" s="201"/>
      <c r="B173" s="188"/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  <c r="AA173" s="172"/>
      <c r="AB173" s="172"/>
      <c r="AC173" s="172" t="s">
        <v>878</v>
      </c>
      <c r="AD173" s="172"/>
      <c r="AE173" s="172"/>
      <c r="AF173" s="172"/>
      <c r="AG173" s="172"/>
      <c r="AH173" s="172"/>
      <c r="AI173" s="172"/>
      <c r="AJ173" s="172"/>
      <c r="AK173" s="172"/>
      <c r="AL173" s="172"/>
      <c r="AM173" s="172"/>
    </row>
    <row r="174">
      <c r="A174" s="200"/>
      <c r="B174" s="188"/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  <c r="AA174" s="172"/>
      <c r="AB174" s="172"/>
      <c r="AC174" s="172" t="s">
        <v>878</v>
      </c>
      <c r="AD174" s="172"/>
      <c r="AE174" s="172"/>
      <c r="AF174" s="172"/>
      <c r="AG174" s="172"/>
      <c r="AH174" s="172"/>
      <c r="AI174" s="172"/>
      <c r="AJ174" s="172"/>
      <c r="AK174" s="172"/>
      <c r="AL174" s="172"/>
      <c r="AM174" s="172"/>
    </row>
    <row r="175">
      <c r="A175" s="201"/>
      <c r="B175" s="188"/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  <c r="AA175" s="172"/>
      <c r="AB175" s="172"/>
      <c r="AC175" s="172" t="s">
        <v>878</v>
      </c>
      <c r="AD175" s="172"/>
      <c r="AE175" s="172"/>
      <c r="AF175" s="172"/>
      <c r="AG175" s="172"/>
      <c r="AH175" s="172"/>
      <c r="AI175" s="172"/>
      <c r="AJ175" s="172"/>
      <c r="AK175" s="172"/>
      <c r="AL175" s="172"/>
      <c r="AM175" s="172"/>
    </row>
    <row r="176">
      <c r="A176" s="200"/>
      <c r="B176" s="188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2"/>
      <c r="AC176" s="172" t="s">
        <v>878</v>
      </c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</row>
    <row r="177">
      <c r="A177" s="201"/>
      <c r="B177" s="188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 t="s">
        <v>878</v>
      </c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</row>
    <row r="178">
      <c r="A178" s="200"/>
      <c r="B178" s="188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2"/>
      <c r="AC178" s="172" t="s">
        <v>878</v>
      </c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</row>
    <row r="179">
      <c r="A179" s="201"/>
      <c r="B179" s="188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2"/>
      <c r="AC179" s="172" t="s">
        <v>878</v>
      </c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</row>
    <row r="180">
      <c r="A180" s="200"/>
      <c r="B180" s="188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2"/>
      <c r="AC180" s="172" t="s">
        <v>878</v>
      </c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</row>
    <row r="181">
      <c r="A181" s="201"/>
      <c r="B181" s="188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2"/>
      <c r="AC181" s="172" t="s">
        <v>878</v>
      </c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</row>
    <row r="182">
      <c r="A182" s="200"/>
      <c r="B182" s="188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2"/>
      <c r="AC182" s="172" t="s">
        <v>878</v>
      </c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</row>
    <row r="183">
      <c r="A183" s="201"/>
      <c r="B183" s="188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 t="s">
        <v>878</v>
      </c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</row>
    <row r="184">
      <c r="A184" s="200"/>
      <c r="B184" s="188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2"/>
      <c r="AC184" s="172" t="s">
        <v>878</v>
      </c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</row>
    <row r="185">
      <c r="A185" s="201"/>
      <c r="B185" s="188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2"/>
      <c r="AC185" s="172" t="s">
        <v>878</v>
      </c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</row>
    <row r="186">
      <c r="A186" s="200"/>
      <c r="B186" s="188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2"/>
      <c r="AC186" s="172" t="s">
        <v>878</v>
      </c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</row>
    <row r="187">
      <c r="A187" s="201"/>
      <c r="B187" s="188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2"/>
      <c r="AC187" s="172" t="s">
        <v>878</v>
      </c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</row>
    <row r="188">
      <c r="A188" s="200"/>
      <c r="B188" s="188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2"/>
      <c r="AC188" s="172" t="s">
        <v>878</v>
      </c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</row>
    <row r="189">
      <c r="A189" s="201"/>
      <c r="B189" s="188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2"/>
      <c r="AC189" s="172" t="s">
        <v>878</v>
      </c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</row>
    <row r="190">
      <c r="A190" s="200"/>
      <c r="B190" s="188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2"/>
      <c r="AC190" s="172" t="s">
        <v>878</v>
      </c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</row>
    <row r="191">
      <c r="A191" s="201"/>
      <c r="B191" s="188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 t="s">
        <v>878</v>
      </c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</row>
    <row r="192">
      <c r="A192" s="200"/>
      <c r="B192" s="188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2"/>
      <c r="AC192" s="172" t="s">
        <v>878</v>
      </c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</row>
    <row r="193">
      <c r="A193" s="201"/>
      <c r="B193" s="188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2"/>
      <c r="AC193" s="172" t="s">
        <v>878</v>
      </c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</row>
    <row r="194">
      <c r="A194" s="200"/>
      <c r="B194" s="188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2"/>
      <c r="AC194" s="172" t="s">
        <v>878</v>
      </c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</row>
    <row r="195">
      <c r="A195" s="201"/>
      <c r="B195" s="188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2"/>
      <c r="AC195" s="172" t="s">
        <v>878</v>
      </c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</row>
    <row r="196">
      <c r="A196" s="200"/>
      <c r="B196" s="188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2"/>
      <c r="AC196" s="172" t="s">
        <v>878</v>
      </c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</row>
    <row r="197">
      <c r="A197" s="201"/>
      <c r="B197" s="188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2"/>
      <c r="AC197" s="172" t="s">
        <v>878</v>
      </c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</row>
    <row r="198">
      <c r="A198" s="200"/>
      <c r="B198" s="188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2"/>
      <c r="AC198" s="172" t="s">
        <v>878</v>
      </c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</row>
    <row r="199">
      <c r="A199" s="201"/>
      <c r="B199" s="188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2"/>
      <c r="AC199" s="172" t="s">
        <v>878</v>
      </c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</row>
    <row r="200">
      <c r="A200" s="200"/>
      <c r="B200" s="188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2"/>
      <c r="AC200" s="172" t="s">
        <v>878</v>
      </c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</row>
    <row r="201">
      <c r="A201" s="201"/>
      <c r="B201" s="188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2"/>
      <c r="AC201" s="172" t="s">
        <v>878</v>
      </c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</row>
    <row r="202">
      <c r="A202" s="200"/>
      <c r="B202" s="188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2"/>
      <c r="AC202" s="172" t="s">
        <v>878</v>
      </c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</row>
    <row r="203">
      <c r="A203" s="201"/>
      <c r="B203" s="188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2"/>
      <c r="AC203" s="172" t="s">
        <v>878</v>
      </c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</row>
    <row r="204">
      <c r="A204" s="200"/>
      <c r="B204" s="188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2"/>
      <c r="AC204" s="172" t="s">
        <v>878</v>
      </c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</row>
    <row r="205">
      <c r="A205" s="201"/>
      <c r="B205" s="188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2"/>
      <c r="AC205" s="172" t="s">
        <v>878</v>
      </c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</row>
    <row r="206">
      <c r="A206" s="200"/>
      <c r="B206" s="188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2"/>
      <c r="AC206" s="172" t="s">
        <v>878</v>
      </c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</row>
    <row r="207">
      <c r="A207" s="201"/>
      <c r="B207" s="188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2"/>
      <c r="AC207" s="172" t="s">
        <v>878</v>
      </c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</row>
    <row r="208">
      <c r="A208" s="200"/>
      <c r="B208" s="188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2"/>
      <c r="AC208" s="172" t="s">
        <v>878</v>
      </c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</row>
    <row r="209">
      <c r="A209" s="201"/>
      <c r="B209" s="188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2"/>
      <c r="AC209" s="172" t="s">
        <v>878</v>
      </c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</row>
    <row r="210">
      <c r="A210" s="200"/>
      <c r="B210" s="188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2"/>
      <c r="AC210" s="172" t="s">
        <v>878</v>
      </c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</row>
    <row r="211">
      <c r="A211" s="201"/>
      <c r="B211" s="188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2"/>
      <c r="AC211" s="172" t="s">
        <v>878</v>
      </c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</row>
    <row r="212">
      <c r="A212" s="200"/>
      <c r="B212" s="188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2"/>
      <c r="AC212" s="172" t="s">
        <v>878</v>
      </c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</row>
    <row r="213">
      <c r="A213" s="201"/>
      <c r="B213" s="188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2"/>
      <c r="AC213" s="172" t="s">
        <v>878</v>
      </c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</row>
    <row r="214">
      <c r="A214" s="200"/>
      <c r="B214" s="188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2"/>
      <c r="AC214" s="172" t="s">
        <v>878</v>
      </c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</row>
    <row r="215">
      <c r="A215" s="201"/>
      <c r="B215" s="188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2"/>
      <c r="AC215" s="172" t="s">
        <v>878</v>
      </c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</row>
    <row r="216">
      <c r="A216" s="200"/>
      <c r="B216" s="188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2"/>
      <c r="AC216" s="172" t="s">
        <v>878</v>
      </c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</row>
    <row r="217">
      <c r="A217" s="201"/>
      <c r="B217" s="188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 t="s">
        <v>878</v>
      </c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</row>
    <row r="218">
      <c r="A218" s="200"/>
      <c r="B218" s="188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2"/>
      <c r="AC218" s="172" t="s">
        <v>878</v>
      </c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</row>
    <row r="219">
      <c r="A219" s="201"/>
      <c r="B219" s="188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2"/>
      <c r="AC219" s="172" t="s">
        <v>878</v>
      </c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</row>
    <row r="220">
      <c r="A220" s="200"/>
      <c r="B220" s="188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2"/>
      <c r="AC220" s="172" t="s">
        <v>878</v>
      </c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</row>
    <row r="221">
      <c r="A221" s="201"/>
      <c r="B221" s="188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2"/>
      <c r="AC221" s="172" t="s">
        <v>878</v>
      </c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</row>
    <row r="222">
      <c r="A222" s="200"/>
      <c r="B222" s="188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 t="s">
        <v>878</v>
      </c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</row>
    <row r="223">
      <c r="A223" s="201"/>
      <c r="B223" s="188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2"/>
      <c r="AC223" s="172" t="s">
        <v>878</v>
      </c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</row>
    <row r="224">
      <c r="A224" s="200"/>
      <c r="B224" s="188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2"/>
      <c r="AC224" s="172" t="s">
        <v>878</v>
      </c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</row>
    <row r="225">
      <c r="A225" s="201"/>
      <c r="B225" s="188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2"/>
      <c r="AC225" s="172" t="s">
        <v>878</v>
      </c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</row>
    <row r="226">
      <c r="A226" s="200"/>
      <c r="B226" s="188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2"/>
      <c r="AC226" s="172" t="s">
        <v>878</v>
      </c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</row>
    <row r="227">
      <c r="A227" s="201"/>
      <c r="B227" s="188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2"/>
      <c r="AC227" s="172" t="s">
        <v>878</v>
      </c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</row>
    <row r="228">
      <c r="A228" s="200"/>
      <c r="B228" s="188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2"/>
      <c r="AC228" s="172" t="s">
        <v>878</v>
      </c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</row>
    <row r="229">
      <c r="A229" s="201"/>
      <c r="B229" s="188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2"/>
      <c r="AC229" s="172" t="s">
        <v>878</v>
      </c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</row>
    <row r="230">
      <c r="A230" s="200"/>
      <c r="B230" s="188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2"/>
      <c r="AC230" s="172" t="s">
        <v>878</v>
      </c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</row>
    <row r="231">
      <c r="A231" s="201"/>
      <c r="B231" s="188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2"/>
      <c r="AC231" s="172" t="s">
        <v>878</v>
      </c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</row>
    <row r="232">
      <c r="A232" s="200"/>
      <c r="B232" s="188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2"/>
      <c r="AC232" s="172" t="s">
        <v>878</v>
      </c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</row>
    <row r="233">
      <c r="A233" s="201"/>
      <c r="B233" s="188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2"/>
      <c r="AC233" s="172" t="s">
        <v>878</v>
      </c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</row>
    <row r="234">
      <c r="A234" s="200"/>
      <c r="B234" s="188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2"/>
      <c r="AC234" s="172" t="s">
        <v>878</v>
      </c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</row>
    <row r="235">
      <c r="A235" s="201"/>
      <c r="B235" s="188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2"/>
      <c r="AC235" s="172" t="s">
        <v>878</v>
      </c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</row>
    <row r="236">
      <c r="A236" s="200"/>
      <c r="B236" s="188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2"/>
      <c r="AC236" s="172" t="s">
        <v>878</v>
      </c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</row>
    <row r="237">
      <c r="A237" s="201"/>
      <c r="B237" s="188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2"/>
      <c r="AC237" s="172" t="s">
        <v>878</v>
      </c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</row>
    <row r="238">
      <c r="A238" s="200"/>
      <c r="B238" s="188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2"/>
      <c r="AC238" s="172" t="s">
        <v>878</v>
      </c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</row>
    <row r="239">
      <c r="A239" s="201"/>
      <c r="B239" s="188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2"/>
      <c r="AC239" s="172" t="s">
        <v>878</v>
      </c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</row>
    <row r="240">
      <c r="A240" s="200"/>
      <c r="B240" s="188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2"/>
      <c r="AC240" s="172" t="s">
        <v>878</v>
      </c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</row>
    <row r="241">
      <c r="A241" s="201"/>
      <c r="B241" s="188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2"/>
      <c r="AC241" s="172" t="s">
        <v>878</v>
      </c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</row>
    <row r="242">
      <c r="A242" s="200"/>
      <c r="B242" s="188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2"/>
      <c r="AC242" s="172" t="s">
        <v>878</v>
      </c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</row>
    <row r="243">
      <c r="A243" s="201"/>
      <c r="B243" s="188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2"/>
      <c r="AC243" s="172" t="s">
        <v>878</v>
      </c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</row>
    <row r="244">
      <c r="A244" s="200"/>
      <c r="B244" s="188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2"/>
      <c r="AC244" s="172" t="s">
        <v>878</v>
      </c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</row>
    <row r="245">
      <c r="A245" s="201"/>
      <c r="B245" s="188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2"/>
      <c r="AC245" s="172" t="s">
        <v>878</v>
      </c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</row>
    <row r="246">
      <c r="A246" s="200"/>
      <c r="B246" s="188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2"/>
      <c r="AC246" s="172" t="s">
        <v>878</v>
      </c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</row>
    <row r="247">
      <c r="A247" s="201"/>
      <c r="B247" s="188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2"/>
      <c r="AC247" s="172" t="s">
        <v>878</v>
      </c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</row>
    <row r="248">
      <c r="A248" s="200"/>
      <c r="B248" s="188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2"/>
      <c r="AC248" s="172" t="s">
        <v>878</v>
      </c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</row>
    <row r="249">
      <c r="A249" s="201"/>
      <c r="B249" s="188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2"/>
      <c r="AC249" s="172" t="s">
        <v>878</v>
      </c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</row>
    <row r="250">
      <c r="A250" s="200"/>
      <c r="B250" s="188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2"/>
      <c r="AC250" s="172" t="s">
        <v>878</v>
      </c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</row>
    <row r="251">
      <c r="A251" s="201"/>
      <c r="B251" s="188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2"/>
      <c r="AC251" s="172" t="s">
        <v>878</v>
      </c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</row>
    <row r="252">
      <c r="A252" s="200"/>
      <c r="B252" s="188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2"/>
      <c r="AC252" s="172" t="s">
        <v>878</v>
      </c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</row>
    <row r="253">
      <c r="A253" s="201"/>
      <c r="B253" s="188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2"/>
      <c r="AC253" s="172" t="s">
        <v>878</v>
      </c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</row>
    <row r="254">
      <c r="A254" s="200"/>
      <c r="B254" s="188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2"/>
      <c r="AC254" s="172" t="s">
        <v>878</v>
      </c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</row>
    <row r="255">
      <c r="A255" s="201"/>
      <c r="B255" s="188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2"/>
      <c r="AC255" s="172" t="s">
        <v>878</v>
      </c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</row>
    <row r="256">
      <c r="A256" s="200"/>
      <c r="B256" s="188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2"/>
      <c r="AC256" s="172" t="s">
        <v>878</v>
      </c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</row>
    <row r="257">
      <c r="A257" s="201"/>
      <c r="B257" s="188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2"/>
      <c r="AC257" s="172" t="s">
        <v>878</v>
      </c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</row>
    <row r="258">
      <c r="A258" s="200"/>
      <c r="B258" s="188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2"/>
      <c r="AC258" s="172" t="s">
        <v>878</v>
      </c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</row>
    <row r="259">
      <c r="A259" s="201"/>
      <c r="B259" s="188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2"/>
      <c r="AC259" s="172" t="s">
        <v>878</v>
      </c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</row>
    <row r="260">
      <c r="A260" s="200"/>
      <c r="B260" s="188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2"/>
      <c r="AC260" s="172" t="s">
        <v>878</v>
      </c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</row>
    <row r="261">
      <c r="A261" s="201"/>
      <c r="B261" s="188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2"/>
      <c r="AC261" s="172" t="s">
        <v>878</v>
      </c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</row>
    <row r="262">
      <c r="A262" s="200"/>
      <c r="B262" s="188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2"/>
      <c r="AC262" s="172" t="s">
        <v>878</v>
      </c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</row>
    <row r="263">
      <c r="A263" s="201"/>
      <c r="B263" s="188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2"/>
      <c r="AC263" s="172" t="s">
        <v>878</v>
      </c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</row>
    <row r="264">
      <c r="A264" s="200"/>
      <c r="B264" s="188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2"/>
      <c r="AC264" s="172" t="s">
        <v>878</v>
      </c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</row>
    <row r="265">
      <c r="A265" s="201"/>
      <c r="B265" s="188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2"/>
      <c r="AC265" s="172" t="s">
        <v>878</v>
      </c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</row>
    <row r="266">
      <c r="A266" s="200"/>
      <c r="B266" s="188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2"/>
      <c r="AC266" s="172" t="s">
        <v>878</v>
      </c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</row>
    <row r="267">
      <c r="A267" s="201"/>
      <c r="B267" s="188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2"/>
      <c r="AC267" s="172" t="s">
        <v>878</v>
      </c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</row>
    <row r="268">
      <c r="A268" s="200"/>
      <c r="B268" s="188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2"/>
      <c r="AC268" s="172" t="s">
        <v>878</v>
      </c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</row>
    <row r="269">
      <c r="A269" s="201"/>
      <c r="B269" s="188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2"/>
      <c r="AC269" s="172" t="s">
        <v>878</v>
      </c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</row>
    <row r="270">
      <c r="A270" s="200"/>
      <c r="B270" s="188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2"/>
      <c r="AC270" s="172" t="s">
        <v>878</v>
      </c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</row>
    <row r="271">
      <c r="A271" s="201"/>
      <c r="B271" s="188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2"/>
      <c r="AC271" s="172" t="s">
        <v>878</v>
      </c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</row>
    <row r="272">
      <c r="A272" s="200"/>
      <c r="B272" s="188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2"/>
      <c r="AC272" s="172" t="s">
        <v>878</v>
      </c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</row>
    <row r="273">
      <c r="A273" s="201"/>
      <c r="B273" s="188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2"/>
      <c r="AC273" s="172" t="s">
        <v>878</v>
      </c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</row>
    <row r="274">
      <c r="A274" s="200"/>
      <c r="B274" s="188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2"/>
      <c r="AC274" s="172" t="s">
        <v>878</v>
      </c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</row>
    <row r="275">
      <c r="A275" s="201"/>
      <c r="B275" s="188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2"/>
      <c r="AC275" s="172" t="s">
        <v>878</v>
      </c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</row>
    <row r="276">
      <c r="A276" s="200"/>
      <c r="B276" s="188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2"/>
      <c r="AC276" s="172" t="s">
        <v>878</v>
      </c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</row>
    <row r="277">
      <c r="A277" s="201"/>
      <c r="B277" s="188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2"/>
      <c r="AC277" s="172" t="s">
        <v>878</v>
      </c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</row>
    <row r="278">
      <c r="A278" s="200"/>
      <c r="B278" s="188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2"/>
      <c r="AC278" s="172" t="s">
        <v>878</v>
      </c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</row>
    <row r="279">
      <c r="A279" s="201"/>
      <c r="B279" s="188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2"/>
      <c r="AC279" s="172" t="s">
        <v>878</v>
      </c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</row>
    <row r="280">
      <c r="A280" s="200"/>
      <c r="B280" s="188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2"/>
      <c r="AC280" s="172" t="s">
        <v>878</v>
      </c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</row>
    <row r="281">
      <c r="A281" s="201"/>
      <c r="B281" s="188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2"/>
      <c r="AC281" s="172" t="s">
        <v>878</v>
      </c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</row>
    <row r="282">
      <c r="A282" s="200"/>
      <c r="B282" s="188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2"/>
      <c r="AC282" s="172" t="s">
        <v>878</v>
      </c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</row>
    <row r="283">
      <c r="A283" s="201"/>
      <c r="B283" s="188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2"/>
      <c r="AC283" s="172" t="s">
        <v>878</v>
      </c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</row>
    <row r="284">
      <c r="A284" s="200"/>
      <c r="B284" s="188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2"/>
      <c r="AC284" s="172" t="s">
        <v>878</v>
      </c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</row>
    <row r="285">
      <c r="A285" s="201"/>
      <c r="B285" s="188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2"/>
      <c r="AC285" s="172" t="s">
        <v>878</v>
      </c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</row>
    <row r="286">
      <c r="A286" s="200"/>
      <c r="B286" s="188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2"/>
      <c r="AC286" s="172" t="s">
        <v>878</v>
      </c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</row>
    <row r="287">
      <c r="A287" s="201"/>
      <c r="B287" s="188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2"/>
      <c r="AC287" s="172" t="s">
        <v>878</v>
      </c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</row>
    <row r="288">
      <c r="A288" s="200"/>
      <c r="B288" s="188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2"/>
      <c r="AC288" s="172" t="s">
        <v>878</v>
      </c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</row>
    <row r="289">
      <c r="A289" s="201"/>
      <c r="B289" s="188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2"/>
      <c r="AC289" s="172" t="s">
        <v>878</v>
      </c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</row>
    <row r="290">
      <c r="A290" s="200"/>
      <c r="B290" s="188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2"/>
      <c r="AC290" s="172" t="s">
        <v>878</v>
      </c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</row>
    <row r="291">
      <c r="A291" s="201"/>
      <c r="B291" s="188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2"/>
      <c r="AC291" s="172" t="s">
        <v>878</v>
      </c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</row>
    <row r="292">
      <c r="A292" s="200"/>
      <c r="B292" s="188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2"/>
      <c r="AC292" s="172" t="s">
        <v>878</v>
      </c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</row>
    <row r="293">
      <c r="A293" s="201"/>
      <c r="B293" s="188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2"/>
      <c r="AC293" s="172" t="s">
        <v>878</v>
      </c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</row>
    <row r="294">
      <c r="A294" s="200"/>
      <c r="B294" s="188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2"/>
      <c r="AC294" s="172" t="s">
        <v>878</v>
      </c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</row>
    <row r="295">
      <c r="A295" s="201"/>
      <c r="B295" s="188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2"/>
      <c r="AC295" s="172" t="s">
        <v>878</v>
      </c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</row>
    <row r="296">
      <c r="A296" s="200"/>
      <c r="B296" s="188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2"/>
      <c r="AC296" s="172" t="s">
        <v>878</v>
      </c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</row>
    <row r="297">
      <c r="A297" s="201"/>
      <c r="B297" s="188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2"/>
      <c r="AC297" s="172" t="s">
        <v>878</v>
      </c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</row>
    <row r="298">
      <c r="A298" s="200"/>
      <c r="B298" s="188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 t="s">
        <v>878</v>
      </c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</row>
    <row r="299">
      <c r="A299" s="201"/>
      <c r="B299" s="188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2"/>
      <c r="AC299" s="172" t="s">
        <v>878</v>
      </c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</row>
    <row r="300">
      <c r="A300" s="200"/>
      <c r="B300" s="188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2"/>
      <c r="AC300" s="172" t="s">
        <v>878</v>
      </c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</row>
    <row r="301">
      <c r="A301" s="201"/>
      <c r="B301" s="188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2"/>
      <c r="AC301" s="172" t="s">
        <v>878</v>
      </c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</row>
    <row r="302">
      <c r="A302" s="200"/>
      <c r="B302" s="188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2"/>
      <c r="AC302" s="172" t="s">
        <v>878</v>
      </c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</row>
    <row r="303">
      <c r="A303" s="201"/>
      <c r="B303" s="188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2"/>
      <c r="AC303" s="172" t="s">
        <v>878</v>
      </c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</row>
    <row r="304">
      <c r="A304" s="200"/>
      <c r="B304" s="188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2"/>
      <c r="AC304" s="172" t="s">
        <v>878</v>
      </c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</row>
    <row r="305">
      <c r="A305" s="201"/>
      <c r="B305" s="188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2"/>
      <c r="AC305" s="172" t="s">
        <v>878</v>
      </c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</row>
    <row r="306">
      <c r="A306" s="200"/>
      <c r="B306" s="188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2"/>
      <c r="AC306" s="172" t="s">
        <v>878</v>
      </c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</row>
    <row r="307">
      <c r="A307" s="201"/>
      <c r="B307" s="188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2"/>
      <c r="AC307" s="172" t="s">
        <v>878</v>
      </c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</row>
    <row r="308">
      <c r="A308" s="200"/>
      <c r="B308" s="188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2"/>
      <c r="AC308" s="172" t="s">
        <v>878</v>
      </c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</row>
    <row r="309">
      <c r="A309" s="201"/>
      <c r="B309" s="188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2"/>
      <c r="AC309" s="172" t="s">
        <v>878</v>
      </c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</row>
    <row r="310">
      <c r="A310" s="200"/>
      <c r="B310" s="188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2"/>
      <c r="AC310" s="172" t="s">
        <v>878</v>
      </c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</row>
    <row r="311">
      <c r="A311" s="201"/>
      <c r="B311" s="188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2"/>
      <c r="AC311" s="172" t="s">
        <v>878</v>
      </c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</row>
    <row r="312">
      <c r="A312" s="200"/>
      <c r="B312" s="188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 t="s">
        <v>878</v>
      </c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</row>
    <row r="313">
      <c r="A313" s="201"/>
      <c r="B313" s="188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 t="s">
        <v>878</v>
      </c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</row>
    <row r="314">
      <c r="A314" s="200"/>
      <c r="B314" s="188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2"/>
      <c r="AC314" s="172" t="s">
        <v>878</v>
      </c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</row>
    <row r="315">
      <c r="A315" s="201"/>
      <c r="B315" s="188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2"/>
      <c r="AC315" s="172" t="s">
        <v>878</v>
      </c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</row>
    <row r="316">
      <c r="A316" s="200"/>
      <c r="B316" s="188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2"/>
      <c r="AC316" s="172" t="s">
        <v>878</v>
      </c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</row>
    <row r="317">
      <c r="A317" s="201"/>
      <c r="B317" s="188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2"/>
      <c r="AC317" s="172" t="s">
        <v>878</v>
      </c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</row>
    <row r="318">
      <c r="A318" s="200"/>
      <c r="B318" s="188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2"/>
      <c r="AC318" s="172" t="s">
        <v>878</v>
      </c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</row>
    <row r="319">
      <c r="A319" s="201"/>
      <c r="B319" s="188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2"/>
      <c r="AC319" s="172" t="s">
        <v>878</v>
      </c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</row>
    <row r="320">
      <c r="A320" s="200"/>
      <c r="B320" s="188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2"/>
      <c r="AC320" s="172" t="s">
        <v>878</v>
      </c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</row>
    <row r="321">
      <c r="A321" s="201"/>
      <c r="B321" s="188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2"/>
      <c r="AC321" s="172" t="s">
        <v>878</v>
      </c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</row>
    <row r="322">
      <c r="A322" s="200"/>
      <c r="B322" s="188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2"/>
      <c r="AC322" s="172" t="s">
        <v>878</v>
      </c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</row>
    <row r="323">
      <c r="A323" s="201"/>
      <c r="B323" s="188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2"/>
      <c r="AC323" s="172" t="s">
        <v>878</v>
      </c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</row>
    <row r="324">
      <c r="A324" s="200"/>
      <c r="B324" s="188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2"/>
      <c r="AC324" s="172" t="s">
        <v>878</v>
      </c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</row>
    <row r="325">
      <c r="A325" s="201"/>
      <c r="B325" s="188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2"/>
      <c r="AC325" s="172" t="s">
        <v>878</v>
      </c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</row>
    <row r="326">
      <c r="A326" s="200"/>
      <c r="B326" s="188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2"/>
      <c r="AC326" s="172" t="s">
        <v>878</v>
      </c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</row>
    <row r="327">
      <c r="A327" s="201"/>
      <c r="B327" s="188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2"/>
      <c r="AC327" s="172" t="s">
        <v>878</v>
      </c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</row>
    <row r="328">
      <c r="A328" s="200"/>
      <c r="B328" s="188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2"/>
      <c r="AC328" s="172" t="s">
        <v>878</v>
      </c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</row>
    <row r="329">
      <c r="A329" s="201"/>
      <c r="B329" s="188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2"/>
      <c r="AC329" s="172" t="s">
        <v>878</v>
      </c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</row>
    <row r="330">
      <c r="A330" s="200"/>
      <c r="B330" s="188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2"/>
      <c r="AC330" s="172" t="s">
        <v>878</v>
      </c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</row>
    <row r="331">
      <c r="A331" s="201"/>
      <c r="B331" s="188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2"/>
      <c r="AC331" s="172" t="s">
        <v>878</v>
      </c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</row>
    <row r="332">
      <c r="A332" s="200"/>
      <c r="B332" s="188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2"/>
      <c r="AC332" s="172" t="s">
        <v>878</v>
      </c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</row>
    <row r="333">
      <c r="A333" s="201"/>
      <c r="B333" s="188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2"/>
      <c r="AC333" s="172" t="s">
        <v>878</v>
      </c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</row>
    <row r="334">
      <c r="A334" s="200"/>
      <c r="B334" s="188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2"/>
      <c r="AC334" s="172" t="s">
        <v>878</v>
      </c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</row>
    <row r="335">
      <c r="A335" s="201"/>
      <c r="B335" s="188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2"/>
      <c r="AC335" s="172" t="s">
        <v>878</v>
      </c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</row>
    <row r="336">
      <c r="A336" s="200"/>
      <c r="B336" s="188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2"/>
      <c r="AC336" s="172" t="s">
        <v>878</v>
      </c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</row>
    <row r="337">
      <c r="A337" s="201"/>
      <c r="B337" s="188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2"/>
      <c r="AC337" s="172" t="s">
        <v>878</v>
      </c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</row>
    <row r="338">
      <c r="A338" s="200"/>
      <c r="B338" s="188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2"/>
      <c r="AC338" s="172" t="s">
        <v>878</v>
      </c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</row>
    <row r="339">
      <c r="A339" s="201"/>
      <c r="B339" s="188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2"/>
      <c r="AC339" s="172" t="s">
        <v>878</v>
      </c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</row>
    <row r="340">
      <c r="A340" s="200"/>
      <c r="B340" s="188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 t="s">
        <v>878</v>
      </c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</row>
    <row r="341">
      <c r="A341" s="201"/>
      <c r="B341" s="188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2"/>
      <c r="AC341" s="172" t="s">
        <v>878</v>
      </c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</row>
    <row r="342">
      <c r="A342" s="200"/>
      <c r="B342" s="188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2"/>
      <c r="AC342" s="172" t="s">
        <v>878</v>
      </c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</row>
    <row r="343">
      <c r="A343" s="201"/>
      <c r="B343" s="188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2"/>
      <c r="AC343" s="172" t="s">
        <v>878</v>
      </c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</row>
    <row r="344">
      <c r="A344" s="200"/>
      <c r="B344" s="188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2"/>
      <c r="AC344" s="172" t="s">
        <v>878</v>
      </c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</row>
    <row r="345">
      <c r="A345" s="201"/>
      <c r="B345" s="188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2"/>
      <c r="AC345" s="172" t="s">
        <v>878</v>
      </c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</row>
    <row r="346">
      <c r="A346" s="200"/>
      <c r="B346" s="188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2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</row>
    <row r="347">
      <c r="A347" s="201"/>
      <c r="B347" s="188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2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</row>
    <row r="348">
      <c r="A348" s="200"/>
      <c r="B348" s="188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2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</row>
    <row r="349">
      <c r="A349" s="201"/>
      <c r="B349" s="188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2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</row>
    <row r="350">
      <c r="A350" s="200"/>
      <c r="B350" s="188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2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</row>
    <row r="351">
      <c r="A351" s="201"/>
      <c r="B351" s="188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2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</row>
    <row r="352">
      <c r="A352" s="200"/>
      <c r="B352" s="188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2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</row>
    <row r="353">
      <c r="A353" s="201"/>
      <c r="B353" s="188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2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</row>
    <row r="354">
      <c r="A354" s="200"/>
      <c r="B354" s="188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2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</row>
    <row r="355">
      <c r="A355" s="201"/>
      <c r="B355" s="188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2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</row>
    <row r="356">
      <c r="A356" s="200"/>
      <c r="B356" s="188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2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</row>
    <row r="357">
      <c r="A357" s="201"/>
      <c r="B357" s="188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2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</row>
    <row r="358">
      <c r="A358" s="200"/>
      <c r="B358" s="188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2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</row>
    <row r="359">
      <c r="A359" s="201"/>
      <c r="B359" s="188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2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</row>
    <row r="360">
      <c r="A360" s="200"/>
      <c r="B360" s="188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2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</row>
    <row r="361">
      <c r="A361" s="201"/>
      <c r="B361" s="188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2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</row>
    <row r="362">
      <c r="A362" s="200"/>
      <c r="B362" s="188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2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</row>
    <row r="363">
      <c r="A363" s="201"/>
      <c r="B363" s="188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2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</row>
    <row r="364">
      <c r="A364" s="200"/>
      <c r="B364" s="188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2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</row>
    <row r="365">
      <c r="A365" s="201"/>
      <c r="B365" s="188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2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</row>
    <row r="366">
      <c r="A366" s="200"/>
      <c r="B366" s="188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2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</row>
    <row r="367">
      <c r="A367" s="201"/>
      <c r="B367" s="188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2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</row>
    <row r="368">
      <c r="A368" s="200"/>
      <c r="B368" s="188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2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</row>
    <row r="369">
      <c r="A369" s="201"/>
      <c r="B369" s="188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  <c r="AA369" s="172"/>
      <c r="AB369" s="172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</row>
    <row r="370">
      <c r="A370" s="200"/>
      <c r="B370" s="188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2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</row>
    <row r="371">
      <c r="A371" s="201"/>
      <c r="B371" s="188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2"/>
      <c r="AC371" s="172"/>
      <c r="AD371" s="172"/>
      <c r="AE371" s="172"/>
      <c r="AF371" s="172"/>
      <c r="AG371" s="172"/>
      <c r="AH371" s="172"/>
      <c r="AI371" s="172"/>
      <c r="AJ371" s="172"/>
      <c r="AK371" s="172"/>
      <c r="AL371" s="172"/>
      <c r="AM371" s="172"/>
    </row>
    <row r="372">
      <c r="A372" s="200"/>
      <c r="B372" s="188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2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</row>
    <row r="373">
      <c r="A373" s="201"/>
      <c r="B373" s="188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2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</row>
    <row r="374">
      <c r="A374" s="200"/>
      <c r="B374" s="188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2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</row>
    <row r="375">
      <c r="A375" s="201"/>
      <c r="B375" s="188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2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</row>
    <row r="376">
      <c r="A376" s="200"/>
      <c r="B376" s="188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2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</row>
    <row r="377">
      <c r="A377" s="201"/>
      <c r="B377" s="188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2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</row>
    <row r="378">
      <c r="A378" s="200"/>
      <c r="B378" s="188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2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</row>
    <row r="379">
      <c r="A379" s="201"/>
      <c r="B379" s="188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2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</row>
    <row r="380">
      <c r="A380" s="200"/>
      <c r="B380" s="188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2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</row>
    <row r="381">
      <c r="A381" s="201"/>
      <c r="B381" s="188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2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</row>
    <row r="382">
      <c r="A382" s="200"/>
      <c r="B382" s="188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2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</row>
    <row r="383">
      <c r="A383" s="201"/>
      <c r="B383" s="188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2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</row>
    <row r="384">
      <c r="A384" s="200"/>
      <c r="B384" s="188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2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</row>
    <row r="385">
      <c r="A385" s="201"/>
      <c r="B385" s="188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</row>
    <row r="386">
      <c r="A386" s="200"/>
      <c r="B386" s="188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2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</row>
    <row r="387">
      <c r="A387" s="201"/>
      <c r="B387" s="188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2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</row>
    <row r="388">
      <c r="A388" s="200"/>
      <c r="B388" s="188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2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</row>
    <row r="389">
      <c r="A389" s="201"/>
      <c r="B389" s="188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2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</row>
    <row r="390">
      <c r="A390" s="200"/>
      <c r="B390" s="188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2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</row>
    <row r="391">
      <c r="A391" s="201"/>
      <c r="B391" s="188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2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</row>
    <row r="392">
      <c r="A392" s="200"/>
      <c r="B392" s="188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2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</row>
    <row r="393">
      <c r="A393" s="201"/>
      <c r="B393" s="188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2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</row>
    <row r="394">
      <c r="A394" s="200"/>
      <c r="B394" s="188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2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</row>
    <row r="395">
      <c r="A395" s="201"/>
      <c r="B395" s="188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2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</row>
    <row r="396">
      <c r="A396" s="200"/>
      <c r="B396" s="188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2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</row>
    <row r="397">
      <c r="A397" s="201"/>
      <c r="B397" s="188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2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</row>
    <row r="398">
      <c r="A398" s="200"/>
      <c r="B398" s="188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2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</row>
    <row r="399">
      <c r="A399" s="201"/>
      <c r="B399" s="188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2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</row>
    <row r="400">
      <c r="A400" s="200"/>
      <c r="B400" s="188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2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</row>
    <row r="401">
      <c r="A401" s="201"/>
      <c r="B401" s="188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2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</row>
    <row r="402">
      <c r="A402" s="200"/>
      <c r="B402" s="188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2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</row>
    <row r="403">
      <c r="A403" s="201"/>
      <c r="B403" s="188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2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</row>
    <row r="404">
      <c r="A404" s="200"/>
      <c r="B404" s="188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2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</row>
    <row r="405">
      <c r="A405" s="201"/>
      <c r="B405" s="188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2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</row>
    <row r="406">
      <c r="A406" s="200"/>
      <c r="B406" s="188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2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</row>
    <row r="407">
      <c r="A407" s="201"/>
      <c r="B407" s="188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2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</row>
    <row r="408">
      <c r="A408" s="200"/>
      <c r="B408" s="188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2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</row>
    <row r="409">
      <c r="A409" s="201"/>
      <c r="B409" s="188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2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</row>
    <row r="410">
      <c r="A410" s="200"/>
      <c r="B410" s="188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2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</row>
    <row r="411">
      <c r="A411" s="201"/>
      <c r="B411" s="188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2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</row>
    <row r="412">
      <c r="A412" s="200"/>
      <c r="B412" s="188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2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</row>
    <row r="413">
      <c r="A413" s="201"/>
      <c r="B413" s="188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2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</row>
    <row r="414">
      <c r="A414" s="200"/>
      <c r="B414" s="188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2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</row>
    <row r="415">
      <c r="A415" s="201"/>
      <c r="B415" s="188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2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</row>
    <row r="416">
      <c r="A416" s="200"/>
      <c r="B416" s="188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2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</row>
    <row r="417">
      <c r="A417" s="201"/>
      <c r="B417" s="188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2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</row>
    <row r="418">
      <c r="A418" s="200"/>
      <c r="B418" s="188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2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</row>
    <row r="419">
      <c r="A419" s="201"/>
      <c r="B419" s="188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2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</row>
    <row r="420">
      <c r="A420" s="200"/>
      <c r="B420" s="188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2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</row>
    <row r="421">
      <c r="A421" s="201"/>
      <c r="B421" s="188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2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</row>
    <row r="422">
      <c r="A422" s="200"/>
      <c r="B422" s="188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2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</row>
    <row r="423">
      <c r="A423" s="201"/>
      <c r="B423" s="188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2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</row>
    <row r="424">
      <c r="A424" s="200"/>
      <c r="B424" s="188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</row>
    <row r="425">
      <c r="A425" s="201"/>
      <c r="B425" s="188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2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</row>
    <row r="426">
      <c r="A426" s="200"/>
      <c r="B426" s="188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2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</row>
    <row r="427">
      <c r="A427" s="201"/>
      <c r="B427" s="188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2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</row>
    <row r="428">
      <c r="A428" s="200"/>
      <c r="B428" s="188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</row>
    <row r="429">
      <c r="A429" s="201"/>
      <c r="B429" s="188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2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</row>
    <row r="430">
      <c r="A430" s="200"/>
      <c r="B430" s="188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</row>
    <row r="431">
      <c r="A431" s="201"/>
      <c r="B431" s="188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2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</row>
    <row r="432">
      <c r="A432" s="200"/>
      <c r="B432" s="188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2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</row>
    <row r="433">
      <c r="A433" s="201"/>
      <c r="B433" s="188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2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</row>
    <row r="434">
      <c r="A434" s="200"/>
      <c r="B434" s="188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2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</row>
    <row r="435">
      <c r="A435" s="201"/>
      <c r="B435" s="188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2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</row>
    <row r="436">
      <c r="A436" s="200"/>
      <c r="B436" s="188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2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</row>
    <row r="437">
      <c r="A437" s="201"/>
      <c r="B437" s="188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2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</row>
    <row r="438">
      <c r="A438" s="200"/>
      <c r="B438" s="188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2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</row>
    <row r="439">
      <c r="A439" s="201"/>
      <c r="B439" s="188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2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</row>
    <row r="440">
      <c r="A440" s="200"/>
      <c r="B440" s="188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2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</row>
    <row r="441">
      <c r="A441" s="201"/>
      <c r="B441" s="188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2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</row>
    <row r="442">
      <c r="A442" s="200"/>
      <c r="B442" s="188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2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</row>
    <row r="443">
      <c r="A443" s="201"/>
      <c r="B443" s="188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2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</row>
    <row r="444">
      <c r="A444" s="200"/>
      <c r="B444" s="188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2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</row>
    <row r="445">
      <c r="A445" s="201"/>
      <c r="B445" s="188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2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</row>
    <row r="446">
      <c r="A446" s="200"/>
      <c r="B446" s="188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2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</row>
    <row r="447">
      <c r="A447" s="201"/>
      <c r="B447" s="188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2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</row>
    <row r="448">
      <c r="A448" s="200"/>
      <c r="B448" s="188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2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</row>
    <row r="449">
      <c r="A449" s="201"/>
      <c r="B449" s="188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2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</row>
    <row r="450">
      <c r="A450" s="200"/>
      <c r="B450" s="188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2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</row>
    <row r="451">
      <c r="A451" s="201"/>
      <c r="B451" s="188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2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</row>
    <row r="452">
      <c r="A452" s="200"/>
      <c r="B452" s="188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2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</row>
    <row r="453">
      <c r="A453" s="201"/>
      <c r="B453" s="188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2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</row>
    <row r="454">
      <c r="A454" s="200"/>
      <c r="B454" s="188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2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</row>
    <row r="455">
      <c r="A455" s="201"/>
      <c r="B455" s="188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2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</row>
    <row r="456">
      <c r="A456" s="200"/>
      <c r="B456" s="188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2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</row>
    <row r="457">
      <c r="A457" s="201"/>
      <c r="B457" s="188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2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</row>
    <row r="458">
      <c r="A458" s="200"/>
      <c r="B458" s="188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2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</row>
    <row r="459">
      <c r="A459" s="201"/>
      <c r="B459" s="188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2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</row>
    <row r="460">
      <c r="A460" s="200"/>
      <c r="B460" s="188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2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</row>
    <row r="461">
      <c r="A461" s="201"/>
      <c r="B461" s="188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2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</row>
    <row r="462">
      <c r="A462" s="200"/>
      <c r="B462" s="188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2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</row>
    <row r="463">
      <c r="A463" s="201"/>
      <c r="B463" s="188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2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</row>
    <row r="464">
      <c r="A464" s="200"/>
      <c r="B464" s="188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2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</row>
    <row r="465">
      <c r="A465" s="201"/>
      <c r="B465" s="188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2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</row>
    <row r="466">
      <c r="A466" s="200"/>
      <c r="B466" s="188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2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</row>
    <row r="467">
      <c r="A467" s="201"/>
      <c r="B467" s="188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2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</row>
    <row r="468">
      <c r="A468" s="200"/>
      <c r="B468" s="188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2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</row>
    <row r="469">
      <c r="A469" s="201"/>
      <c r="B469" s="188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2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</row>
    <row r="470">
      <c r="A470" s="200"/>
      <c r="B470" s="188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2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</row>
    <row r="471">
      <c r="A471" s="201"/>
      <c r="B471" s="188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2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</row>
    <row r="472">
      <c r="A472" s="200"/>
      <c r="B472" s="188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2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</row>
    <row r="473">
      <c r="A473" s="201"/>
      <c r="B473" s="188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2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</row>
    <row r="474">
      <c r="A474" s="200"/>
      <c r="B474" s="188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2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</row>
    <row r="475">
      <c r="A475" s="201"/>
      <c r="B475" s="188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2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</row>
    <row r="476">
      <c r="A476" s="200"/>
      <c r="B476" s="188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2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</row>
    <row r="477">
      <c r="A477" s="201"/>
      <c r="B477" s="188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2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</row>
    <row r="478">
      <c r="A478" s="200"/>
      <c r="B478" s="188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2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</row>
    <row r="479">
      <c r="A479" s="201"/>
      <c r="B479" s="188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2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</row>
    <row r="480">
      <c r="A480" s="200"/>
      <c r="B480" s="188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2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</row>
    <row r="481">
      <c r="A481" s="201"/>
      <c r="B481" s="188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2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</row>
    <row r="482">
      <c r="A482" s="200"/>
      <c r="B482" s="188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2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</row>
    <row r="483">
      <c r="A483" s="201"/>
      <c r="B483" s="188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2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</row>
    <row r="484">
      <c r="A484" s="200"/>
      <c r="B484" s="188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2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</row>
    <row r="485">
      <c r="A485" s="201"/>
      <c r="B485" s="188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2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</row>
    <row r="486">
      <c r="A486" s="200"/>
      <c r="B486" s="188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2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</row>
    <row r="487">
      <c r="A487" s="201"/>
      <c r="B487" s="188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2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</row>
    <row r="488">
      <c r="A488" s="200"/>
      <c r="B488" s="188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2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</row>
    <row r="489">
      <c r="A489" s="201"/>
      <c r="B489" s="188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2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</row>
    <row r="490">
      <c r="A490" s="200"/>
      <c r="B490" s="188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2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</row>
    <row r="491">
      <c r="A491" s="201"/>
      <c r="B491" s="188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2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</row>
    <row r="492">
      <c r="A492" s="200"/>
      <c r="B492" s="188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2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</row>
    <row r="493">
      <c r="A493" s="201"/>
      <c r="B493" s="188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2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</row>
    <row r="494">
      <c r="A494" s="200"/>
      <c r="B494" s="188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2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</row>
    <row r="495">
      <c r="A495" s="201"/>
      <c r="B495" s="188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2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</row>
    <row r="496">
      <c r="A496" s="200"/>
      <c r="B496" s="188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2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</row>
    <row r="497">
      <c r="A497" s="201"/>
      <c r="B497" s="188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2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</row>
    <row r="498">
      <c r="A498" s="200"/>
      <c r="B498" s="188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2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</row>
    <row r="499">
      <c r="A499" s="201"/>
      <c r="B499" s="188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2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</row>
    <row r="500">
      <c r="A500" s="200"/>
      <c r="B500" s="188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2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</row>
    <row r="501">
      <c r="A501" s="201"/>
      <c r="B501" s="188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2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</row>
    <row r="502">
      <c r="A502" s="200"/>
      <c r="B502" s="188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2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</row>
    <row r="503">
      <c r="A503" s="201"/>
      <c r="B503" s="188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2"/>
      <c r="AC503" s="172"/>
      <c r="AD503" s="172"/>
      <c r="AE503" s="172"/>
      <c r="AF503" s="172"/>
      <c r="AG503" s="172"/>
      <c r="AH503" s="172"/>
      <c r="AI503" s="172"/>
      <c r="AJ503" s="172"/>
      <c r="AK503" s="172"/>
      <c r="AL503" s="172"/>
      <c r="AM503" s="172"/>
    </row>
    <row r="504">
      <c r="A504" s="200"/>
      <c r="B504" s="188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2"/>
      <c r="AC504" s="172"/>
      <c r="AD504" s="172"/>
      <c r="AE504" s="172"/>
      <c r="AF504" s="172"/>
      <c r="AG504" s="172"/>
      <c r="AH504" s="172"/>
      <c r="AI504" s="172"/>
      <c r="AJ504" s="172"/>
      <c r="AK504" s="172"/>
      <c r="AL504" s="172"/>
      <c r="AM504" s="172"/>
    </row>
    <row r="505">
      <c r="A505" s="201"/>
      <c r="B505" s="188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2"/>
      <c r="AC505" s="172"/>
      <c r="AD505" s="172"/>
      <c r="AE505" s="172"/>
      <c r="AF505" s="172"/>
      <c r="AG505" s="172"/>
      <c r="AH505" s="172"/>
      <c r="AI505" s="172"/>
      <c r="AJ505" s="172"/>
      <c r="AK505" s="172"/>
      <c r="AL505" s="172"/>
      <c r="AM505" s="172"/>
    </row>
    <row r="506">
      <c r="A506" s="200"/>
      <c r="B506" s="188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2"/>
      <c r="AC506" s="172"/>
      <c r="AD506" s="172"/>
      <c r="AE506" s="172"/>
      <c r="AF506" s="172"/>
      <c r="AG506" s="172"/>
      <c r="AH506" s="172"/>
      <c r="AI506" s="172"/>
      <c r="AJ506" s="172"/>
      <c r="AK506" s="172"/>
      <c r="AL506" s="172"/>
      <c r="AM506" s="172"/>
    </row>
    <row r="507">
      <c r="A507" s="201"/>
      <c r="B507" s="188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2"/>
      <c r="AC507" s="172"/>
      <c r="AD507" s="172"/>
      <c r="AE507" s="172"/>
      <c r="AF507" s="172"/>
      <c r="AG507" s="172"/>
      <c r="AH507" s="172"/>
      <c r="AI507" s="172"/>
      <c r="AJ507" s="172"/>
      <c r="AK507" s="172"/>
      <c r="AL507" s="172"/>
      <c r="AM507" s="172"/>
    </row>
    <row r="508">
      <c r="A508" s="200"/>
      <c r="B508" s="188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172"/>
      <c r="AJ508" s="172"/>
      <c r="AK508" s="172"/>
      <c r="AL508" s="172"/>
      <c r="AM508" s="172"/>
    </row>
    <row r="509">
      <c r="A509" s="201"/>
      <c r="B509" s="188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2"/>
      <c r="AC509" s="172"/>
      <c r="AD509" s="172"/>
      <c r="AE509" s="172"/>
      <c r="AF509" s="172"/>
      <c r="AG509" s="172"/>
      <c r="AH509" s="172"/>
      <c r="AI509" s="172"/>
      <c r="AJ509" s="172"/>
      <c r="AK509" s="172"/>
      <c r="AL509" s="172"/>
      <c r="AM509" s="172"/>
    </row>
    <row r="510">
      <c r="A510" s="200"/>
      <c r="B510" s="188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2"/>
      <c r="AC510" s="172"/>
      <c r="AD510" s="172"/>
      <c r="AE510" s="172"/>
      <c r="AF510" s="172"/>
      <c r="AG510" s="172"/>
      <c r="AH510" s="172"/>
      <c r="AI510" s="172"/>
      <c r="AJ510" s="172"/>
      <c r="AK510" s="172"/>
      <c r="AL510" s="172"/>
      <c r="AM510" s="172"/>
    </row>
    <row r="511">
      <c r="A511" s="201"/>
      <c r="B511" s="188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2"/>
      <c r="AC511" s="172"/>
      <c r="AD511" s="172"/>
      <c r="AE511" s="172"/>
      <c r="AF511" s="172"/>
      <c r="AG511" s="172"/>
      <c r="AH511" s="172"/>
      <c r="AI511" s="172"/>
      <c r="AJ511" s="172"/>
      <c r="AK511" s="172"/>
      <c r="AL511" s="172"/>
      <c r="AM511" s="172"/>
    </row>
    <row r="512">
      <c r="A512" s="200"/>
      <c r="B512" s="188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2"/>
      <c r="AC512" s="172"/>
      <c r="AD512" s="172"/>
      <c r="AE512" s="172"/>
      <c r="AF512" s="172"/>
      <c r="AG512" s="172"/>
      <c r="AH512" s="172"/>
      <c r="AI512" s="172"/>
      <c r="AJ512" s="172"/>
      <c r="AK512" s="172"/>
      <c r="AL512" s="172"/>
      <c r="AM512" s="172"/>
    </row>
    <row r="513">
      <c r="A513" s="201"/>
      <c r="B513" s="188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2"/>
      <c r="AC513" s="172"/>
      <c r="AD513" s="172"/>
      <c r="AE513" s="172"/>
      <c r="AF513" s="172"/>
      <c r="AG513" s="172"/>
      <c r="AH513" s="172"/>
      <c r="AI513" s="172"/>
      <c r="AJ513" s="172"/>
      <c r="AK513" s="172"/>
      <c r="AL513" s="172"/>
      <c r="AM513" s="172"/>
    </row>
    <row r="514">
      <c r="A514" s="200"/>
      <c r="B514" s="188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2"/>
      <c r="AC514" s="172"/>
      <c r="AD514" s="172"/>
      <c r="AE514" s="172"/>
      <c r="AF514" s="172"/>
      <c r="AG514" s="172"/>
      <c r="AH514" s="172"/>
      <c r="AI514" s="172"/>
      <c r="AJ514" s="172"/>
      <c r="AK514" s="172"/>
      <c r="AL514" s="172"/>
      <c r="AM514" s="172"/>
    </row>
    <row r="515">
      <c r="A515" s="201"/>
      <c r="B515" s="188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2"/>
      <c r="AC515" s="172"/>
      <c r="AD515" s="172"/>
      <c r="AE515" s="172"/>
      <c r="AF515" s="172"/>
      <c r="AG515" s="172"/>
      <c r="AH515" s="172"/>
      <c r="AI515" s="172"/>
      <c r="AJ515" s="172"/>
      <c r="AK515" s="172"/>
      <c r="AL515" s="172"/>
      <c r="AM515" s="172"/>
    </row>
    <row r="516">
      <c r="A516" s="200"/>
      <c r="B516" s="188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2"/>
      <c r="AC516" s="172"/>
      <c r="AD516" s="172"/>
      <c r="AE516" s="172"/>
      <c r="AF516" s="172"/>
      <c r="AG516" s="172"/>
      <c r="AH516" s="172"/>
      <c r="AI516" s="172"/>
      <c r="AJ516" s="172"/>
      <c r="AK516" s="172"/>
      <c r="AL516" s="172"/>
      <c r="AM516" s="172"/>
    </row>
    <row r="517">
      <c r="A517" s="201"/>
      <c r="B517" s="188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2"/>
      <c r="AC517" s="172"/>
      <c r="AD517" s="172"/>
      <c r="AE517" s="172"/>
      <c r="AF517" s="172"/>
      <c r="AG517" s="172"/>
      <c r="AH517" s="172"/>
      <c r="AI517" s="172"/>
      <c r="AJ517" s="172"/>
      <c r="AK517" s="172"/>
      <c r="AL517" s="172"/>
      <c r="AM517" s="172"/>
    </row>
    <row r="518">
      <c r="A518" s="200"/>
      <c r="B518" s="188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2"/>
      <c r="AC518" s="172"/>
      <c r="AD518" s="172"/>
      <c r="AE518" s="172"/>
      <c r="AF518" s="172"/>
      <c r="AG518" s="172"/>
      <c r="AH518" s="172"/>
      <c r="AI518" s="172"/>
      <c r="AJ518" s="172"/>
      <c r="AK518" s="172"/>
      <c r="AL518" s="172"/>
      <c r="AM518" s="172"/>
    </row>
    <row r="519">
      <c r="A519" s="201"/>
      <c r="B519" s="188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2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2"/>
      <c r="AM519" s="172"/>
    </row>
    <row r="520">
      <c r="A520" s="200"/>
      <c r="B520" s="188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2"/>
      <c r="AC520" s="172"/>
      <c r="AD520" s="172"/>
      <c r="AE520" s="172"/>
      <c r="AF520" s="172"/>
      <c r="AG520" s="172"/>
      <c r="AH520" s="172"/>
      <c r="AI520" s="172"/>
      <c r="AJ520" s="172"/>
      <c r="AK520" s="172"/>
      <c r="AL520" s="172"/>
      <c r="AM520" s="172"/>
    </row>
    <row r="521">
      <c r="A521" s="201"/>
      <c r="B521" s="188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2"/>
      <c r="AC521" s="172"/>
      <c r="AD521" s="172"/>
      <c r="AE521" s="172"/>
      <c r="AF521" s="172"/>
      <c r="AG521" s="172"/>
      <c r="AH521" s="172"/>
      <c r="AI521" s="172"/>
      <c r="AJ521" s="172"/>
      <c r="AK521" s="172"/>
      <c r="AL521" s="172"/>
      <c r="AM521" s="172"/>
    </row>
    <row r="522">
      <c r="A522" s="200"/>
      <c r="B522" s="188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2"/>
      <c r="AC522" s="172"/>
      <c r="AD522" s="172"/>
      <c r="AE522" s="172"/>
      <c r="AF522" s="172"/>
      <c r="AG522" s="172"/>
      <c r="AH522" s="172"/>
      <c r="AI522" s="172"/>
      <c r="AJ522" s="172"/>
      <c r="AK522" s="172"/>
      <c r="AL522" s="172"/>
      <c r="AM522" s="172"/>
    </row>
    <row r="523">
      <c r="A523" s="201"/>
      <c r="B523" s="188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2"/>
      <c r="AC523" s="172"/>
      <c r="AD523" s="172"/>
      <c r="AE523" s="172"/>
      <c r="AF523" s="172"/>
      <c r="AG523" s="172"/>
      <c r="AH523" s="172"/>
      <c r="AI523" s="172"/>
      <c r="AJ523" s="172"/>
      <c r="AK523" s="172"/>
      <c r="AL523" s="172"/>
      <c r="AM523" s="172"/>
    </row>
    <row r="524">
      <c r="A524" s="200"/>
      <c r="B524" s="188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2"/>
      <c r="AC524" s="172"/>
      <c r="AD524" s="172"/>
      <c r="AE524" s="172"/>
      <c r="AF524" s="172"/>
      <c r="AG524" s="172"/>
      <c r="AH524" s="172"/>
      <c r="AI524" s="172"/>
      <c r="AJ524" s="172"/>
      <c r="AK524" s="172"/>
      <c r="AL524" s="172"/>
      <c r="AM524" s="172"/>
    </row>
    <row r="525">
      <c r="A525" s="201"/>
      <c r="B525" s="188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2"/>
      <c r="AC525" s="172"/>
      <c r="AD525" s="172"/>
      <c r="AE525" s="172"/>
      <c r="AF525" s="172"/>
      <c r="AG525" s="172"/>
      <c r="AH525" s="172"/>
      <c r="AI525" s="172"/>
      <c r="AJ525" s="172"/>
      <c r="AK525" s="172"/>
      <c r="AL525" s="172"/>
      <c r="AM525" s="172"/>
    </row>
    <row r="526">
      <c r="A526" s="200"/>
      <c r="B526" s="188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2"/>
      <c r="AC526" s="172"/>
      <c r="AD526" s="172"/>
      <c r="AE526" s="172"/>
      <c r="AF526" s="172"/>
      <c r="AG526" s="172"/>
      <c r="AH526" s="172"/>
      <c r="AI526" s="172"/>
      <c r="AJ526" s="172"/>
      <c r="AK526" s="172"/>
      <c r="AL526" s="172"/>
      <c r="AM526" s="172"/>
    </row>
    <row r="527">
      <c r="A527" s="201"/>
      <c r="B527" s="188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2"/>
      <c r="AC527" s="172"/>
      <c r="AD527" s="172"/>
      <c r="AE527" s="172"/>
      <c r="AF527" s="172"/>
      <c r="AG527" s="172"/>
      <c r="AH527" s="172"/>
      <c r="AI527" s="172"/>
      <c r="AJ527" s="172"/>
      <c r="AK527" s="172"/>
      <c r="AL527" s="172"/>
      <c r="AM527" s="172"/>
    </row>
    <row r="528">
      <c r="A528" s="200"/>
      <c r="B528" s="188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2"/>
      <c r="AC528" s="172"/>
      <c r="AD528" s="172"/>
      <c r="AE528" s="172"/>
      <c r="AF528" s="172"/>
      <c r="AG528" s="172"/>
      <c r="AH528" s="172"/>
      <c r="AI528" s="172"/>
      <c r="AJ528" s="172"/>
      <c r="AK528" s="172"/>
      <c r="AL528" s="172"/>
      <c r="AM528" s="172"/>
    </row>
    <row r="529">
      <c r="A529" s="201"/>
      <c r="B529" s="188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2"/>
      <c r="AC529" s="172"/>
      <c r="AD529" s="172"/>
      <c r="AE529" s="172"/>
      <c r="AF529" s="172"/>
      <c r="AG529" s="172"/>
      <c r="AH529" s="172"/>
      <c r="AI529" s="172"/>
      <c r="AJ529" s="172"/>
      <c r="AK529" s="172"/>
      <c r="AL529" s="172"/>
      <c r="AM529" s="172"/>
    </row>
    <row r="530">
      <c r="A530" s="200"/>
      <c r="B530" s="188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2"/>
      <c r="AC530" s="172"/>
      <c r="AD530" s="172"/>
      <c r="AE530" s="172"/>
      <c r="AF530" s="172"/>
      <c r="AG530" s="172"/>
      <c r="AH530" s="172"/>
      <c r="AI530" s="172"/>
      <c r="AJ530" s="172"/>
      <c r="AK530" s="172"/>
      <c r="AL530" s="172"/>
      <c r="AM530" s="172"/>
    </row>
    <row r="531">
      <c r="A531" s="201"/>
      <c r="B531" s="188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2"/>
      <c r="AC531" s="172"/>
      <c r="AD531" s="172"/>
      <c r="AE531" s="172"/>
      <c r="AF531" s="172"/>
      <c r="AG531" s="172"/>
      <c r="AH531" s="172"/>
      <c r="AI531" s="172"/>
      <c r="AJ531" s="172"/>
      <c r="AK531" s="172"/>
      <c r="AL531" s="172"/>
      <c r="AM531" s="172"/>
    </row>
    <row r="532">
      <c r="A532" s="200"/>
      <c r="B532" s="188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2"/>
      <c r="AC532" s="172"/>
      <c r="AD532" s="172"/>
      <c r="AE532" s="172"/>
      <c r="AF532" s="172"/>
      <c r="AG532" s="172"/>
      <c r="AH532" s="172"/>
      <c r="AI532" s="172"/>
      <c r="AJ532" s="172"/>
      <c r="AK532" s="172"/>
      <c r="AL532" s="172"/>
      <c r="AM532" s="172"/>
    </row>
    <row r="533">
      <c r="A533" s="201"/>
      <c r="B533" s="188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2"/>
      <c r="AC533" s="172"/>
      <c r="AD533" s="172"/>
      <c r="AE533" s="172"/>
      <c r="AF533" s="172"/>
      <c r="AG533" s="172"/>
      <c r="AH533" s="172"/>
      <c r="AI533" s="172"/>
      <c r="AJ533" s="172"/>
      <c r="AK533" s="172"/>
      <c r="AL533" s="172"/>
      <c r="AM533" s="172"/>
    </row>
    <row r="534">
      <c r="A534" s="200"/>
      <c r="B534" s="188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2"/>
      <c r="AC534" s="172"/>
      <c r="AD534" s="172"/>
      <c r="AE534" s="172"/>
      <c r="AF534" s="172"/>
      <c r="AG534" s="172"/>
      <c r="AH534" s="172"/>
      <c r="AI534" s="172"/>
      <c r="AJ534" s="172"/>
      <c r="AK534" s="172"/>
      <c r="AL534" s="172"/>
      <c r="AM534" s="172"/>
    </row>
    <row r="535">
      <c r="A535" s="201"/>
      <c r="B535" s="188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2"/>
      <c r="AC535" s="172"/>
      <c r="AD535" s="172"/>
      <c r="AE535" s="172"/>
      <c r="AF535" s="172"/>
      <c r="AG535" s="172"/>
      <c r="AH535" s="172"/>
      <c r="AI535" s="172"/>
      <c r="AJ535" s="172"/>
      <c r="AK535" s="172"/>
      <c r="AL535" s="172"/>
      <c r="AM535" s="172"/>
    </row>
    <row r="536">
      <c r="A536" s="200"/>
      <c r="B536" s="188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2"/>
      <c r="AC536" s="172"/>
      <c r="AD536" s="172"/>
      <c r="AE536" s="172"/>
      <c r="AF536" s="172"/>
      <c r="AG536" s="172"/>
      <c r="AH536" s="172"/>
      <c r="AI536" s="172"/>
      <c r="AJ536" s="172"/>
      <c r="AK536" s="172"/>
      <c r="AL536" s="172"/>
      <c r="AM536" s="172"/>
    </row>
    <row r="537">
      <c r="A537" s="201"/>
      <c r="B537" s="188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2"/>
      <c r="AC537" s="172"/>
      <c r="AD537" s="172"/>
      <c r="AE537" s="172"/>
      <c r="AF537" s="172"/>
      <c r="AG537" s="172"/>
      <c r="AH537" s="172"/>
      <c r="AI537" s="172"/>
      <c r="AJ537" s="172"/>
      <c r="AK537" s="172"/>
      <c r="AL537" s="172"/>
      <c r="AM537" s="172"/>
    </row>
    <row r="538">
      <c r="A538" s="200"/>
      <c r="B538" s="188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2"/>
      <c r="AC538" s="172"/>
      <c r="AD538" s="172"/>
      <c r="AE538" s="172"/>
      <c r="AF538" s="172"/>
      <c r="AG538" s="172"/>
      <c r="AH538" s="172"/>
      <c r="AI538" s="172"/>
      <c r="AJ538" s="172"/>
      <c r="AK538" s="172"/>
      <c r="AL538" s="172"/>
      <c r="AM538" s="172"/>
    </row>
    <row r="539">
      <c r="A539" s="201"/>
      <c r="B539" s="188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2"/>
      <c r="AC539" s="172"/>
      <c r="AD539" s="172"/>
      <c r="AE539" s="172"/>
      <c r="AF539" s="172"/>
      <c r="AG539" s="172"/>
      <c r="AH539" s="172"/>
      <c r="AI539" s="172"/>
      <c r="AJ539" s="172"/>
      <c r="AK539" s="172"/>
      <c r="AL539" s="172"/>
      <c r="AM539" s="172"/>
    </row>
    <row r="540">
      <c r="A540" s="200"/>
      <c r="B540" s="188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2"/>
      <c r="AC540" s="172"/>
      <c r="AD540" s="172"/>
      <c r="AE540" s="172"/>
      <c r="AF540" s="172"/>
      <c r="AG540" s="172"/>
      <c r="AH540" s="172"/>
      <c r="AI540" s="172"/>
      <c r="AJ540" s="172"/>
      <c r="AK540" s="172"/>
      <c r="AL540" s="172"/>
      <c r="AM540" s="172"/>
    </row>
    <row r="541">
      <c r="A541" s="201"/>
      <c r="B541" s="188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2"/>
      <c r="AC541" s="172"/>
      <c r="AD541" s="172"/>
      <c r="AE541" s="172"/>
      <c r="AF541" s="172"/>
      <c r="AG541" s="172"/>
      <c r="AH541" s="172"/>
      <c r="AI541" s="172"/>
      <c r="AJ541" s="172"/>
      <c r="AK541" s="172"/>
      <c r="AL541" s="172"/>
      <c r="AM541" s="172"/>
    </row>
    <row r="542">
      <c r="A542" s="200"/>
      <c r="B542" s="188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2"/>
      <c r="AC542" s="172"/>
      <c r="AD542" s="172"/>
      <c r="AE542" s="172"/>
      <c r="AF542" s="172"/>
      <c r="AG542" s="172"/>
      <c r="AH542" s="172"/>
      <c r="AI542" s="172"/>
      <c r="AJ542" s="172"/>
      <c r="AK542" s="172"/>
      <c r="AL542" s="172"/>
      <c r="AM542" s="172"/>
    </row>
    <row r="543">
      <c r="A543" s="201"/>
      <c r="B543" s="188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2"/>
      <c r="AC543" s="172"/>
      <c r="AD543" s="172"/>
      <c r="AE543" s="172"/>
      <c r="AF543" s="172"/>
      <c r="AG543" s="172"/>
      <c r="AH543" s="172"/>
      <c r="AI543" s="172"/>
      <c r="AJ543" s="172"/>
      <c r="AK543" s="172"/>
      <c r="AL543" s="172"/>
      <c r="AM543" s="172"/>
    </row>
    <row r="544">
      <c r="A544" s="200"/>
      <c r="B544" s="188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2"/>
      <c r="AC544" s="172"/>
      <c r="AD544" s="172"/>
      <c r="AE544" s="172"/>
      <c r="AF544" s="172"/>
      <c r="AG544" s="172"/>
      <c r="AH544" s="172"/>
      <c r="AI544" s="172"/>
      <c r="AJ544" s="172"/>
      <c r="AK544" s="172"/>
      <c r="AL544" s="172"/>
      <c r="AM544" s="172"/>
    </row>
    <row r="545">
      <c r="A545" s="201"/>
      <c r="B545" s="188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2"/>
      <c r="AC545" s="172"/>
      <c r="AD545" s="172"/>
      <c r="AE545" s="172"/>
      <c r="AF545" s="172"/>
      <c r="AG545" s="172"/>
      <c r="AH545" s="172"/>
      <c r="AI545" s="172"/>
      <c r="AJ545" s="172"/>
      <c r="AK545" s="172"/>
      <c r="AL545" s="172"/>
      <c r="AM545" s="172"/>
    </row>
    <row r="546">
      <c r="A546" s="200"/>
      <c r="B546" s="188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2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2"/>
      <c r="AM546" s="172"/>
    </row>
    <row r="547">
      <c r="A547" s="201"/>
      <c r="B547" s="188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2"/>
      <c r="AC547" s="172"/>
      <c r="AD547" s="172"/>
      <c r="AE547" s="172"/>
      <c r="AF547" s="172"/>
      <c r="AG547" s="172"/>
      <c r="AH547" s="172"/>
      <c r="AI547" s="172"/>
      <c r="AJ547" s="172"/>
      <c r="AK547" s="172"/>
      <c r="AL547" s="172"/>
      <c r="AM547" s="172"/>
    </row>
    <row r="548">
      <c r="A548" s="200"/>
      <c r="B548" s="188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2"/>
      <c r="AC548" s="172"/>
      <c r="AD548" s="172"/>
      <c r="AE548" s="172"/>
      <c r="AF548" s="172"/>
      <c r="AG548" s="172"/>
      <c r="AH548" s="172"/>
      <c r="AI548" s="172"/>
      <c r="AJ548" s="172"/>
      <c r="AK548" s="172"/>
      <c r="AL548" s="172"/>
      <c r="AM548" s="172"/>
    </row>
    <row r="549">
      <c r="A549" s="201"/>
      <c r="B549" s="188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2"/>
      <c r="AC549" s="172"/>
      <c r="AD549" s="172"/>
      <c r="AE549" s="172"/>
      <c r="AF549" s="172"/>
      <c r="AG549" s="172"/>
      <c r="AH549" s="172"/>
      <c r="AI549" s="172"/>
      <c r="AJ549" s="172"/>
      <c r="AK549" s="172"/>
      <c r="AL549" s="172"/>
      <c r="AM549" s="172"/>
    </row>
    <row r="550">
      <c r="A550" s="200"/>
      <c r="B550" s="188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2"/>
      <c r="AC550" s="172"/>
      <c r="AD550" s="172"/>
      <c r="AE550" s="172"/>
      <c r="AF550" s="172"/>
      <c r="AG550" s="172"/>
      <c r="AH550" s="172"/>
      <c r="AI550" s="172"/>
      <c r="AJ550" s="172"/>
      <c r="AK550" s="172"/>
      <c r="AL550" s="172"/>
      <c r="AM550" s="172"/>
    </row>
    <row r="551">
      <c r="A551" s="201"/>
      <c r="B551" s="188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2"/>
      <c r="AC551" s="172"/>
      <c r="AD551" s="172"/>
      <c r="AE551" s="172"/>
      <c r="AF551" s="172"/>
      <c r="AG551" s="172"/>
      <c r="AH551" s="172"/>
      <c r="AI551" s="172"/>
      <c r="AJ551" s="172"/>
      <c r="AK551" s="172"/>
      <c r="AL551" s="172"/>
      <c r="AM551" s="172"/>
    </row>
    <row r="552">
      <c r="A552" s="200"/>
      <c r="B552" s="188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2"/>
      <c r="AC552" s="172"/>
      <c r="AD552" s="172"/>
      <c r="AE552" s="172"/>
      <c r="AF552" s="172"/>
      <c r="AG552" s="172"/>
      <c r="AH552" s="172"/>
      <c r="AI552" s="172"/>
      <c r="AJ552" s="172"/>
      <c r="AK552" s="172"/>
      <c r="AL552" s="172"/>
      <c r="AM552" s="172"/>
    </row>
    <row r="553">
      <c r="A553" s="201"/>
      <c r="B553" s="188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2"/>
      <c r="AC553" s="172"/>
      <c r="AD553" s="172"/>
      <c r="AE553" s="172"/>
      <c r="AF553" s="172"/>
      <c r="AG553" s="172"/>
      <c r="AH553" s="172"/>
      <c r="AI553" s="172"/>
      <c r="AJ553" s="172"/>
      <c r="AK553" s="172"/>
      <c r="AL553" s="172"/>
      <c r="AM553" s="172"/>
    </row>
    <row r="554">
      <c r="A554" s="200"/>
      <c r="B554" s="188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2"/>
      <c r="AC554" s="172"/>
      <c r="AD554" s="172"/>
      <c r="AE554" s="172"/>
      <c r="AF554" s="172"/>
      <c r="AG554" s="172"/>
      <c r="AH554" s="172"/>
      <c r="AI554" s="172"/>
      <c r="AJ554" s="172"/>
      <c r="AK554" s="172"/>
      <c r="AL554" s="172"/>
      <c r="AM554" s="172"/>
    </row>
    <row r="555">
      <c r="A555" s="201"/>
      <c r="B555" s="188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  <c r="AA555" s="172"/>
      <c r="AB555" s="172"/>
      <c r="AC555" s="172"/>
      <c r="AD555" s="172"/>
      <c r="AE555" s="172"/>
      <c r="AF555" s="172"/>
      <c r="AG555" s="172"/>
      <c r="AH555" s="172"/>
      <c r="AI555" s="172"/>
      <c r="AJ555" s="172"/>
      <c r="AK555" s="172"/>
      <c r="AL555" s="172"/>
      <c r="AM555" s="172"/>
    </row>
    <row r="556">
      <c r="A556" s="200"/>
      <c r="B556" s="188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/>
      <c r="AB556" s="172"/>
      <c r="AC556" s="172"/>
      <c r="AD556" s="172"/>
      <c r="AE556" s="172"/>
      <c r="AF556" s="172"/>
      <c r="AG556" s="172"/>
      <c r="AH556" s="172"/>
      <c r="AI556" s="172"/>
      <c r="AJ556" s="172"/>
      <c r="AK556" s="172"/>
      <c r="AL556" s="172"/>
      <c r="AM556" s="172"/>
    </row>
    <row r="557">
      <c r="A557" s="201"/>
      <c r="B557" s="188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2"/>
      <c r="AC557" s="172"/>
      <c r="AD557" s="172"/>
      <c r="AE557" s="172"/>
      <c r="AF557" s="172"/>
      <c r="AG557" s="172"/>
      <c r="AH557" s="172"/>
      <c r="AI557" s="172"/>
      <c r="AJ557" s="172"/>
      <c r="AK557" s="172"/>
      <c r="AL557" s="172"/>
      <c r="AM557" s="172"/>
    </row>
    <row r="558">
      <c r="A558" s="200"/>
      <c r="B558" s="188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2"/>
      <c r="AC558" s="172"/>
      <c r="AD558" s="172"/>
      <c r="AE558" s="172"/>
      <c r="AF558" s="172"/>
      <c r="AG558" s="172"/>
      <c r="AH558" s="172"/>
      <c r="AI558" s="172"/>
      <c r="AJ558" s="172"/>
      <c r="AK558" s="172"/>
      <c r="AL558" s="172"/>
      <c r="AM558" s="172"/>
    </row>
    <row r="559">
      <c r="A559" s="201"/>
      <c r="B559" s="188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2"/>
      <c r="AC559" s="172"/>
      <c r="AD559" s="172"/>
      <c r="AE559" s="172"/>
      <c r="AF559" s="172"/>
      <c r="AG559" s="172"/>
      <c r="AH559" s="172"/>
      <c r="AI559" s="172"/>
      <c r="AJ559" s="172"/>
      <c r="AK559" s="172"/>
      <c r="AL559" s="172"/>
      <c r="AM559" s="172"/>
    </row>
    <row r="560">
      <c r="A560" s="200"/>
      <c r="B560" s="188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2"/>
      <c r="AC560" s="172"/>
      <c r="AD560" s="172"/>
      <c r="AE560" s="172"/>
      <c r="AF560" s="172"/>
      <c r="AG560" s="172"/>
      <c r="AH560" s="172"/>
      <c r="AI560" s="172"/>
      <c r="AJ560" s="172"/>
      <c r="AK560" s="172"/>
      <c r="AL560" s="172"/>
      <c r="AM560" s="172"/>
    </row>
    <row r="561">
      <c r="A561" s="201"/>
      <c r="B561" s="188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2"/>
      <c r="AC561" s="172"/>
      <c r="AD561" s="172"/>
      <c r="AE561" s="172"/>
      <c r="AF561" s="172"/>
      <c r="AG561" s="172"/>
      <c r="AH561" s="172"/>
      <c r="AI561" s="172"/>
      <c r="AJ561" s="172"/>
      <c r="AK561" s="172"/>
      <c r="AL561" s="172"/>
      <c r="AM561" s="172"/>
    </row>
    <row r="562">
      <c r="A562" s="200"/>
      <c r="B562" s="188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2"/>
      <c r="AC562" s="172"/>
      <c r="AD562" s="172"/>
      <c r="AE562" s="172"/>
      <c r="AF562" s="172"/>
      <c r="AG562" s="172"/>
      <c r="AH562" s="172"/>
      <c r="AI562" s="172"/>
      <c r="AJ562" s="172"/>
      <c r="AK562" s="172"/>
      <c r="AL562" s="172"/>
      <c r="AM562" s="172"/>
    </row>
    <row r="563">
      <c r="A563" s="201"/>
      <c r="B563" s="188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2"/>
      <c r="AC563" s="172"/>
      <c r="AD563" s="172"/>
      <c r="AE563" s="172"/>
      <c r="AF563" s="172"/>
      <c r="AG563" s="172"/>
      <c r="AH563" s="172"/>
      <c r="AI563" s="172"/>
      <c r="AJ563" s="172"/>
      <c r="AK563" s="172"/>
      <c r="AL563" s="172"/>
      <c r="AM563" s="172"/>
    </row>
    <row r="564">
      <c r="A564" s="200"/>
      <c r="B564" s="188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2"/>
      <c r="AC564" s="172"/>
      <c r="AD564" s="172"/>
      <c r="AE564" s="172"/>
      <c r="AF564" s="172"/>
      <c r="AG564" s="172"/>
      <c r="AH564" s="172"/>
      <c r="AI564" s="172"/>
      <c r="AJ564" s="172"/>
      <c r="AK564" s="172"/>
      <c r="AL564" s="172"/>
      <c r="AM564" s="172"/>
    </row>
    <row r="565">
      <c r="A565" s="201"/>
      <c r="B565" s="188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2"/>
      <c r="AC565" s="172"/>
      <c r="AD565" s="172"/>
      <c r="AE565" s="172"/>
      <c r="AF565" s="172"/>
      <c r="AG565" s="172"/>
      <c r="AH565" s="172"/>
      <c r="AI565" s="172"/>
      <c r="AJ565" s="172"/>
      <c r="AK565" s="172"/>
      <c r="AL565" s="172"/>
      <c r="AM565" s="172"/>
    </row>
    <row r="566">
      <c r="A566" s="200"/>
      <c r="B566" s="188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2"/>
      <c r="AC566" s="172"/>
      <c r="AD566" s="172"/>
      <c r="AE566" s="172"/>
      <c r="AF566" s="172"/>
      <c r="AG566" s="172"/>
      <c r="AH566" s="172"/>
      <c r="AI566" s="172"/>
      <c r="AJ566" s="172"/>
      <c r="AK566" s="172"/>
      <c r="AL566" s="172"/>
      <c r="AM566" s="172"/>
    </row>
    <row r="567">
      <c r="A567" s="201"/>
      <c r="B567" s="188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2"/>
      <c r="AC567" s="172"/>
      <c r="AD567" s="172"/>
      <c r="AE567" s="172"/>
      <c r="AF567" s="172"/>
      <c r="AG567" s="172"/>
      <c r="AH567" s="172"/>
      <c r="AI567" s="172"/>
      <c r="AJ567" s="172"/>
      <c r="AK567" s="172"/>
      <c r="AL567" s="172"/>
      <c r="AM567" s="172"/>
    </row>
    <row r="568">
      <c r="A568" s="200"/>
      <c r="B568" s="188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2"/>
      <c r="AC568" s="172"/>
      <c r="AD568" s="172"/>
      <c r="AE568" s="172"/>
      <c r="AF568" s="172"/>
      <c r="AG568" s="172"/>
      <c r="AH568" s="172"/>
      <c r="AI568" s="172"/>
      <c r="AJ568" s="172"/>
      <c r="AK568" s="172"/>
      <c r="AL568" s="172"/>
      <c r="AM568" s="172"/>
    </row>
    <row r="569">
      <c r="A569" s="201"/>
      <c r="B569" s="188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2"/>
      <c r="AC569" s="172"/>
      <c r="AD569" s="172"/>
      <c r="AE569" s="172"/>
      <c r="AF569" s="172"/>
      <c r="AG569" s="172"/>
      <c r="AH569" s="172"/>
      <c r="AI569" s="172"/>
      <c r="AJ569" s="172"/>
      <c r="AK569" s="172"/>
      <c r="AL569" s="172"/>
      <c r="AM569" s="172"/>
    </row>
    <row r="570">
      <c r="A570" s="200"/>
      <c r="B570" s="188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2"/>
      <c r="AC570" s="172"/>
      <c r="AD570" s="172"/>
      <c r="AE570" s="172"/>
      <c r="AF570" s="172"/>
      <c r="AG570" s="172"/>
      <c r="AH570" s="172"/>
      <c r="AI570" s="172"/>
      <c r="AJ570" s="172"/>
      <c r="AK570" s="172"/>
      <c r="AL570" s="172"/>
      <c r="AM570" s="172"/>
    </row>
    <row r="571">
      <c r="A571" s="201"/>
      <c r="B571" s="188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2"/>
      <c r="AC571" s="172"/>
      <c r="AD571" s="172"/>
      <c r="AE571" s="172"/>
      <c r="AF571" s="172"/>
      <c r="AG571" s="172"/>
      <c r="AH571" s="172"/>
      <c r="AI571" s="172"/>
      <c r="AJ571" s="172"/>
      <c r="AK571" s="172"/>
      <c r="AL571" s="172"/>
      <c r="AM571" s="172"/>
    </row>
    <row r="572">
      <c r="A572" s="200"/>
      <c r="B572" s="188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2"/>
      <c r="AC572" s="172"/>
      <c r="AD572" s="172"/>
      <c r="AE572" s="172"/>
      <c r="AF572" s="172"/>
      <c r="AG572" s="172"/>
      <c r="AH572" s="172"/>
      <c r="AI572" s="172"/>
      <c r="AJ572" s="172"/>
      <c r="AK572" s="172"/>
      <c r="AL572" s="172"/>
      <c r="AM572" s="172"/>
    </row>
    <row r="573">
      <c r="A573" s="201"/>
      <c r="B573" s="188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2"/>
      <c r="AC573" s="172"/>
      <c r="AD573" s="172"/>
      <c r="AE573" s="172"/>
      <c r="AF573" s="172"/>
      <c r="AG573" s="172"/>
      <c r="AH573" s="172"/>
      <c r="AI573" s="172"/>
      <c r="AJ573" s="172"/>
      <c r="AK573" s="172"/>
      <c r="AL573" s="172"/>
      <c r="AM573" s="172"/>
    </row>
    <row r="574">
      <c r="A574" s="200"/>
      <c r="B574" s="188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2"/>
      <c r="AC574" s="172"/>
      <c r="AD574" s="172"/>
      <c r="AE574" s="172"/>
      <c r="AF574" s="172"/>
      <c r="AG574" s="172"/>
      <c r="AH574" s="172"/>
      <c r="AI574" s="172"/>
      <c r="AJ574" s="172"/>
      <c r="AK574" s="172"/>
      <c r="AL574" s="172"/>
      <c r="AM574" s="172"/>
    </row>
    <row r="575">
      <c r="A575" s="201"/>
      <c r="B575" s="188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2"/>
      <c r="AC575" s="172"/>
      <c r="AD575" s="172"/>
      <c r="AE575" s="172"/>
      <c r="AF575" s="172"/>
      <c r="AG575" s="172"/>
      <c r="AH575" s="172"/>
      <c r="AI575" s="172"/>
      <c r="AJ575" s="172"/>
      <c r="AK575" s="172"/>
      <c r="AL575" s="172"/>
      <c r="AM575" s="172"/>
    </row>
    <row r="576">
      <c r="A576" s="200"/>
      <c r="B576" s="188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2"/>
      <c r="AC576" s="172"/>
      <c r="AD576" s="172"/>
      <c r="AE576" s="172"/>
      <c r="AF576" s="172"/>
      <c r="AG576" s="172"/>
      <c r="AH576" s="172"/>
      <c r="AI576" s="172"/>
      <c r="AJ576" s="172"/>
      <c r="AK576" s="172"/>
      <c r="AL576" s="172"/>
      <c r="AM576" s="172"/>
    </row>
    <row r="577">
      <c r="A577" s="201"/>
      <c r="B577" s="188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2"/>
      <c r="AC577" s="172"/>
      <c r="AD577" s="172"/>
      <c r="AE577" s="172"/>
      <c r="AF577" s="172"/>
      <c r="AG577" s="172"/>
      <c r="AH577" s="172"/>
      <c r="AI577" s="172"/>
      <c r="AJ577" s="172"/>
      <c r="AK577" s="172"/>
      <c r="AL577" s="172"/>
      <c r="AM577" s="172"/>
    </row>
    <row r="578">
      <c r="A578" s="200"/>
      <c r="B578" s="188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2"/>
      <c r="AC578" s="172"/>
      <c r="AD578" s="172"/>
      <c r="AE578" s="172"/>
      <c r="AF578" s="172"/>
      <c r="AG578" s="172"/>
      <c r="AH578" s="172"/>
      <c r="AI578" s="172"/>
      <c r="AJ578" s="172"/>
      <c r="AK578" s="172"/>
      <c r="AL578" s="172"/>
      <c r="AM578" s="172"/>
    </row>
    <row r="579">
      <c r="A579" s="201"/>
      <c r="B579" s="188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2"/>
      <c r="AC579" s="172"/>
      <c r="AD579" s="172"/>
      <c r="AE579" s="172"/>
      <c r="AF579" s="172"/>
      <c r="AG579" s="172"/>
      <c r="AH579" s="172"/>
      <c r="AI579" s="172"/>
      <c r="AJ579" s="172"/>
      <c r="AK579" s="172"/>
      <c r="AL579" s="172"/>
      <c r="AM579" s="172"/>
    </row>
    <row r="580">
      <c r="A580" s="200"/>
      <c r="B580" s="188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2"/>
      <c r="AC580" s="172"/>
      <c r="AD580" s="172"/>
      <c r="AE580" s="172"/>
      <c r="AF580" s="172"/>
      <c r="AG580" s="172"/>
      <c r="AH580" s="172"/>
      <c r="AI580" s="172"/>
      <c r="AJ580" s="172"/>
      <c r="AK580" s="172"/>
      <c r="AL580" s="172"/>
      <c r="AM580" s="172"/>
    </row>
    <row r="581">
      <c r="A581" s="201"/>
      <c r="B581" s="188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2"/>
      <c r="AC581" s="172"/>
      <c r="AD581" s="172"/>
      <c r="AE581" s="172"/>
      <c r="AF581" s="172"/>
      <c r="AG581" s="172"/>
      <c r="AH581" s="172"/>
      <c r="AI581" s="172"/>
      <c r="AJ581" s="172"/>
      <c r="AK581" s="172"/>
      <c r="AL581" s="172"/>
      <c r="AM581" s="172"/>
    </row>
    <row r="582">
      <c r="A582" s="200"/>
      <c r="B582" s="188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2"/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</row>
    <row r="583">
      <c r="A583" s="201"/>
      <c r="B583" s="188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2"/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</row>
    <row r="584">
      <c r="A584" s="200"/>
      <c r="B584" s="188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2"/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</row>
    <row r="585">
      <c r="A585" s="201"/>
      <c r="B585" s="188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2"/>
      <c r="AC585" s="172"/>
      <c r="AD585" s="172"/>
      <c r="AE585" s="172"/>
      <c r="AF585" s="172"/>
      <c r="AG585" s="172"/>
      <c r="AH585" s="172"/>
      <c r="AI585" s="172"/>
      <c r="AJ585" s="172"/>
      <c r="AK585" s="172"/>
      <c r="AL585" s="172"/>
      <c r="AM585" s="172"/>
    </row>
    <row r="586">
      <c r="A586" s="200"/>
      <c r="B586" s="188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2"/>
      <c r="AC586" s="172"/>
      <c r="AD586" s="172"/>
      <c r="AE586" s="172"/>
      <c r="AF586" s="172"/>
      <c r="AG586" s="172"/>
      <c r="AH586" s="172"/>
      <c r="AI586" s="172"/>
      <c r="AJ586" s="172"/>
      <c r="AK586" s="172"/>
      <c r="AL586" s="172"/>
      <c r="AM586" s="172"/>
    </row>
    <row r="587">
      <c r="A587" s="201"/>
      <c r="B587" s="188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2"/>
      <c r="AC587" s="172"/>
      <c r="AD587" s="172"/>
      <c r="AE587" s="172"/>
      <c r="AF587" s="172"/>
      <c r="AG587" s="172"/>
      <c r="AH587" s="172"/>
      <c r="AI587" s="172"/>
      <c r="AJ587" s="172"/>
      <c r="AK587" s="172"/>
      <c r="AL587" s="172"/>
      <c r="AM587" s="172"/>
    </row>
    <row r="588">
      <c r="A588" s="200"/>
      <c r="B588" s="188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2"/>
      <c r="AC588" s="172"/>
      <c r="AD588" s="172"/>
      <c r="AE588" s="172"/>
      <c r="AF588" s="172"/>
      <c r="AG588" s="172"/>
      <c r="AH588" s="172"/>
      <c r="AI588" s="172"/>
      <c r="AJ588" s="172"/>
      <c r="AK588" s="172"/>
      <c r="AL588" s="172"/>
      <c r="AM588" s="172"/>
    </row>
    <row r="589">
      <c r="A589" s="201"/>
      <c r="B589" s="188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2"/>
      <c r="AC589" s="172"/>
      <c r="AD589" s="172"/>
      <c r="AE589" s="172"/>
      <c r="AF589" s="172"/>
      <c r="AG589" s="172"/>
      <c r="AH589" s="172"/>
      <c r="AI589" s="172"/>
      <c r="AJ589" s="172"/>
      <c r="AK589" s="172"/>
      <c r="AL589" s="172"/>
      <c r="AM589" s="172"/>
    </row>
    <row r="590">
      <c r="A590" s="200"/>
      <c r="B590" s="188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2"/>
      <c r="AC590" s="172"/>
      <c r="AD590" s="172"/>
      <c r="AE590" s="172"/>
      <c r="AF590" s="172"/>
      <c r="AG590" s="172"/>
      <c r="AH590" s="172"/>
      <c r="AI590" s="172"/>
      <c r="AJ590" s="172"/>
      <c r="AK590" s="172"/>
      <c r="AL590" s="172"/>
      <c r="AM590" s="172"/>
    </row>
    <row r="591">
      <c r="A591" s="201"/>
      <c r="B591" s="188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2"/>
      <c r="AC591" s="172"/>
      <c r="AD591" s="172"/>
      <c r="AE591" s="172"/>
      <c r="AF591" s="172"/>
      <c r="AG591" s="172"/>
      <c r="AH591" s="172"/>
      <c r="AI591" s="172"/>
      <c r="AJ591" s="172"/>
      <c r="AK591" s="172"/>
      <c r="AL591" s="172"/>
      <c r="AM591" s="172"/>
    </row>
    <row r="592">
      <c r="A592" s="200"/>
      <c r="B592" s="188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72"/>
      <c r="AK592" s="172"/>
      <c r="AL592" s="172"/>
      <c r="AM592" s="172"/>
    </row>
    <row r="593">
      <c r="A593" s="201"/>
      <c r="B593" s="188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2"/>
      <c r="AC593" s="172"/>
      <c r="AD593" s="172"/>
      <c r="AE593" s="172"/>
      <c r="AF593" s="172"/>
      <c r="AG593" s="172"/>
      <c r="AH593" s="172"/>
      <c r="AI593" s="172"/>
      <c r="AJ593" s="172"/>
      <c r="AK593" s="172"/>
      <c r="AL593" s="172"/>
      <c r="AM593" s="172"/>
    </row>
    <row r="594">
      <c r="A594" s="200"/>
      <c r="B594" s="188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2"/>
      <c r="AC594" s="172"/>
      <c r="AD594" s="172"/>
      <c r="AE594" s="172"/>
      <c r="AF594" s="172"/>
      <c r="AG594" s="172"/>
      <c r="AH594" s="172"/>
      <c r="AI594" s="172"/>
      <c r="AJ594" s="172"/>
      <c r="AK594" s="172"/>
      <c r="AL594" s="172"/>
      <c r="AM594" s="172"/>
    </row>
    <row r="595">
      <c r="A595" s="201"/>
      <c r="B595" s="188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2"/>
      <c r="AC595" s="172"/>
      <c r="AD595" s="172"/>
      <c r="AE595" s="172"/>
      <c r="AF595" s="172"/>
      <c r="AG595" s="172"/>
      <c r="AH595" s="172"/>
      <c r="AI595" s="172"/>
      <c r="AJ595" s="172"/>
      <c r="AK595" s="172"/>
      <c r="AL595" s="172"/>
      <c r="AM595" s="172"/>
    </row>
    <row r="596">
      <c r="A596" s="200"/>
      <c r="B596" s="188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2"/>
      <c r="AC596" s="172"/>
      <c r="AD596" s="172"/>
      <c r="AE596" s="172"/>
      <c r="AF596" s="172"/>
      <c r="AG596" s="172"/>
      <c r="AH596" s="172"/>
      <c r="AI596" s="172"/>
      <c r="AJ596" s="172"/>
      <c r="AK596" s="172"/>
      <c r="AL596" s="172"/>
      <c r="AM596" s="172"/>
    </row>
    <row r="597">
      <c r="A597" s="201"/>
      <c r="B597" s="188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2"/>
      <c r="AC597" s="172"/>
      <c r="AD597" s="172"/>
      <c r="AE597" s="172"/>
      <c r="AF597" s="172"/>
      <c r="AG597" s="172"/>
      <c r="AH597" s="172"/>
      <c r="AI597" s="172"/>
      <c r="AJ597" s="172"/>
      <c r="AK597" s="172"/>
      <c r="AL597" s="172"/>
      <c r="AM597" s="172"/>
    </row>
    <row r="598">
      <c r="A598" s="200"/>
      <c r="B598" s="188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2"/>
      <c r="AC598" s="172"/>
      <c r="AD598" s="172"/>
      <c r="AE598" s="172"/>
      <c r="AF598" s="172"/>
      <c r="AG598" s="172"/>
      <c r="AH598" s="172"/>
      <c r="AI598" s="172"/>
      <c r="AJ598" s="172"/>
      <c r="AK598" s="172"/>
      <c r="AL598" s="172"/>
      <c r="AM598" s="172"/>
    </row>
    <row r="599">
      <c r="A599" s="201"/>
      <c r="B599" s="188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2"/>
      <c r="AC599" s="172"/>
      <c r="AD599" s="172"/>
      <c r="AE599" s="172"/>
      <c r="AF599" s="172"/>
      <c r="AG599" s="172"/>
      <c r="AH599" s="172"/>
      <c r="AI599" s="172"/>
      <c r="AJ599" s="172"/>
      <c r="AK599" s="172"/>
      <c r="AL599" s="172"/>
      <c r="AM599" s="172"/>
    </row>
    <row r="600">
      <c r="A600" s="200"/>
      <c r="B600" s="188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2"/>
      <c r="AC600" s="172"/>
      <c r="AD600" s="172"/>
      <c r="AE600" s="172"/>
      <c r="AF600" s="172"/>
      <c r="AG600" s="172"/>
      <c r="AH600" s="172"/>
      <c r="AI600" s="172"/>
      <c r="AJ600" s="172"/>
      <c r="AK600" s="172"/>
      <c r="AL600" s="172"/>
      <c r="AM600" s="172"/>
    </row>
    <row r="601">
      <c r="A601" s="201"/>
      <c r="B601" s="188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2"/>
      <c r="AC601" s="172"/>
      <c r="AD601" s="172"/>
      <c r="AE601" s="172"/>
      <c r="AF601" s="172"/>
      <c r="AG601" s="172"/>
      <c r="AH601" s="172"/>
      <c r="AI601" s="172"/>
      <c r="AJ601" s="172"/>
      <c r="AK601" s="172"/>
      <c r="AL601" s="172"/>
      <c r="AM601" s="172"/>
    </row>
    <row r="602">
      <c r="A602" s="200"/>
      <c r="B602" s="188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2"/>
      <c r="AC602" s="172"/>
      <c r="AD602" s="172"/>
      <c r="AE602" s="172"/>
      <c r="AF602" s="172"/>
      <c r="AG602" s="172"/>
      <c r="AH602" s="172"/>
      <c r="AI602" s="172"/>
      <c r="AJ602" s="172"/>
      <c r="AK602" s="172"/>
      <c r="AL602" s="172"/>
      <c r="AM602" s="172"/>
    </row>
    <row r="603">
      <c r="A603" s="201"/>
      <c r="B603" s="188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2"/>
      <c r="AC603" s="172"/>
      <c r="AD603" s="172"/>
      <c r="AE603" s="172"/>
      <c r="AF603" s="172"/>
      <c r="AG603" s="172"/>
      <c r="AH603" s="172"/>
      <c r="AI603" s="172"/>
      <c r="AJ603" s="172"/>
      <c r="AK603" s="172"/>
      <c r="AL603" s="172"/>
      <c r="AM603" s="172"/>
    </row>
    <row r="604">
      <c r="A604" s="200"/>
      <c r="B604" s="188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2"/>
      <c r="AC604" s="172"/>
      <c r="AD604" s="172"/>
      <c r="AE604" s="172"/>
      <c r="AF604" s="172"/>
      <c r="AG604" s="172"/>
      <c r="AH604" s="172"/>
      <c r="AI604" s="172"/>
      <c r="AJ604" s="172"/>
      <c r="AK604" s="172"/>
      <c r="AL604" s="172"/>
      <c r="AM604" s="172"/>
    </row>
    <row r="605">
      <c r="A605" s="201"/>
      <c r="B605" s="188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2"/>
      <c r="AC605" s="172"/>
      <c r="AD605" s="172"/>
      <c r="AE605" s="172"/>
      <c r="AF605" s="172"/>
      <c r="AG605" s="172"/>
      <c r="AH605" s="172"/>
      <c r="AI605" s="172"/>
      <c r="AJ605" s="172"/>
      <c r="AK605" s="172"/>
      <c r="AL605" s="172"/>
      <c r="AM605" s="172"/>
    </row>
    <row r="606">
      <c r="A606" s="200"/>
      <c r="B606" s="188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2"/>
      <c r="AC606" s="172"/>
      <c r="AD606" s="172"/>
      <c r="AE606" s="172"/>
      <c r="AF606" s="172"/>
      <c r="AG606" s="172"/>
      <c r="AH606" s="172"/>
      <c r="AI606" s="172"/>
      <c r="AJ606" s="172"/>
      <c r="AK606" s="172"/>
      <c r="AL606" s="172"/>
      <c r="AM606" s="172"/>
    </row>
    <row r="607">
      <c r="A607" s="201"/>
      <c r="B607" s="188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2"/>
      <c r="AC607" s="172"/>
      <c r="AD607" s="172"/>
      <c r="AE607" s="172"/>
      <c r="AF607" s="172"/>
      <c r="AG607" s="172"/>
      <c r="AH607" s="172"/>
      <c r="AI607" s="172"/>
      <c r="AJ607" s="172"/>
      <c r="AK607" s="172"/>
      <c r="AL607" s="172"/>
      <c r="AM607" s="172"/>
    </row>
    <row r="608">
      <c r="A608" s="200"/>
      <c r="B608" s="188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2"/>
      <c r="AC608" s="172"/>
      <c r="AD608" s="172"/>
      <c r="AE608" s="172"/>
      <c r="AF608" s="172"/>
      <c r="AG608" s="172"/>
      <c r="AH608" s="172"/>
      <c r="AI608" s="172"/>
      <c r="AJ608" s="172"/>
      <c r="AK608" s="172"/>
      <c r="AL608" s="172"/>
      <c r="AM608" s="172"/>
    </row>
    <row r="609">
      <c r="A609" s="201"/>
      <c r="B609" s="188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2"/>
      <c r="AC609" s="172"/>
      <c r="AD609" s="172"/>
      <c r="AE609" s="172"/>
      <c r="AF609" s="172"/>
      <c r="AG609" s="172"/>
      <c r="AH609" s="172"/>
      <c r="AI609" s="172"/>
      <c r="AJ609" s="172"/>
      <c r="AK609" s="172"/>
      <c r="AL609" s="172"/>
      <c r="AM609" s="172"/>
    </row>
    <row r="610">
      <c r="A610" s="200"/>
      <c r="B610" s="188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2"/>
      <c r="AC610" s="172"/>
      <c r="AD610" s="172"/>
      <c r="AE610" s="172"/>
      <c r="AF610" s="172"/>
      <c r="AG610" s="172"/>
      <c r="AH610" s="172"/>
      <c r="AI610" s="172"/>
      <c r="AJ610" s="172"/>
      <c r="AK610" s="172"/>
      <c r="AL610" s="172"/>
      <c r="AM610" s="172"/>
    </row>
    <row r="611">
      <c r="A611" s="201"/>
      <c r="B611" s="188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2"/>
      <c r="AC611" s="172"/>
      <c r="AD611" s="172"/>
      <c r="AE611" s="172"/>
      <c r="AF611" s="172"/>
      <c r="AG611" s="172"/>
      <c r="AH611" s="172"/>
      <c r="AI611" s="172"/>
      <c r="AJ611" s="172"/>
      <c r="AK611" s="172"/>
      <c r="AL611" s="172"/>
      <c r="AM611" s="172"/>
    </row>
    <row r="612">
      <c r="A612" s="200"/>
      <c r="B612" s="188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2"/>
      <c r="AC612" s="172"/>
      <c r="AD612" s="172"/>
      <c r="AE612" s="172"/>
      <c r="AF612" s="172"/>
      <c r="AG612" s="172"/>
      <c r="AH612" s="172"/>
      <c r="AI612" s="172"/>
      <c r="AJ612" s="172"/>
      <c r="AK612" s="172"/>
      <c r="AL612" s="172"/>
      <c r="AM612" s="172"/>
    </row>
    <row r="613">
      <c r="A613" s="201"/>
      <c r="B613" s="188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2"/>
      <c r="AC613" s="172"/>
      <c r="AD613" s="172"/>
      <c r="AE613" s="172"/>
      <c r="AF613" s="172"/>
      <c r="AG613" s="172"/>
      <c r="AH613" s="172"/>
      <c r="AI613" s="172"/>
      <c r="AJ613" s="172"/>
      <c r="AK613" s="172"/>
      <c r="AL613" s="172"/>
      <c r="AM613" s="172"/>
    </row>
    <row r="614">
      <c r="A614" s="200"/>
      <c r="B614" s="188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2"/>
      <c r="AC614" s="172"/>
      <c r="AD614" s="172"/>
      <c r="AE614" s="172"/>
      <c r="AF614" s="172"/>
      <c r="AG614" s="172"/>
      <c r="AH614" s="172"/>
      <c r="AI614" s="172"/>
      <c r="AJ614" s="172"/>
      <c r="AK614" s="172"/>
      <c r="AL614" s="172"/>
      <c r="AM614" s="172"/>
    </row>
    <row r="615">
      <c r="A615" s="201"/>
      <c r="B615" s="188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2"/>
      <c r="AC615" s="172"/>
      <c r="AD615" s="172"/>
      <c r="AE615" s="172"/>
      <c r="AF615" s="172"/>
      <c r="AG615" s="172"/>
      <c r="AH615" s="172"/>
      <c r="AI615" s="172"/>
      <c r="AJ615" s="172"/>
      <c r="AK615" s="172"/>
      <c r="AL615" s="172"/>
      <c r="AM615" s="172"/>
    </row>
    <row r="616">
      <c r="A616" s="200"/>
      <c r="B616" s="188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2"/>
      <c r="AC616" s="172"/>
      <c r="AD616" s="172"/>
      <c r="AE616" s="172"/>
      <c r="AF616" s="172"/>
      <c r="AG616" s="172"/>
      <c r="AH616" s="172"/>
      <c r="AI616" s="172"/>
      <c r="AJ616" s="172"/>
      <c r="AK616" s="172"/>
      <c r="AL616" s="172"/>
      <c r="AM616" s="172"/>
    </row>
    <row r="617">
      <c r="A617" s="201"/>
      <c r="B617" s="188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2"/>
      <c r="AC617" s="172"/>
      <c r="AD617" s="172"/>
      <c r="AE617" s="172"/>
      <c r="AF617" s="172"/>
      <c r="AG617" s="172"/>
      <c r="AH617" s="172"/>
      <c r="AI617" s="172"/>
      <c r="AJ617" s="172"/>
      <c r="AK617" s="172"/>
      <c r="AL617" s="172"/>
      <c r="AM617" s="172"/>
    </row>
    <row r="618">
      <c r="A618" s="200"/>
      <c r="B618" s="188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2"/>
      <c r="AC618" s="172"/>
      <c r="AD618" s="172"/>
      <c r="AE618" s="172"/>
      <c r="AF618" s="172"/>
      <c r="AG618" s="172"/>
      <c r="AH618" s="172"/>
      <c r="AI618" s="172"/>
      <c r="AJ618" s="172"/>
      <c r="AK618" s="172"/>
      <c r="AL618" s="172"/>
      <c r="AM618" s="172"/>
    </row>
    <row r="619">
      <c r="A619" s="201"/>
      <c r="B619" s="188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2"/>
      <c r="AC619" s="172"/>
      <c r="AD619" s="172"/>
      <c r="AE619" s="172"/>
      <c r="AF619" s="172"/>
      <c r="AG619" s="172"/>
      <c r="AH619" s="172"/>
      <c r="AI619" s="172"/>
      <c r="AJ619" s="172"/>
      <c r="AK619" s="172"/>
      <c r="AL619" s="172"/>
      <c r="AM619" s="172"/>
    </row>
    <row r="620">
      <c r="A620" s="200"/>
      <c r="B620" s="188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2"/>
      <c r="AC620" s="172"/>
      <c r="AD620" s="172"/>
      <c r="AE620" s="172"/>
      <c r="AF620" s="172"/>
      <c r="AG620" s="172"/>
      <c r="AH620" s="172"/>
      <c r="AI620" s="172"/>
      <c r="AJ620" s="172"/>
      <c r="AK620" s="172"/>
      <c r="AL620" s="172"/>
      <c r="AM620" s="172"/>
    </row>
    <row r="621">
      <c r="A621" s="201"/>
      <c r="B621" s="188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2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</row>
    <row r="622">
      <c r="A622" s="200"/>
      <c r="B622" s="188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2"/>
      <c r="AC622" s="172"/>
      <c r="AD622" s="172"/>
      <c r="AE622" s="172"/>
      <c r="AF622" s="172"/>
      <c r="AG622" s="172"/>
      <c r="AH622" s="172"/>
      <c r="AI622" s="172"/>
      <c r="AJ622" s="172"/>
      <c r="AK622" s="172"/>
      <c r="AL622" s="172"/>
      <c r="AM622" s="172"/>
    </row>
    <row r="623">
      <c r="A623" s="201"/>
      <c r="B623" s="188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2"/>
      <c r="AC623" s="172"/>
      <c r="AD623" s="172"/>
      <c r="AE623" s="172"/>
      <c r="AF623" s="172"/>
      <c r="AG623" s="172"/>
      <c r="AH623" s="172"/>
      <c r="AI623" s="172"/>
      <c r="AJ623" s="172"/>
      <c r="AK623" s="172"/>
      <c r="AL623" s="172"/>
      <c r="AM623" s="172"/>
    </row>
    <row r="624">
      <c r="A624" s="200"/>
      <c r="B624" s="188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2"/>
      <c r="AC624" s="172"/>
      <c r="AD624" s="172"/>
      <c r="AE624" s="172"/>
      <c r="AF624" s="172"/>
      <c r="AG624" s="172"/>
      <c r="AH624" s="172"/>
      <c r="AI624" s="172"/>
      <c r="AJ624" s="172"/>
      <c r="AK624" s="172"/>
      <c r="AL624" s="172"/>
      <c r="AM624" s="172"/>
    </row>
    <row r="625">
      <c r="A625" s="201"/>
      <c r="B625" s="188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2"/>
      <c r="AC625" s="172"/>
      <c r="AD625" s="172"/>
      <c r="AE625" s="172"/>
      <c r="AF625" s="172"/>
      <c r="AG625" s="172"/>
      <c r="AH625" s="172"/>
      <c r="AI625" s="172"/>
      <c r="AJ625" s="172"/>
      <c r="AK625" s="172"/>
      <c r="AL625" s="172"/>
      <c r="AM625" s="172"/>
    </row>
    <row r="626">
      <c r="A626" s="200"/>
      <c r="B626" s="188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2"/>
      <c r="AC626" s="172"/>
      <c r="AD626" s="172"/>
      <c r="AE626" s="172"/>
      <c r="AF626" s="172"/>
      <c r="AG626" s="172"/>
      <c r="AH626" s="172"/>
      <c r="AI626" s="172"/>
      <c r="AJ626" s="172"/>
      <c r="AK626" s="172"/>
      <c r="AL626" s="172"/>
      <c r="AM626" s="172"/>
    </row>
    <row r="627">
      <c r="A627" s="201"/>
      <c r="B627" s="188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2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</row>
    <row r="628">
      <c r="A628" s="200"/>
      <c r="B628" s="188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2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</row>
    <row r="629">
      <c r="A629" s="201"/>
      <c r="B629" s="188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2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</row>
    <row r="630">
      <c r="A630" s="200"/>
      <c r="B630" s="188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2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</row>
    <row r="631">
      <c r="A631" s="201"/>
      <c r="B631" s="188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2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</row>
    <row r="632">
      <c r="A632" s="200"/>
      <c r="B632" s="188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2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</row>
    <row r="633">
      <c r="A633" s="201"/>
      <c r="B633" s="188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2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</row>
    <row r="634">
      <c r="A634" s="200"/>
      <c r="B634" s="188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2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</row>
    <row r="635">
      <c r="A635" s="201"/>
      <c r="B635" s="188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2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</row>
    <row r="636">
      <c r="A636" s="200"/>
      <c r="B636" s="188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2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</row>
    <row r="637">
      <c r="A637" s="201"/>
      <c r="B637" s="188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2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</row>
    <row r="638">
      <c r="A638" s="200"/>
      <c r="B638" s="188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2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</row>
    <row r="639">
      <c r="A639" s="201"/>
      <c r="B639" s="188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2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</row>
    <row r="640">
      <c r="A640" s="200"/>
      <c r="B640" s="188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2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</row>
    <row r="641">
      <c r="A641" s="201"/>
      <c r="B641" s="188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2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</row>
    <row r="642">
      <c r="A642" s="200"/>
      <c r="B642" s="188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2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</row>
    <row r="643">
      <c r="A643" s="201"/>
      <c r="B643" s="188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2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</row>
    <row r="644">
      <c r="A644" s="200"/>
      <c r="B644" s="188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2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</row>
    <row r="645">
      <c r="A645" s="201"/>
      <c r="B645" s="188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2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</row>
    <row r="646">
      <c r="A646" s="200"/>
      <c r="B646" s="188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2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</row>
    <row r="647">
      <c r="A647" s="201"/>
      <c r="B647" s="188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2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</row>
    <row r="648">
      <c r="A648" s="200"/>
      <c r="B648" s="188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2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</row>
    <row r="649">
      <c r="A649" s="201"/>
      <c r="B649" s="188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2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</row>
    <row r="650">
      <c r="A650" s="200"/>
      <c r="B650" s="188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2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</row>
    <row r="651">
      <c r="A651" s="201"/>
      <c r="B651" s="188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2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</row>
    <row r="652">
      <c r="A652" s="200"/>
      <c r="B652" s="188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2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</row>
    <row r="653">
      <c r="A653" s="201"/>
      <c r="B653" s="188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2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</row>
    <row r="654">
      <c r="A654" s="200"/>
      <c r="B654" s="188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2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</row>
    <row r="655">
      <c r="A655" s="201"/>
      <c r="B655" s="188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2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</row>
    <row r="656">
      <c r="A656" s="200"/>
      <c r="B656" s="188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2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</row>
    <row r="657">
      <c r="A657" s="201"/>
      <c r="B657" s="188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2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</row>
    <row r="658">
      <c r="A658" s="200"/>
      <c r="B658" s="188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2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</row>
    <row r="659">
      <c r="A659" s="201"/>
      <c r="B659" s="188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2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</row>
    <row r="660">
      <c r="A660" s="200"/>
      <c r="B660" s="188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2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</row>
    <row r="661">
      <c r="A661" s="201"/>
      <c r="B661" s="188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2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</row>
    <row r="662">
      <c r="A662" s="200"/>
      <c r="B662" s="188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2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</row>
    <row r="663">
      <c r="A663" s="201"/>
      <c r="B663" s="188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2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</row>
    <row r="664">
      <c r="A664" s="200"/>
      <c r="B664" s="188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2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</row>
    <row r="665">
      <c r="A665" s="201"/>
      <c r="B665" s="188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2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</row>
    <row r="666">
      <c r="A666" s="200"/>
      <c r="B666" s="188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2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</row>
    <row r="667">
      <c r="A667" s="201"/>
      <c r="B667" s="188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2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</row>
    <row r="668">
      <c r="A668" s="200"/>
      <c r="B668" s="188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2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</row>
    <row r="669">
      <c r="A669" s="201"/>
      <c r="B669" s="188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2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</row>
    <row r="670">
      <c r="A670" s="200"/>
      <c r="B670" s="188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2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</row>
    <row r="671">
      <c r="A671" s="201"/>
      <c r="B671" s="188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2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</row>
    <row r="672">
      <c r="A672" s="200"/>
      <c r="B672" s="188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2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</row>
    <row r="673">
      <c r="A673" s="201"/>
      <c r="B673" s="188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2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</row>
    <row r="674">
      <c r="A674" s="200"/>
      <c r="B674" s="188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2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</row>
    <row r="675">
      <c r="A675" s="201"/>
      <c r="B675" s="188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2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</row>
    <row r="676">
      <c r="A676" s="200"/>
      <c r="B676" s="188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2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</row>
    <row r="677">
      <c r="A677" s="201"/>
      <c r="B677" s="188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2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</row>
    <row r="678">
      <c r="A678" s="200"/>
      <c r="B678" s="188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2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</row>
    <row r="679">
      <c r="A679" s="201"/>
      <c r="B679" s="188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2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</row>
    <row r="680">
      <c r="A680" s="200"/>
      <c r="B680" s="188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2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</row>
    <row r="681">
      <c r="A681" s="201"/>
      <c r="B681" s="188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2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</row>
    <row r="682">
      <c r="A682" s="200"/>
      <c r="B682" s="188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2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</row>
    <row r="683">
      <c r="A683" s="201"/>
      <c r="B683" s="188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2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</row>
    <row r="684">
      <c r="A684" s="200"/>
      <c r="B684" s="188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2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</row>
    <row r="685">
      <c r="A685" s="201"/>
      <c r="B685" s="188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2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</row>
    <row r="686">
      <c r="A686" s="200"/>
      <c r="B686" s="188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2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</row>
    <row r="687">
      <c r="A687" s="201"/>
      <c r="B687" s="188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2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</row>
    <row r="688">
      <c r="A688" s="200"/>
      <c r="B688" s="188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2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</row>
    <row r="689">
      <c r="A689" s="201"/>
      <c r="B689" s="188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2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</row>
    <row r="690">
      <c r="A690" s="200"/>
      <c r="B690" s="188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2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</row>
    <row r="691">
      <c r="A691" s="201"/>
      <c r="B691" s="188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2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</row>
    <row r="692">
      <c r="A692" s="200"/>
      <c r="B692" s="188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2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</row>
    <row r="693">
      <c r="A693" s="201"/>
      <c r="B693" s="188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2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</row>
    <row r="694">
      <c r="A694" s="200"/>
      <c r="B694" s="188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2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</row>
    <row r="695">
      <c r="A695" s="201"/>
      <c r="B695" s="188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2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</row>
    <row r="696">
      <c r="A696" s="200"/>
      <c r="B696" s="188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2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</row>
    <row r="697">
      <c r="A697" s="201"/>
      <c r="B697" s="188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2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</row>
    <row r="698">
      <c r="A698" s="200"/>
      <c r="B698" s="188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2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</row>
    <row r="699">
      <c r="A699" s="201"/>
      <c r="B699" s="188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2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</row>
    <row r="700">
      <c r="A700" s="200"/>
      <c r="B700" s="188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2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</row>
    <row r="701">
      <c r="A701" s="201"/>
      <c r="B701" s="188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2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</row>
    <row r="702">
      <c r="A702" s="200"/>
      <c r="B702" s="188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2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</row>
    <row r="703">
      <c r="A703" s="201"/>
      <c r="B703" s="188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2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</row>
    <row r="704">
      <c r="A704" s="200"/>
      <c r="B704" s="188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2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</row>
    <row r="705">
      <c r="A705" s="201"/>
      <c r="B705" s="188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2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</row>
    <row r="706">
      <c r="A706" s="200"/>
      <c r="B706" s="188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2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</row>
    <row r="707">
      <c r="A707" s="201"/>
      <c r="B707" s="188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2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</row>
    <row r="708">
      <c r="A708" s="200"/>
      <c r="B708" s="188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2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</row>
    <row r="709">
      <c r="A709" s="201"/>
      <c r="B709" s="188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2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</row>
    <row r="710">
      <c r="A710" s="200"/>
      <c r="B710" s="188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2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</row>
    <row r="711">
      <c r="A711" s="201"/>
      <c r="B711" s="188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2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</row>
    <row r="712">
      <c r="A712" s="200"/>
      <c r="B712" s="188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2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</row>
    <row r="713">
      <c r="A713" s="201"/>
      <c r="B713" s="188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2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</row>
    <row r="714">
      <c r="A714" s="200"/>
      <c r="B714" s="188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2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</row>
    <row r="715">
      <c r="A715" s="201"/>
      <c r="B715" s="188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2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</row>
    <row r="716">
      <c r="A716" s="200"/>
      <c r="B716" s="188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2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</row>
    <row r="717">
      <c r="A717" s="201"/>
      <c r="B717" s="188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2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</row>
    <row r="718">
      <c r="A718" s="200"/>
      <c r="B718" s="188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2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</row>
    <row r="719">
      <c r="A719" s="201"/>
      <c r="B719" s="188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2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</row>
    <row r="720">
      <c r="A720" s="200"/>
      <c r="B720" s="188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2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</row>
    <row r="721">
      <c r="A721" s="201"/>
      <c r="B721" s="188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2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</row>
    <row r="722">
      <c r="A722" s="200"/>
      <c r="B722" s="188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2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</row>
    <row r="723">
      <c r="A723" s="201"/>
      <c r="B723" s="188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2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</row>
    <row r="724">
      <c r="A724" s="200"/>
      <c r="B724" s="188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2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</row>
    <row r="725">
      <c r="A725" s="201"/>
      <c r="B725" s="188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2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</row>
    <row r="726">
      <c r="A726" s="200"/>
      <c r="B726" s="188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2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</row>
    <row r="727">
      <c r="A727" s="201"/>
      <c r="B727" s="188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2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</row>
    <row r="728">
      <c r="A728" s="200"/>
      <c r="B728" s="188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2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</row>
    <row r="729">
      <c r="A729" s="201"/>
      <c r="B729" s="188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2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</row>
    <row r="730">
      <c r="A730" s="200"/>
      <c r="B730" s="188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2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</row>
    <row r="731">
      <c r="A731" s="201"/>
      <c r="B731" s="188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2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</row>
    <row r="732">
      <c r="A732" s="200"/>
      <c r="B732" s="188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2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</row>
    <row r="733">
      <c r="A733" s="201"/>
      <c r="B733" s="188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2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</row>
    <row r="734">
      <c r="A734" s="200"/>
      <c r="B734" s="188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2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</row>
    <row r="735">
      <c r="A735" s="201"/>
      <c r="B735" s="188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2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</row>
    <row r="736">
      <c r="A736" s="200"/>
      <c r="B736" s="188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2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</row>
    <row r="737">
      <c r="A737" s="201"/>
      <c r="B737" s="188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2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</row>
    <row r="738">
      <c r="A738" s="200"/>
      <c r="B738" s="188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2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</row>
    <row r="739">
      <c r="A739" s="201"/>
      <c r="B739" s="188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2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</row>
    <row r="740">
      <c r="A740" s="200"/>
      <c r="B740" s="188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2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</row>
    <row r="741">
      <c r="A741" s="201"/>
      <c r="B741" s="188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2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</row>
    <row r="742">
      <c r="A742" s="200"/>
      <c r="B742" s="188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2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</row>
    <row r="743">
      <c r="A743" s="201"/>
      <c r="B743" s="188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2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</row>
    <row r="744">
      <c r="A744" s="200"/>
      <c r="B744" s="188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2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</row>
    <row r="745">
      <c r="A745" s="201"/>
      <c r="B745" s="188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2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</row>
    <row r="746">
      <c r="A746" s="200"/>
      <c r="B746" s="188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2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</row>
    <row r="747">
      <c r="A747" s="201"/>
      <c r="B747" s="188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2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</row>
    <row r="748">
      <c r="A748" s="200"/>
      <c r="B748" s="188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2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</row>
    <row r="749">
      <c r="A749" s="201"/>
      <c r="B749" s="188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2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</row>
    <row r="750">
      <c r="A750" s="200"/>
      <c r="B750" s="188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2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</row>
    <row r="751">
      <c r="A751" s="201"/>
      <c r="B751" s="188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2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</row>
    <row r="752">
      <c r="A752" s="200"/>
      <c r="B752" s="188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2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</row>
    <row r="753">
      <c r="A753" s="201"/>
      <c r="B753" s="188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2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</row>
    <row r="754">
      <c r="A754" s="200"/>
      <c r="B754" s="188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2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</row>
    <row r="755">
      <c r="A755" s="201"/>
      <c r="B755" s="188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2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</row>
    <row r="756">
      <c r="A756" s="200"/>
      <c r="B756" s="188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2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</row>
    <row r="757">
      <c r="A757" s="201"/>
      <c r="B757" s="188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2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</row>
    <row r="758">
      <c r="A758" s="200"/>
      <c r="B758" s="188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2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</row>
    <row r="759">
      <c r="A759" s="201"/>
      <c r="B759" s="188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2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</row>
    <row r="760">
      <c r="A760" s="200"/>
      <c r="B760" s="188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</row>
    <row r="761">
      <c r="A761" s="201"/>
      <c r="B761" s="188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2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</row>
    <row r="762">
      <c r="A762" s="200"/>
      <c r="B762" s="188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2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</row>
    <row r="763">
      <c r="A763" s="201"/>
      <c r="B763" s="188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2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</row>
    <row r="764">
      <c r="A764" s="200"/>
      <c r="B764" s="188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2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</row>
    <row r="765">
      <c r="A765" s="201"/>
      <c r="B765" s="188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2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</row>
    <row r="766">
      <c r="A766" s="200"/>
      <c r="B766" s="188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2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</row>
    <row r="767">
      <c r="A767" s="201"/>
      <c r="B767" s="188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2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</row>
    <row r="768">
      <c r="A768" s="200"/>
      <c r="B768" s="188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2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</row>
    <row r="769">
      <c r="A769" s="201"/>
      <c r="B769" s="188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2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</row>
    <row r="770">
      <c r="A770" s="200"/>
      <c r="B770" s="188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2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</row>
    <row r="771">
      <c r="A771" s="201"/>
      <c r="B771" s="188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2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</row>
    <row r="772">
      <c r="A772" s="200"/>
      <c r="B772" s="188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2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</row>
    <row r="773">
      <c r="A773" s="201"/>
      <c r="B773" s="188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2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</row>
    <row r="774">
      <c r="A774" s="200"/>
      <c r="B774" s="188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2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</row>
    <row r="775">
      <c r="A775" s="201"/>
      <c r="B775" s="188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2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</row>
    <row r="776">
      <c r="A776" s="200"/>
      <c r="B776" s="188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2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</row>
    <row r="777">
      <c r="A777" s="201"/>
      <c r="B777" s="188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2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</row>
    <row r="778">
      <c r="A778" s="200"/>
      <c r="B778" s="188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2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</row>
    <row r="779">
      <c r="A779" s="201"/>
      <c r="B779" s="188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2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</row>
    <row r="780">
      <c r="A780" s="200"/>
      <c r="B780" s="188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2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</row>
    <row r="781">
      <c r="A781" s="201"/>
      <c r="B781" s="188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2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</row>
    <row r="782">
      <c r="A782" s="200"/>
      <c r="B782" s="188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2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</row>
    <row r="783">
      <c r="A783" s="201"/>
      <c r="B783" s="188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2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</row>
    <row r="784">
      <c r="A784" s="200"/>
      <c r="B784" s="188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2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</row>
    <row r="785">
      <c r="A785" s="201"/>
      <c r="B785" s="188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2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</row>
    <row r="786">
      <c r="A786" s="200"/>
      <c r="B786" s="188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2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</row>
    <row r="787">
      <c r="A787" s="201"/>
      <c r="B787" s="188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2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</row>
    <row r="788">
      <c r="A788" s="200"/>
      <c r="B788" s="188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2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</row>
    <row r="789">
      <c r="A789" s="201"/>
      <c r="B789" s="188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2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</row>
    <row r="790">
      <c r="A790" s="200"/>
      <c r="B790" s="188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2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</row>
    <row r="791">
      <c r="A791" s="201"/>
      <c r="B791" s="188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2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</row>
    <row r="792">
      <c r="A792" s="200"/>
      <c r="B792" s="188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2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</row>
    <row r="793">
      <c r="A793" s="201"/>
      <c r="B793" s="188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2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</row>
    <row r="794">
      <c r="A794" s="200"/>
      <c r="B794" s="188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2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</row>
    <row r="795">
      <c r="A795" s="201"/>
      <c r="B795" s="188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2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</row>
    <row r="796">
      <c r="A796" s="200"/>
      <c r="B796" s="188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2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</row>
    <row r="797">
      <c r="A797" s="201"/>
      <c r="B797" s="188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2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</row>
    <row r="798">
      <c r="A798" s="200"/>
      <c r="B798" s="188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2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</row>
    <row r="799">
      <c r="A799" s="201"/>
      <c r="B799" s="188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2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</row>
    <row r="800">
      <c r="A800" s="200"/>
      <c r="B800" s="188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2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</row>
    <row r="801">
      <c r="A801" s="201"/>
      <c r="B801" s="188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2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</row>
    <row r="802">
      <c r="A802" s="200"/>
      <c r="B802" s="188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</row>
    <row r="803">
      <c r="A803" s="201"/>
      <c r="B803" s="188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2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</row>
    <row r="804">
      <c r="A804" s="200"/>
      <c r="B804" s="188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2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</row>
    <row r="805">
      <c r="A805" s="201"/>
      <c r="B805" s="188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2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</row>
    <row r="806">
      <c r="A806" s="200"/>
      <c r="B806" s="188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2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</row>
    <row r="807">
      <c r="A807" s="201"/>
      <c r="B807" s="188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2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</row>
    <row r="808">
      <c r="A808" s="200"/>
      <c r="B808" s="188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2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</row>
    <row r="809">
      <c r="A809" s="201"/>
      <c r="B809" s="188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2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</row>
    <row r="810">
      <c r="A810" s="200"/>
      <c r="B810" s="188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2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</row>
    <row r="811">
      <c r="A811" s="201"/>
      <c r="B811" s="188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2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</row>
    <row r="812">
      <c r="A812" s="200"/>
      <c r="B812" s="188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2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</row>
    <row r="813">
      <c r="A813" s="201"/>
      <c r="B813" s="188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2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</row>
    <row r="814">
      <c r="A814" s="200"/>
      <c r="B814" s="188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2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</row>
    <row r="815">
      <c r="A815" s="201"/>
      <c r="B815" s="188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2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</row>
    <row r="816">
      <c r="A816" s="200"/>
      <c r="B816" s="188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2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</row>
    <row r="817">
      <c r="A817" s="201"/>
      <c r="B817" s="188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2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</row>
    <row r="818">
      <c r="A818" s="200"/>
      <c r="B818" s="188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2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</row>
    <row r="819">
      <c r="A819" s="201"/>
      <c r="B819" s="188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2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</row>
    <row r="820">
      <c r="A820" s="200"/>
      <c r="B820" s="188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2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</row>
    <row r="821">
      <c r="A821" s="201"/>
      <c r="B821" s="188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2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</row>
    <row r="822">
      <c r="A822" s="200"/>
      <c r="B822" s="188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2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</row>
    <row r="823">
      <c r="A823" s="201"/>
      <c r="B823" s="188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2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</row>
    <row r="824">
      <c r="A824" s="200"/>
      <c r="B824" s="188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2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</row>
    <row r="825">
      <c r="A825" s="201"/>
      <c r="B825" s="188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2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</row>
    <row r="826">
      <c r="A826" s="200"/>
      <c r="B826" s="188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2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</row>
    <row r="827">
      <c r="A827" s="201"/>
      <c r="B827" s="188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2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</row>
    <row r="828">
      <c r="A828" s="200"/>
      <c r="B828" s="188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2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</row>
    <row r="829">
      <c r="A829" s="201"/>
      <c r="B829" s="188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2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</row>
    <row r="830">
      <c r="A830" s="200"/>
      <c r="B830" s="188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2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</row>
    <row r="831">
      <c r="A831" s="201"/>
      <c r="B831" s="188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2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</row>
    <row r="832">
      <c r="A832" s="200"/>
      <c r="B832" s="188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2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</row>
    <row r="833">
      <c r="A833" s="201"/>
      <c r="B833" s="188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2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</row>
    <row r="834">
      <c r="A834" s="200"/>
      <c r="B834" s="188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2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</row>
    <row r="835">
      <c r="A835" s="201"/>
      <c r="B835" s="188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2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</row>
    <row r="836">
      <c r="A836" s="200"/>
      <c r="B836" s="188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2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</row>
    <row r="837">
      <c r="A837" s="201"/>
      <c r="B837" s="188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2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</row>
    <row r="838">
      <c r="A838" s="200"/>
      <c r="B838" s="188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2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</row>
    <row r="839">
      <c r="A839" s="201"/>
      <c r="B839" s="188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2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</row>
    <row r="840">
      <c r="A840" s="200"/>
      <c r="B840" s="188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2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</row>
    <row r="841">
      <c r="A841" s="201"/>
      <c r="B841" s="188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2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</row>
    <row r="842">
      <c r="A842" s="200"/>
      <c r="B842" s="188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2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</row>
    <row r="843">
      <c r="A843" s="201"/>
      <c r="B843" s="188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2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</row>
    <row r="844">
      <c r="A844" s="200"/>
      <c r="B844" s="188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</row>
    <row r="845">
      <c r="A845" s="201"/>
      <c r="B845" s="188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2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</row>
    <row r="846">
      <c r="A846" s="200"/>
      <c r="B846" s="188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2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</row>
    <row r="847">
      <c r="A847" s="201"/>
      <c r="B847" s="188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2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</row>
    <row r="848">
      <c r="A848" s="200"/>
      <c r="B848" s="188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2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</row>
    <row r="849">
      <c r="A849" s="201"/>
      <c r="B849" s="188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2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</row>
    <row r="850">
      <c r="A850" s="200"/>
      <c r="B850" s="188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2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</row>
    <row r="851">
      <c r="A851" s="201"/>
      <c r="B851" s="188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2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</row>
    <row r="852">
      <c r="A852" s="200"/>
      <c r="B852" s="188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2"/>
      <c r="AC852" s="172"/>
      <c r="AD852" s="172"/>
      <c r="AE852" s="172"/>
      <c r="AF852" s="172"/>
      <c r="AG852" s="172"/>
      <c r="AH852" s="172"/>
      <c r="AI852" s="172"/>
      <c r="AJ852" s="172"/>
      <c r="AK852" s="172"/>
      <c r="AL852" s="172"/>
      <c r="AM852" s="172"/>
    </row>
    <row r="853">
      <c r="A853" s="201"/>
      <c r="B853" s="188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2"/>
      <c r="AC853" s="172"/>
      <c r="AD853" s="172"/>
      <c r="AE853" s="172"/>
      <c r="AF853" s="172"/>
      <c r="AG853" s="172"/>
      <c r="AH853" s="172"/>
      <c r="AI853" s="172"/>
      <c r="AJ853" s="172"/>
      <c r="AK853" s="172"/>
      <c r="AL853" s="172"/>
      <c r="AM853" s="172"/>
    </row>
    <row r="854">
      <c r="A854" s="200"/>
      <c r="B854" s="188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2"/>
      <c r="AC854" s="172"/>
      <c r="AD854" s="172"/>
      <c r="AE854" s="172"/>
      <c r="AF854" s="172"/>
      <c r="AG854" s="172"/>
      <c r="AH854" s="172"/>
      <c r="AI854" s="172"/>
      <c r="AJ854" s="172"/>
      <c r="AK854" s="172"/>
      <c r="AL854" s="172"/>
      <c r="AM854" s="172"/>
    </row>
    <row r="855">
      <c r="A855" s="201"/>
      <c r="B855" s="188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2"/>
      <c r="AC855" s="172"/>
      <c r="AD855" s="172"/>
      <c r="AE855" s="172"/>
      <c r="AF855" s="172"/>
      <c r="AG855" s="172"/>
      <c r="AH855" s="172"/>
      <c r="AI855" s="172"/>
      <c r="AJ855" s="172"/>
      <c r="AK855" s="172"/>
      <c r="AL855" s="172"/>
      <c r="AM855" s="172"/>
    </row>
    <row r="856">
      <c r="A856" s="200"/>
      <c r="B856" s="188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2"/>
      <c r="AC856" s="172"/>
      <c r="AD856" s="172"/>
      <c r="AE856" s="172"/>
      <c r="AF856" s="172"/>
      <c r="AG856" s="172"/>
      <c r="AH856" s="172"/>
      <c r="AI856" s="172"/>
      <c r="AJ856" s="172"/>
      <c r="AK856" s="172"/>
      <c r="AL856" s="172"/>
      <c r="AM856" s="172"/>
    </row>
    <row r="857">
      <c r="A857" s="201"/>
      <c r="B857" s="188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2"/>
      <c r="AC857" s="172"/>
      <c r="AD857" s="172"/>
      <c r="AE857" s="172"/>
      <c r="AF857" s="172"/>
      <c r="AG857" s="172"/>
      <c r="AH857" s="172"/>
      <c r="AI857" s="172"/>
      <c r="AJ857" s="172"/>
      <c r="AK857" s="172"/>
      <c r="AL857" s="172"/>
      <c r="AM857" s="172"/>
    </row>
    <row r="858">
      <c r="A858" s="200"/>
      <c r="B858" s="188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2"/>
      <c r="AC858" s="172"/>
      <c r="AD858" s="172"/>
      <c r="AE858" s="172"/>
      <c r="AF858" s="172"/>
      <c r="AG858" s="172"/>
      <c r="AH858" s="172"/>
      <c r="AI858" s="172"/>
      <c r="AJ858" s="172"/>
      <c r="AK858" s="172"/>
      <c r="AL858" s="172"/>
      <c r="AM858" s="172"/>
    </row>
    <row r="859">
      <c r="A859" s="201"/>
      <c r="B859" s="188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2"/>
      <c r="AC859" s="172"/>
      <c r="AD859" s="172"/>
      <c r="AE859" s="172"/>
      <c r="AF859" s="172"/>
      <c r="AG859" s="172"/>
      <c r="AH859" s="172"/>
      <c r="AI859" s="172"/>
      <c r="AJ859" s="172"/>
      <c r="AK859" s="172"/>
      <c r="AL859" s="172"/>
      <c r="AM859" s="172"/>
    </row>
    <row r="860">
      <c r="A860" s="200"/>
      <c r="B860" s="188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2"/>
      <c r="AC860" s="172"/>
      <c r="AD860" s="172"/>
      <c r="AE860" s="172"/>
      <c r="AF860" s="172"/>
      <c r="AG860" s="172"/>
      <c r="AH860" s="172"/>
      <c r="AI860" s="172"/>
      <c r="AJ860" s="172"/>
      <c r="AK860" s="172"/>
      <c r="AL860" s="172"/>
      <c r="AM860" s="172"/>
    </row>
    <row r="861">
      <c r="A861" s="201"/>
      <c r="B861" s="188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2"/>
      <c r="AC861" s="172"/>
      <c r="AD861" s="172"/>
      <c r="AE861" s="172"/>
      <c r="AF861" s="172"/>
      <c r="AG861" s="172"/>
      <c r="AH861" s="172"/>
      <c r="AI861" s="172"/>
      <c r="AJ861" s="172"/>
      <c r="AK861" s="172"/>
      <c r="AL861" s="172"/>
      <c r="AM861" s="172"/>
    </row>
    <row r="862">
      <c r="A862" s="200"/>
      <c r="B862" s="188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2"/>
      <c r="AC862" s="172"/>
      <c r="AD862" s="172"/>
      <c r="AE862" s="172"/>
      <c r="AF862" s="172"/>
      <c r="AG862" s="172"/>
      <c r="AH862" s="172"/>
      <c r="AI862" s="172"/>
      <c r="AJ862" s="172"/>
      <c r="AK862" s="172"/>
      <c r="AL862" s="172"/>
      <c r="AM862" s="172"/>
    </row>
    <row r="863">
      <c r="A863" s="201"/>
      <c r="B863" s="188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2"/>
      <c r="AC863" s="172"/>
      <c r="AD863" s="172"/>
      <c r="AE863" s="172"/>
      <c r="AF863" s="172"/>
      <c r="AG863" s="172"/>
      <c r="AH863" s="172"/>
      <c r="AI863" s="172"/>
      <c r="AJ863" s="172"/>
      <c r="AK863" s="172"/>
      <c r="AL863" s="172"/>
      <c r="AM863" s="172"/>
    </row>
    <row r="864">
      <c r="A864" s="200"/>
      <c r="B864" s="188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2"/>
      <c r="AC864" s="172"/>
      <c r="AD864" s="172"/>
      <c r="AE864" s="172"/>
      <c r="AF864" s="172"/>
      <c r="AG864" s="172"/>
      <c r="AH864" s="172"/>
      <c r="AI864" s="172"/>
      <c r="AJ864" s="172"/>
      <c r="AK864" s="172"/>
      <c r="AL864" s="172"/>
      <c r="AM864" s="172"/>
    </row>
    <row r="865">
      <c r="A865" s="201"/>
      <c r="B865" s="188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2"/>
      <c r="AC865" s="172"/>
      <c r="AD865" s="172"/>
      <c r="AE865" s="172"/>
      <c r="AF865" s="172"/>
      <c r="AG865" s="172"/>
      <c r="AH865" s="172"/>
      <c r="AI865" s="172"/>
      <c r="AJ865" s="172"/>
      <c r="AK865" s="172"/>
      <c r="AL865" s="172"/>
      <c r="AM865" s="172"/>
    </row>
    <row r="866">
      <c r="A866" s="200"/>
      <c r="B866" s="188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2"/>
      <c r="AC866" s="172"/>
      <c r="AD866" s="172"/>
      <c r="AE866" s="172"/>
      <c r="AF866" s="172"/>
      <c r="AG866" s="172"/>
      <c r="AH866" s="172"/>
      <c r="AI866" s="172"/>
      <c r="AJ866" s="172"/>
      <c r="AK866" s="172"/>
      <c r="AL866" s="172"/>
      <c r="AM866" s="172"/>
    </row>
    <row r="867">
      <c r="A867" s="201"/>
      <c r="B867" s="188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2"/>
      <c r="AC867" s="172"/>
      <c r="AD867" s="172"/>
      <c r="AE867" s="172"/>
      <c r="AF867" s="172"/>
      <c r="AG867" s="172"/>
      <c r="AH867" s="172"/>
      <c r="AI867" s="172"/>
      <c r="AJ867" s="172"/>
      <c r="AK867" s="172"/>
      <c r="AL867" s="172"/>
      <c r="AM867" s="172"/>
    </row>
    <row r="868">
      <c r="A868" s="200"/>
      <c r="B868" s="188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2"/>
      <c r="AC868" s="172"/>
      <c r="AD868" s="172"/>
      <c r="AE868" s="172"/>
      <c r="AF868" s="172"/>
      <c r="AG868" s="172"/>
      <c r="AH868" s="172"/>
      <c r="AI868" s="172"/>
      <c r="AJ868" s="172"/>
      <c r="AK868" s="172"/>
      <c r="AL868" s="172"/>
      <c r="AM868" s="172"/>
    </row>
    <row r="869">
      <c r="A869" s="201"/>
      <c r="B869" s="188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2"/>
      <c r="AC869" s="172"/>
      <c r="AD869" s="172"/>
      <c r="AE869" s="172"/>
      <c r="AF869" s="172"/>
      <c r="AG869" s="172"/>
      <c r="AH869" s="172"/>
      <c r="AI869" s="172"/>
      <c r="AJ869" s="172"/>
      <c r="AK869" s="172"/>
      <c r="AL869" s="172"/>
      <c r="AM869" s="172"/>
    </row>
    <row r="870">
      <c r="A870" s="200"/>
      <c r="B870" s="188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2"/>
      <c r="AC870" s="172"/>
      <c r="AD870" s="172"/>
      <c r="AE870" s="172"/>
      <c r="AF870" s="172"/>
      <c r="AG870" s="172"/>
      <c r="AH870" s="172"/>
      <c r="AI870" s="172"/>
      <c r="AJ870" s="172"/>
      <c r="AK870" s="172"/>
      <c r="AL870" s="172"/>
      <c r="AM870" s="172"/>
    </row>
    <row r="871">
      <c r="A871" s="201"/>
      <c r="B871" s="188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2"/>
      <c r="AC871" s="172"/>
      <c r="AD871" s="172"/>
      <c r="AE871" s="172"/>
      <c r="AF871" s="172"/>
      <c r="AG871" s="172"/>
      <c r="AH871" s="172"/>
      <c r="AI871" s="172"/>
      <c r="AJ871" s="172"/>
      <c r="AK871" s="172"/>
      <c r="AL871" s="172"/>
      <c r="AM871" s="172"/>
    </row>
    <row r="872">
      <c r="A872" s="200"/>
      <c r="B872" s="188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2"/>
      <c r="AC872" s="172"/>
      <c r="AD872" s="172"/>
      <c r="AE872" s="172"/>
      <c r="AF872" s="172"/>
      <c r="AG872" s="172"/>
      <c r="AH872" s="172"/>
      <c r="AI872" s="172"/>
      <c r="AJ872" s="172"/>
      <c r="AK872" s="172"/>
      <c r="AL872" s="172"/>
      <c r="AM872" s="172"/>
    </row>
    <row r="873">
      <c r="A873" s="201"/>
      <c r="B873" s="188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2"/>
      <c r="AC873" s="172"/>
      <c r="AD873" s="172"/>
      <c r="AE873" s="172"/>
      <c r="AF873" s="172"/>
      <c r="AG873" s="172"/>
      <c r="AH873" s="172"/>
      <c r="AI873" s="172"/>
      <c r="AJ873" s="172"/>
      <c r="AK873" s="172"/>
      <c r="AL873" s="172"/>
      <c r="AM873" s="172"/>
    </row>
    <row r="874">
      <c r="A874" s="200"/>
      <c r="B874" s="188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2"/>
      <c r="AC874" s="172"/>
      <c r="AD874" s="172"/>
      <c r="AE874" s="172"/>
      <c r="AF874" s="172"/>
      <c r="AG874" s="172"/>
      <c r="AH874" s="172"/>
      <c r="AI874" s="172"/>
      <c r="AJ874" s="172"/>
      <c r="AK874" s="172"/>
      <c r="AL874" s="172"/>
      <c r="AM874" s="172"/>
    </row>
    <row r="875">
      <c r="A875" s="201"/>
      <c r="B875" s="188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2"/>
      <c r="AC875" s="172"/>
      <c r="AD875" s="172"/>
      <c r="AE875" s="172"/>
      <c r="AF875" s="172"/>
      <c r="AG875" s="172"/>
      <c r="AH875" s="172"/>
      <c r="AI875" s="172"/>
      <c r="AJ875" s="172"/>
      <c r="AK875" s="172"/>
      <c r="AL875" s="172"/>
      <c r="AM875" s="172"/>
    </row>
    <row r="876">
      <c r="A876" s="200"/>
      <c r="B876" s="188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2"/>
      <c r="AC876" s="172"/>
      <c r="AD876" s="172"/>
      <c r="AE876" s="172"/>
      <c r="AF876" s="172"/>
      <c r="AG876" s="172"/>
      <c r="AH876" s="172"/>
      <c r="AI876" s="172"/>
      <c r="AJ876" s="172"/>
      <c r="AK876" s="172"/>
      <c r="AL876" s="172"/>
      <c r="AM876" s="172"/>
    </row>
    <row r="877">
      <c r="A877" s="201"/>
      <c r="B877" s="188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2"/>
      <c r="AC877" s="172"/>
      <c r="AD877" s="172"/>
      <c r="AE877" s="172"/>
      <c r="AF877" s="172"/>
      <c r="AG877" s="172"/>
      <c r="AH877" s="172"/>
      <c r="AI877" s="172"/>
      <c r="AJ877" s="172"/>
      <c r="AK877" s="172"/>
      <c r="AL877" s="172"/>
      <c r="AM877" s="172"/>
    </row>
    <row r="878">
      <c r="A878" s="200"/>
      <c r="B878" s="188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2"/>
      <c r="AC878" s="172"/>
      <c r="AD878" s="172"/>
      <c r="AE878" s="172"/>
      <c r="AF878" s="172"/>
      <c r="AG878" s="172"/>
      <c r="AH878" s="172"/>
      <c r="AI878" s="172"/>
      <c r="AJ878" s="172"/>
      <c r="AK878" s="172"/>
      <c r="AL878" s="172"/>
      <c r="AM878" s="172"/>
    </row>
    <row r="879">
      <c r="A879" s="201"/>
      <c r="B879" s="188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2"/>
      <c r="AC879" s="172"/>
      <c r="AD879" s="172"/>
      <c r="AE879" s="172"/>
      <c r="AF879" s="172"/>
      <c r="AG879" s="172"/>
      <c r="AH879" s="172"/>
      <c r="AI879" s="172"/>
      <c r="AJ879" s="172"/>
      <c r="AK879" s="172"/>
      <c r="AL879" s="172"/>
      <c r="AM879" s="172"/>
    </row>
    <row r="880">
      <c r="A880" s="200"/>
      <c r="B880" s="188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2"/>
      <c r="AC880" s="172"/>
      <c r="AD880" s="172"/>
      <c r="AE880" s="172"/>
      <c r="AF880" s="172"/>
      <c r="AG880" s="172"/>
      <c r="AH880" s="172"/>
      <c r="AI880" s="172"/>
      <c r="AJ880" s="172"/>
      <c r="AK880" s="172"/>
      <c r="AL880" s="172"/>
      <c r="AM880" s="172"/>
    </row>
    <row r="881">
      <c r="A881" s="201"/>
      <c r="B881" s="188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2"/>
      <c r="AC881" s="172"/>
      <c r="AD881" s="172"/>
      <c r="AE881" s="172"/>
      <c r="AF881" s="172"/>
      <c r="AG881" s="172"/>
      <c r="AH881" s="172"/>
      <c r="AI881" s="172"/>
      <c r="AJ881" s="172"/>
      <c r="AK881" s="172"/>
      <c r="AL881" s="172"/>
      <c r="AM881" s="172"/>
    </row>
    <row r="882">
      <c r="A882" s="200"/>
      <c r="B882" s="188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2"/>
      <c r="AC882" s="172"/>
      <c r="AD882" s="172"/>
      <c r="AE882" s="172"/>
      <c r="AF882" s="172"/>
      <c r="AG882" s="172"/>
      <c r="AH882" s="172"/>
      <c r="AI882" s="172"/>
      <c r="AJ882" s="172"/>
      <c r="AK882" s="172"/>
      <c r="AL882" s="172"/>
      <c r="AM882" s="172"/>
    </row>
    <row r="883">
      <c r="A883" s="201"/>
      <c r="B883" s="188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2"/>
      <c r="AC883" s="172"/>
      <c r="AD883" s="172"/>
      <c r="AE883" s="172"/>
      <c r="AF883" s="172"/>
      <c r="AG883" s="172"/>
      <c r="AH883" s="172"/>
      <c r="AI883" s="172"/>
      <c r="AJ883" s="172"/>
      <c r="AK883" s="172"/>
      <c r="AL883" s="172"/>
      <c r="AM883" s="172"/>
    </row>
    <row r="884">
      <c r="A884" s="200"/>
      <c r="B884" s="188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2"/>
      <c r="AC884" s="172"/>
      <c r="AD884" s="172"/>
      <c r="AE884" s="172"/>
      <c r="AF884" s="172"/>
      <c r="AG884" s="172"/>
      <c r="AH884" s="172"/>
      <c r="AI884" s="172"/>
      <c r="AJ884" s="172"/>
      <c r="AK884" s="172"/>
      <c r="AL884" s="172"/>
      <c r="AM884" s="172"/>
    </row>
    <row r="885">
      <c r="A885" s="201"/>
      <c r="B885" s="188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2"/>
      <c r="AC885" s="172"/>
      <c r="AD885" s="172"/>
      <c r="AE885" s="172"/>
      <c r="AF885" s="172"/>
      <c r="AG885" s="172"/>
      <c r="AH885" s="172"/>
      <c r="AI885" s="172"/>
      <c r="AJ885" s="172"/>
      <c r="AK885" s="172"/>
      <c r="AL885" s="172"/>
      <c r="AM885" s="172"/>
    </row>
    <row r="886">
      <c r="A886" s="200"/>
      <c r="B886" s="188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72"/>
      <c r="AG886" s="172"/>
      <c r="AH886" s="172"/>
      <c r="AI886" s="172"/>
      <c r="AJ886" s="172"/>
      <c r="AK886" s="172"/>
      <c r="AL886" s="172"/>
      <c r="AM886" s="172"/>
    </row>
    <row r="887">
      <c r="A887" s="201"/>
      <c r="B887" s="188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2"/>
      <c r="AC887" s="172"/>
      <c r="AD887" s="172"/>
      <c r="AE887" s="172"/>
      <c r="AF887" s="172"/>
      <c r="AG887" s="172"/>
      <c r="AH887" s="172"/>
      <c r="AI887" s="172"/>
      <c r="AJ887" s="172"/>
      <c r="AK887" s="172"/>
      <c r="AL887" s="172"/>
      <c r="AM887" s="172"/>
    </row>
    <row r="888">
      <c r="A888" s="200"/>
      <c r="B888" s="188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2"/>
      <c r="AC888" s="172"/>
      <c r="AD888" s="172"/>
      <c r="AE888" s="172"/>
      <c r="AF888" s="172"/>
      <c r="AG888" s="172"/>
      <c r="AH888" s="172"/>
      <c r="AI888" s="172"/>
      <c r="AJ888" s="172"/>
      <c r="AK888" s="172"/>
      <c r="AL888" s="172"/>
      <c r="AM888" s="172"/>
    </row>
    <row r="889">
      <c r="A889" s="201"/>
      <c r="B889" s="188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2"/>
      <c r="AC889" s="172"/>
      <c r="AD889" s="172"/>
      <c r="AE889" s="172"/>
      <c r="AF889" s="172"/>
      <c r="AG889" s="172"/>
      <c r="AH889" s="172"/>
      <c r="AI889" s="172"/>
      <c r="AJ889" s="172"/>
      <c r="AK889" s="172"/>
      <c r="AL889" s="172"/>
      <c r="AM889" s="172"/>
    </row>
    <row r="890">
      <c r="A890" s="200"/>
      <c r="B890" s="188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2"/>
      <c r="AC890" s="172"/>
      <c r="AD890" s="172"/>
      <c r="AE890" s="172"/>
      <c r="AF890" s="172"/>
      <c r="AG890" s="172"/>
      <c r="AH890" s="172"/>
      <c r="AI890" s="172"/>
      <c r="AJ890" s="172"/>
      <c r="AK890" s="172"/>
      <c r="AL890" s="172"/>
      <c r="AM890" s="172"/>
    </row>
    <row r="891">
      <c r="A891" s="201"/>
      <c r="B891" s="188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2"/>
      <c r="AC891" s="172"/>
      <c r="AD891" s="172"/>
      <c r="AE891" s="172"/>
      <c r="AF891" s="172"/>
      <c r="AG891" s="172"/>
      <c r="AH891" s="172"/>
      <c r="AI891" s="172"/>
      <c r="AJ891" s="172"/>
      <c r="AK891" s="172"/>
      <c r="AL891" s="172"/>
      <c r="AM891" s="172"/>
    </row>
    <row r="892">
      <c r="A892" s="200"/>
      <c r="B892" s="188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2"/>
      <c r="AC892" s="172"/>
      <c r="AD892" s="172"/>
      <c r="AE892" s="172"/>
      <c r="AF892" s="172"/>
      <c r="AG892" s="172"/>
      <c r="AH892" s="172"/>
      <c r="AI892" s="172"/>
      <c r="AJ892" s="172"/>
      <c r="AK892" s="172"/>
      <c r="AL892" s="172"/>
      <c r="AM892" s="172"/>
    </row>
    <row r="893">
      <c r="A893" s="201"/>
      <c r="B893" s="188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2"/>
      <c r="AC893" s="172"/>
      <c r="AD893" s="172"/>
      <c r="AE893" s="172"/>
      <c r="AF893" s="172"/>
      <c r="AG893" s="172"/>
      <c r="AH893" s="172"/>
      <c r="AI893" s="172"/>
      <c r="AJ893" s="172"/>
      <c r="AK893" s="172"/>
      <c r="AL893" s="172"/>
      <c r="AM893" s="172"/>
    </row>
    <row r="894">
      <c r="A894" s="200"/>
      <c r="B894" s="188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2"/>
      <c r="AC894" s="172"/>
      <c r="AD894" s="172"/>
      <c r="AE894" s="172"/>
      <c r="AF894" s="172"/>
      <c r="AG894" s="172"/>
      <c r="AH894" s="172"/>
      <c r="AI894" s="172"/>
      <c r="AJ894" s="172"/>
      <c r="AK894" s="172"/>
      <c r="AL894" s="172"/>
      <c r="AM894" s="172"/>
    </row>
    <row r="895">
      <c r="A895" s="201"/>
      <c r="B895" s="188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2"/>
      <c r="AC895" s="172"/>
      <c r="AD895" s="172"/>
      <c r="AE895" s="172"/>
      <c r="AF895" s="172"/>
      <c r="AG895" s="172"/>
      <c r="AH895" s="172"/>
      <c r="AI895" s="172"/>
      <c r="AJ895" s="172"/>
      <c r="AK895" s="172"/>
      <c r="AL895" s="172"/>
      <c r="AM895" s="172"/>
    </row>
    <row r="896">
      <c r="A896" s="200"/>
      <c r="B896" s="188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2"/>
      <c r="AC896" s="172"/>
      <c r="AD896" s="172"/>
      <c r="AE896" s="172"/>
      <c r="AF896" s="172"/>
      <c r="AG896" s="172"/>
      <c r="AH896" s="172"/>
      <c r="AI896" s="172"/>
      <c r="AJ896" s="172"/>
      <c r="AK896" s="172"/>
      <c r="AL896" s="172"/>
      <c r="AM896" s="172"/>
    </row>
    <row r="897">
      <c r="A897" s="201"/>
      <c r="B897" s="188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2"/>
      <c r="AC897" s="172"/>
      <c r="AD897" s="172"/>
      <c r="AE897" s="172"/>
      <c r="AF897" s="172"/>
      <c r="AG897" s="172"/>
      <c r="AH897" s="172"/>
      <c r="AI897" s="172"/>
      <c r="AJ897" s="172"/>
      <c r="AK897" s="172"/>
      <c r="AL897" s="172"/>
      <c r="AM897" s="172"/>
    </row>
    <row r="898">
      <c r="A898" s="200"/>
      <c r="B898" s="188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2"/>
      <c r="AC898" s="172"/>
      <c r="AD898" s="172"/>
      <c r="AE898" s="172"/>
      <c r="AF898" s="172"/>
      <c r="AG898" s="172"/>
      <c r="AH898" s="172"/>
      <c r="AI898" s="172"/>
      <c r="AJ898" s="172"/>
      <c r="AK898" s="172"/>
      <c r="AL898" s="172"/>
      <c r="AM898" s="172"/>
    </row>
    <row r="899">
      <c r="A899" s="201"/>
      <c r="B899" s="188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2"/>
      <c r="AC899" s="172"/>
      <c r="AD899" s="172"/>
      <c r="AE899" s="172"/>
      <c r="AF899" s="172"/>
      <c r="AG899" s="172"/>
      <c r="AH899" s="172"/>
      <c r="AI899" s="172"/>
      <c r="AJ899" s="172"/>
      <c r="AK899" s="172"/>
      <c r="AL899" s="172"/>
      <c r="AM899" s="172"/>
    </row>
    <row r="900">
      <c r="A900" s="200"/>
      <c r="B900" s="188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2"/>
      <c r="AC900" s="172"/>
      <c r="AD900" s="172"/>
      <c r="AE900" s="172"/>
      <c r="AF900" s="172"/>
      <c r="AG900" s="172"/>
      <c r="AH900" s="172"/>
      <c r="AI900" s="172"/>
      <c r="AJ900" s="172"/>
      <c r="AK900" s="172"/>
      <c r="AL900" s="172"/>
      <c r="AM900" s="172"/>
    </row>
    <row r="901">
      <c r="A901" s="201"/>
      <c r="B901" s="188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2"/>
      <c r="AC901" s="172"/>
      <c r="AD901" s="172"/>
      <c r="AE901" s="172"/>
      <c r="AF901" s="172"/>
      <c r="AG901" s="172"/>
      <c r="AH901" s="172"/>
      <c r="AI901" s="172"/>
      <c r="AJ901" s="172"/>
      <c r="AK901" s="172"/>
      <c r="AL901" s="172"/>
      <c r="AM901" s="172"/>
    </row>
    <row r="902">
      <c r="A902" s="200"/>
      <c r="B902" s="188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2"/>
      <c r="AC902" s="172"/>
      <c r="AD902" s="172"/>
      <c r="AE902" s="172"/>
      <c r="AF902" s="172"/>
      <c r="AG902" s="172"/>
      <c r="AH902" s="172"/>
      <c r="AI902" s="172"/>
      <c r="AJ902" s="172"/>
      <c r="AK902" s="172"/>
      <c r="AL902" s="172"/>
      <c r="AM902" s="172"/>
    </row>
    <row r="903">
      <c r="A903" s="201"/>
      <c r="B903" s="188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2"/>
      <c r="AC903" s="172"/>
      <c r="AD903" s="172"/>
      <c r="AE903" s="172"/>
      <c r="AF903" s="172"/>
      <c r="AG903" s="172"/>
      <c r="AH903" s="172"/>
      <c r="AI903" s="172"/>
      <c r="AJ903" s="172"/>
      <c r="AK903" s="172"/>
      <c r="AL903" s="172"/>
      <c r="AM903" s="172"/>
    </row>
    <row r="904">
      <c r="A904" s="200"/>
      <c r="B904" s="188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2"/>
      <c r="AC904" s="172"/>
      <c r="AD904" s="172"/>
      <c r="AE904" s="172"/>
      <c r="AF904" s="172"/>
      <c r="AG904" s="172"/>
      <c r="AH904" s="172"/>
      <c r="AI904" s="172"/>
      <c r="AJ904" s="172"/>
      <c r="AK904" s="172"/>
      <c r="AL904" s="172"/>
      <c r="AM904" s="172"/>
    </row>
    <row r="905">
      <c r="A905" s="201"/>
      <c r="B905" s="188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2"/>
      <c r="AC905" s="172"/>
      <c r="AD905" s="172"/>
      <c r="AE905" s="172"/>
      <c r="AF905" s="172"/>
      <c r="AG905" s="172"/>
      <c r="AH905" s="172"/>
      <c r="AI905" s="172"/>
      <c r="AJ905" s="172"/>
      <c r="AK905" s="172"/>
      <c r="AL905" s="172"/>
      <c r="AM905" s="172"/>
    </row>
    <row r="906">
      <c r="A906" s="200"/>
      <c r="B906" s="188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2"/>
      <c r="AC906" s="172"/>
      <c r="AD906" s="172"/>
      <c r="AE906" s="172"/>
      <c r="AF906" s="172"/>
      <c r="AG906" s="172"/>
      <c r="AH906" s="172"/>
      <c r="AI906" s="172"/>
      <c r="AJ906" s="172"/>
      <c r="AK906" s="172"/>
      <c r="AL906" s="172"/>
      <c r="AM906" s="172"/>
    </row>
    <row r="907">
      <c r="A907" s="201"/>
      <c r="B907" s="188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2"/>
      <c r="AC907" s="172"/>
      <c r="AD907" s="172"/>
      <c r="AE907" s="172"/>
      <c r="AF907" s="172"/>
      <c r="AG907" s="172"/>
      <c r="AH907" s="172"/>
      <c r="AI907" s="172"/>
      <c r="AJ907" s="172"/>
      <c r="AK907" s="172"/>
      <c r="AL907" s="172"/>
      <c r="AM907" s="172"/>
    </row>
    <row r="908">
      <c r="A908" s="200"/>
      <c r="B908" s="188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2"/>
      <c r="AC908" s="172"/>
      <c r="AD908" s="172"/>
      <c r="AE908" s="172"/>
      <c r="AF908" s="172"/>
      <c r="AG908" s="172"/>
      <c r="AH908" s="172"/>
      <c r="AI908" s="172"/>
      <c r="AJ908" s="172"/>
      <c r="AK908" s="172"/>
      <c r="AL908" s="172"/>
      <c r="AM908" s="172"/>
    </row>
    <row r="909">
      <c r="A909" s="201"/>
      <c r="B909" s="188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2"/>
      <c r="AC909" s="172"/>
      <c r="AD909" s="172"/>
      <c r="AE909" s="172"/>
      <c r="AF909" s="172"/>
      <c r="AG909" s="172"/>
      <c r="AH909" s="172"/>
      <c r="AI909" s="172"/>
      <c r="AJ909" s="172"/>
      <c r="AK909" s="172"/>
      <c r="AL909" s="172"/>
      <c r="AM909" s="172"/>
    </row>
    <row r="910">
      <c r="A910" s="200"/>
      <c r="B910" s="188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2"/>
      <c r="AC910" s="172"/>
      <c r="AD910" s="172"/>
      <c r="AE910" s="172"/>
      <c r="AF910" s="172"/>
      <c r="AG910" s="172"/>
      <c r="AH910" s="172"/>
      <c r="AI910" s="172"/>
      <c r="AJ910" s="172"/>
      <c r="AK910" s="172"/>
      <c r="AL910" s="172"/>
      <c r="AM910" s="172"/>
    </row>
    <row r="911">
      <c r="A911" s="201"/>
      <c r="B911" s="188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2"/>
      <c r="AC911" s="172"/>
      <c r="AD911" s="172"/>
      <c r="AE911" s="172"/>
      <c r="AF911" s="172"/>
      <c r="AG911" s="172"/>
      <c r="AH911" s="172"/>
      <c r="AI911" s="172"/>
      <c r="AJ911" s="172"/>
      <c r="AK911" s="172"/>
      <c r="AL911" s="172"/>
      <c r="AM911" s="172"/>
    </row>
    <row r="912">
      <c r="A912" s="200"/>
      <c r="B912" s="188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2"/>
      <c r="AC912" s="172"/>
      <c r="AD912" s="172"/>
      <c r="AE912" s="172"/>
      <c r="AF912" s="172"/>
      <c r="AG912" s="172"/>
      <c r="AH912" s="172"/>
      <c r="AI912" s="172"/>
      <c r="AJ912" s="172"/>
      <c r="AK912" s="172"/>
      <c r="AL912" s="172"/>
      <c r="AM912" s="172"/>
    </row>
    <row r="913">
      <c r="A913" s="201"/>
      <c r="B913" s="188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2"/>
      <c r="AC913" s="172"/>
      <c r="AD913" s="172"/>
      <c r="AE913" s="172"/>
      <c r="AF913" s="172"/>
      <c r="AG913" s="172"/>
      <c r="AH913" s="172"/>
      <c r="AI913" s="172"/>
      <c r="AJ913" s="172"/>
      <c r="AK913" s="172"/>
      <c r="AL913" s="172"/>
      <c r="AM913" s="172"/>
    </row>
    <row r="914">
      <c r="A914" s="200"/>
      <c r="B914" s="188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2"/>
      <c r="AC914" s="172"/>
      <c r="AD914" s="172"/>
      <c r="AE914" s="172"/>
      <c r="AF914" s="172"/>
      <c r="AG914" s="172"/>
      <c r="AH914" s="172"/>
      <c r="AI914" s="172"/>
      <c r="AJ914" s="172"/>
      <c r="AK914" s="172"/>
      <c r="AL914" s="172"/>
      <c r="AM914" s="172"/>
    </row>
    <row r="915">
      <c r="A915" s="201"/>
      <c r="B915" s="188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2"/>
      <c r="AC915" s="172"/>
      <c r="AD915" s="172"/>
      <c r="AE915" s="172"/>
      <c r="AF915" s="172"/>
      <c r="AG915" s="172"/>
      <c r="AH915" s="172"/>
      <c r="AI915" s="172"/>
      <c r="AJ915" s="172"/>
      <c r="AK915" s="172"/>
      <c r="AL915" s="172"/>
      <c r="AM915" s="172"/>
    </row>
    <row r="916">
      <c r="A916" s="200"/>
      <c r="B916" s="188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2"/>
      <c r="AC916" s="172"/>
      <c r="AD916" s="172"/>
      <c r="AE916" s="172"/>
      <c r="AF916" s="172"/>
      <c r="AG916" s="172"/>
      <c r="AH916" s="172"/>
      <c r="AI916" s="172"/>
      <c r="AJ916" s="172"/>
      <c r="AK916" s="172"/>
      <c r="AL916" s="172"/>
      <c r="AM916" s="172"/>
    </row>
    <row r="917">
      <c r="A917" s="201"/>
      <c r="B917" s="188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2"/>
      <c r="AC917" s="172"/>
      <c r="AD917" s="172"/>
      <c r="AE917" s="172"/>
      <c r="AF917" s="172"/>
      <c r="AG917" s="172"/>
      <c r="AH917" s="172"/>
      <c r="AI917" s="172"/>
      <c r="AJ917" s="172"/>
      <c r="AK917" s="172"/>
      <c r="AL917" s="172"/>
      <c r="AM917" s="172"/>
    </row>
    <row r="918">
      <c r="A918" s="200"/>
      <c r="B918" s="188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2"/>
      <c r="AC918" s="172"/>
      <c r="AD918" s="172"/>
      <c r="AE918" s="172"/>
      <c r="AF918" s="172"/>
      <c r="AG918" s="172"/>
      <c r="AH918" s="172"/>
      <c r="AI918" s="172"/>
      <c r="AJ918" s="172"/>
      <c r="AK918" s="172"/>
      <c r="AL918" s="172"/>
      <c r="AM918" s="172"/>
    </row>
    <row r="919">
      <c r="A919" s="201"/>
      <c r="B919" s="188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2"/>
      <c r="AC919" s="172"/>
      <c r="AD919" s="172"/>
      <c r="AE919" s="172"/>
      <c r="AF919" s="172"/>
      <c r="AG919" s="172"/>
      <c r="AH919" s="172"/>
      <c r="AI919" s="172"/>
      <c r="AJ919" s="172"/>
      <c r="AK919" s="172"/>
      <c r="AL919" s="172"/>
      <c r="AM919" s="172"/>
    </row>
    <row r="920">
      <c r="A920" s="200"/>
      <c r="B920" s="188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2"/>
      <c r="AC920" s="172"/>
      <c r="AD920" s="172"/>
      <c r="AE920" s="172"/>
      <c r="AF920" s="172"/>
      <c r="AG920" s="172"/>
      <c r="AH920" s="172"/>
      <c r="AI920" s="172"/>
      <c r="AJ920" s="172"/>
      <c r="AK920" s="172"/>
      <c r="AL920" s="172"/>
      <c r="AM920" s="172"/>
    </row>
    <row r="921">
      <c r="A921" s="201"/>
      <c r="B921" s="188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2"/>
      <c r="AC921" s="172"/>
      <c r="AD921" s="172"/>
      <c r="AE921" s="172"/>
      <c r="AF921" s="172"/>
      <c r="AG921" s="172"/>
      <c r="AH921" s="172"/>
      <c r="AI921" s="172"/>
      <c r="AJ921" s="172"/>
      <c r="AK921" s="172"/>
      <c r="AL921" s="172"/>
      <c r="AM921" s="172"/>
    </row>
    <row r="922">
      <c r="A922" s="200"/>
      <c r="B922" s="188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2"/>
      <c r="AC922" s="172"/>
      <c r="AD922" s="172"/>
      <c r="AE922" s="172"/>
      <c r="AF922" s="172"/>
      <c r="AG922" s="172"/>
      <c r="AH922" s="172"/>
      <c r="AI922" s="172"/>
      <c r="AJ922" s="172"/>
      <c r="AK922" s="172"/>
      <c r="AL922" s="172"/>
      <c r="AM922" s="172"/>
    </row>
    <row r="923">
      <c r="A923" s="201"/>
      <c r="B923" s="188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2"/>
      <c r="AC923" s="172"/>
      <c r="AD923" s="172"/>
      <c r="AE923" s="172"/>
      <c r="AF923" s="172"/>
      <c r="AG923" s="172"/>
      <c r="AH923" s="172"/>
      <c r="AI923" s="172"/>
      <c r="AJ923" s="172"/>
      <c r="AK923" s="172"/>
      <c r="AL923" s="172"/>
      <c r="AM923" s="172"/>
    </row>
    <row r="924">
      <c r="A924" s="200"/>
      <c r="B924" s="188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2"/>
      <c r="AC924" s="172"/>
      <c r="AD924" s="172"/>
      <c r="AE924" s="172"/>
      <c r="AF924" s="172"/>
      <c r="AG924" s="172"/>
      <c r="AH924" s="172"/>
      <c r="AI924" s="172"/>
      <c r="AJ924" s="172"/>
      <c r="AK924" s="172"/>
      <c r="AL924" s="172"/>
      <c r="AM924" s="172"/>
    </row>
    <row r="925">
      <c r="A925" s="201"/>
      <c r="B925" s="188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2"/>
      <c r="AC925" s="172"/>
      <c r="AD925" s="172"/>
      <c r="AE925" s="172"/>
      <c r="AF925" s="172"/>
      <c r="AG925" s="172"/>
      <c r="AH925" s="172"/>
      <c r="AI925" s="172"/>
      <c r="AJ925" s="172"/>
      <c r="AK925" s="172"/>
      <c r="AL925" s="172"/>
      <c r="AM925" s="172"/>
    </row>
    <row r="926">
      <c r="A926" s="200"/>
      <c r="B926" s="188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2"/>
      <c r="AC926" s="172"/>
      <c r="AD926" s="172"/>
      <c r="AE926" s="172"/>
      <c r="AF926" s="172"/>
      <c r="AG926" s="172"/>
      <c r="AH926" s="172"/>
      <c r="AI926" s="172"/>
      <c r="AJ926" s="172"/>
      <c r="AK926" s="172"/>
      <c r="AL926" s="172"/>
      <c r="AM926" s="172"/>
    </row>
    <row r="927">
      <c r="A927" s="201"/>
      <c r="B927" s="188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2"/>
      <c r="AC927" s="172"/>
      <c r="AD927" s="172"/>
      <c r="AE927" s="172"/>
      <c r="AF927" s="172"/>
      <c r="AG927" s="172"/>
      <c r="AH927" s="172"/>
      <c r="AI927" s="172"/>
      <c r="AJ927" s="172"/>
      <c r="AK927" s="172"/>
      <c r="AL927" s="172"/>
      <c r="AM927" s="172"/>
    </row>
    <row r="928">
      <c r="A928" s="200"/>
      <c r="B928" s="188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2"/>
      <c r="AC928" s="172"/>
      <c r="AD928" s="172"/>
      <c r="AE928" s="172"/>
      <c r="AF928" s="172"/>
      <c r="AG928" s="172"/>
      <c r="AH928" s="172"/>
      <c r="AI928" s="172"/>
      <c r="AJ928" s="172"/>
      <c r="AK928" s="172"/>
      <c r="AL928" s="172"/>
      <c r="AM928" s="172"/>
    </row>
    <row r="929">
      <c r="A929" s="201"/>
      <c r="B929" s="188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2"/>
      <c r="AC929" s="172"/>
      <c r="AD929" s="172"/>
      <c r="AE929" s="172"/>
      <c r="AF929" s="172"/>
      <c r="AG929" s="172"/>
      <c r="AH929" s="172"/>
      <c r="AI929" s="172"/>
      <c r="AJ929" s="172"/>
      <c r="AK929" s="172"/>
      <c r="AL929" s="172"/>
      <c r="AM929" s="172"/>
    </row>
    <row r="930">
      <c r="A930" s="200"/>
      <c r="B930" s="188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2"/>
      <c r="AC930" s="172"/>
      <c r="AD930" s="172"/>
      <c r="AE930" s="172"/>
      <c r="AF930" s="172"/>
      <c r="AG930" s="172"/>
      <c r="AH930" s="172"/>
      <c r="AI930" s="172"/>
      <c r="AJ930" s="172"/>
      <c r="AK930" s="172"/>
      <c r="AL930" s="172"/>
      <c r="AM930" s="172"/>
    </row>
    <row r="931">
      <c r="A931" s="201"/>
      <c r="B931" s="188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2"/>
      <c r="AC931" s="172"/>
      <c r="AD931" s="172"/>
      <c r="AE931" s="172"/>
      <c r="AF931" s="172"/>
      <c r="AG931" s="172"/>
      <c r="AH931" s="172"/>
      <c r="AI931" s="172"/>
      <c r="AJ931" s="172"/>
      <c r="AK931" s="172"/>
      <c r="AL931" s="172"/>
      <c r="AM931" s="172"/>
    </row>
    <row r="932">
      <c r="A932" s="200"/>
      <c r="B932" s="188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2"/>
      <c r="AC932" s="172"/>
      <c r="AD932" s="172"/>
      <c r="AE932" s="172"/>
      <c r="AF932" s="172"/>
      <c r="AG932" s="172"/>
      <c r="AH932" s="172"/>
      <c r="AI932" s="172"/>
      <c r="AJ932" s="172"/>
      <c r="AK932" s="172"/>
      <c r="AL932" s="172"/>
      <c r="AM932" s="172"/>
    </row>
    <row r="933">
      <c r="A933" s="201"/>
      <c r="B933" s="188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2"/>
      <c r="AC933" s="172"/>
      <c r="AD933" s="172"/>
      <c r="AE933" s="172"/>
      <c r="AF933" s="172"/>
      <c r="AG933" s="172"/>
      <c r="AH933" s="172"/>
      <c r="AI933" s="172"/>
      <c r="AJ933" s="172"/>
      <c r="AK933" s="172"/>
      <c r="AL933" s="172"/>
      <c r="AM933" s="172"/>
    </row>
    <row r="934">
      <c r="A934" s="200"/>
      <c r="B934" s="188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2"/>
      <c r="AC934" s="172"/>
      <c r="AD934" s="172"/>
      <c r="AE934" s="172"/>
      <c r="AF934" s="172"/>
      <c r="AG934" s="172"/>
      <c r="AH934" s="172"/>
      <c r="AI934" s="172"/>
      <c r="AJ934" s="172"/>
      <c r="AK934" s="172"/>
      <c r="AL934" s="172"/>
      <c r="AM934" s="172"/>
    </row>
    <row r="935">
      <c r="A935" s="201"/>
      <c r="B935" s="188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2"/>
      <c r="AC935" s="172"/>
      <c r="AD935" s="172"/>
      <c r="AE935" s="172"/>
      <c r="AF935" s="172"/>
      <c r="AG935" s="172"/>
      <c r="AH935" s="172"/>
      <c r="AI935" s="172"/>
      <c r="AJ935" s="172"/>
      <c r="AK935" s="172"/>
      <c r="AL935" s="172"/>
      <c r="AM935" s="172"/>
    </row>
    <row r="936">
      <c r="A936" s="200"/>
      <c r="B936" s="188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2"/>
      <c r="AC936" s="172"/>
      <c r="AD936" s="172"/>
      <c r="AE936" s="172"/>
      <c r="AF936" s="172"/>
      <c r="AG936" s="172"/>
      <c r="AH936" s="172"/>
      <c r="AI936" s="172"/>
      <c r="AJ936" s="172"/>
      <c r="AK936" s="172"/>
      <c r="AL936" s="172"/>
      <c r="AM936" s="172"/>
    </row>
    <row r="937">
      <c r="A937" s="201"/>
      <c r="B937" s="188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2"/>
      <c r="AC937" s="172"/>
      <c r="AD937" s="172"/>
      <c r="AE937" s="172"/>
      <c r="AF937" s="172"/>
      <c r="AG937" s="172"/>
      <c r="AH937" s="172"/>
      <c r="AI937" s="172"/>
      <c r="AJ937" s="172"/>
      <c r="AK937" s="172"/>
      <c r="AL937" s="172"/>
      <c r="AM937" s="172"/>
    </row>
    <row r="938">
      <c r="A938" s="200"/>
      <c r="B938" s="188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2"/>
      <c r="AC938" s="172"/>
      <c r="AD938" s="172"/>
      <c r="AE938" s="172"/>
      <c r="AF938" s="172"/>
      <c r="AG938" s="172"/>
      <c r="AH938" s="172"/>
      <c r="AI938" s="172"/>
      <c r="AJ938" s="172"/>
      <c r="AK938" s="172"/>
      <c r="AL938" s="172"/>
      <c r="AM938" s="172"/>
    </row>
    <row r="939">
      <c r="A939" s="201"/>
      <c r="B939" s="188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2"/>
      <c r="AC939" s="172"/>
      <c r="AD939" s="172"/>
      <c r="AE939" s="172"/>
      <c r="AF939" s="172"/>
      <c r="AG939" s="172"/>
      <c r="AH939" s="172"/>
      <c r="AI939" s="172"/>
      <c r="AJ939" s="172"/>
      <c r="AK939" s="172"/>
      <c r="AL939" s="172"/>
      <c r="AM939" s="172"/>
    </row>
    <row r="940">
      <c r="A940" s="200"/>
      <c r="B940" s="188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2"/>
      <c r="AC940" s="172"/>
      <c r="AD940" s="172"/>
      <c r="AE940" s="172"/>
      <c r="AF940" s="172"/>
      <c r="AG940" s="172"/>
      <c r="AH940" s="172"/>
      <c r="AI940" s="172"/>
      <c r="AJ940" s="172"/>
      <c r="AK940" s="172"/>
      <c r="AL940" s="172"/>
      <c r="AM940" s="172"/>
    </row>
    <row r="941">
      <c r="A941" s="201"/>
      <c r="B941" s="188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2"/>
      <c r="AC941" s="172"/>
      <c r="AD941" s="172"/>
      <c r="AE941" s="172"/>
      <c r="AF941" s="172"/>
      <c r="AG941" s="172"/>
      <c r="AH941" s="172"/>
      <c r="AI941" s="172"/>
      <c r="AJ941" s="172"/>
      <c r="AK941" s="172"/>
      <c r="AL941" s="172"/>
      <c r="AM941" s="172"/>
    </row>
    <row r="942">
      <c r="A942" s="200"/>
      <c r="B942" s="188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2"/>
      <c r="AC942" s="172"/>
      <c r="AD942" s="172"/>
      <c r="AE942" s="172"/>
      <c r="AF942" s="172"/>
      <c r="AG942" s="172"/>
      <c r="AH942" s="172"/>
      <c r="AI942" s="172"/>
      <c r="AJ942" s="172"/>
      <c r="AK942" s="172"/>
      <c r="AL942" s="172"/>
      <c r="AM942" s="172"/>
    </row>
    <row r="943">
      <c r="A943" s="201"/>
      <c r="B943" s="188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2"/>
      <c r="AC943" s="172"/>
      <c r="AD943" s="172"/>
      <c r="AE943" s="172"/>
      <c r="AF943" s="172"/>
      <c r="AG943" s="172"/>
      <c r="AH943" s="172"/>
      <c r="AI943" s="172"/>
      <c r="AJ943" s="172"/>
      <c r="AK943" s="172"/>
      <c r="AL943" s="172"/>
      <c r="AM943" s="172"/>
    </row>
    <row r="944">
      <c r="A944" s="200"/>
      <c r="B944" s="188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2"/>
      <c r="AC944" s="172"/>
      <c r="AD944" s="172"/>
      <c r="AE944" s="172"/>
      <c r="AF944" s="172"/>
      <c r="AG944" s="172"/>
      <c r="AH944" s="172"/>
      <c r="AI944" s="172"/>
      <c r="AJ944" s="172"/>
      <c r="AK944" s="172"/>
      <c r="AL944" s="172"/>
      <c r="AM944" s="172"/>
    </row>
    <row r="945">
      <c r="A945" s="201"/>
      <c r="B945" s="188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2"/>
      <c r="AC945" s="172"/>
      <c r="AD945" s="172"/>
      <c r="AE945" s="172"/>
      <c r="AF945" s="172"/>
      <c r="AG945" s="172"/>
      <c r="AH945" s="172"/>
      <c r="AI945" s="172"/>
      <c r="AJ945" s="172"/>
      <c r="AK945" s="172"/>
      <c r="AL945" s="172"/>
      <c r="AM945" s="172"/>
    </row>
    <row r="946">
      <c r="A946" s="200"/>
      <c r="B946" s="188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2"/>
      <c r="AC946" s="172"/>
      <c r="AD946" s="172"/>
      <c r="AE946" s="172"/>
      <c r="AF946" s="172"/>
      <c r="AG946" s="172"/>
      <c r="AH946" s="172"/>
      <c r="AI946" s="172"/>
      <c r="AJ946" s="172"/>
      <c r="AK946" s="172"/>
      <c r="AL946" s="172"/>
      <c r="AM946" s="172"/>
    </row>
    <row r="947">
      <c r="A947" s="201"/>
      <c r="B947" s="188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  <c r="AE947" s="172"/>
      <c r="AF947" s="172"/>
      <c r="AG947" s="172"/>
      <c r="AH947" s="172"/>
      <c r="AI947" s="172"/>
      <c r="AJ947" s="172"/>
      <c r="AK947" s="172"/>
      <c r="AL947" s="172"/>
      <c r="AM947" s="172"/>
    </row>
    <row r="948">
      <c r="A948" s="200"/>
      <c r="B948" s="188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  <c r="AE948" s="172"/>
      <c r="AF948" s="172"/>
      <c r="AG948" s="172"/>
      <c r="AH948" s="172"/>
      <c r="AI948" s="172"/>
      <c r="AJ948" s="172"/>
      <c r="AK948" s="172"/>
      <c r="AL948" s="172"/>
      <c r="AM948" s="172"/>
    </row>
    <row r="949">
      <c r="A949" s="201"/>
      <c r="B949" s="188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  <c r="AE949" s="172"/>
      <c r="AF949" s="172"/>
      <c r="AG949" s="172"/>
      <c r="AH949" s="172"/>
      <c r="AI949" s="172"/>
      <c r="AJ949" s="172"/>
      <c r="AK949" s="172"/>
      <c r="AL949" s="172"/>
      <c r="AM949" s="172"/>
    </row>
    <row r="950">
      <c r="A950" s="200"/>
      <c r="B950" s="188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  <c r="AE950" s="172"/>
      <c r="AF950" s="172"/>
      <c r="AG950" s="172"/>
      <c r="AH950" s="172"/>
      <c r="AI950" s="172"/>
      <c r="AJ950" s="172"/>
      <c r="AK950" s="172"/>
      <c r="AL950" s="172"/>
      <c r="AM950" s="172"/>
    </row>
    <row r="951">
      <c r="A951" s="201"/>
      <c r="B951" s="188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  <c r="AE951" s="172"/>
      <c r="AF951" s="172"/>
      <c r="AG951" s="172"/>
      <c r="AH951" s="172"/>
      <c r="AI951" s="172"/>
      <c r="AJ951" s="172"/>
      <c r="AK951" s="172"/>
      <c r="AL951" s="172"/>
      <c r="AM951" s="172"/>
    </row>
    <row r="952">
      <c r="A952" s="200"/>
      <c r="B952" s="188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  <c r="AE952" s="172"/>
      <c r="AF952" s="172"/>
      <c r="AG952" s="172"/>
      <c r="AH952" s="172"/>
      <c r="AI952" s="172"/>
      <c r="AJ952" s="172"/>
      <c r="AK952" s="172"/>
      <c r="AL952" s="172"/>
      <c r="AM952" s="172"/>
    </row>
    <row r="953">
      <c r="A953" s="201"/>
      <c r="B953" s="188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  <c r="AE953" s="172"/>
      <c r="AF953" s="172"/>
      <c r="AG953" s="172"/>
      <c r="AH953" s="172"/>
      <c r="AI953" s="172"/>
      <c r="AJ953" s="172"/>
      <c r="AK953" s="172"/>
      <c r="AL953" s="172"/>
      <c r="AM953" s="172"/>
    </row>
    <row r="954">
      <c r="A954" s="200"/>
      <c r="B954" s="188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  <c r="AE954" s="172"/>
      <c r="AF954" s="172"/>
      <c r="AG954" s="172"/>
      <c r="AH954" s="172"/>
      <c r="AI954" s="172"/>
      <c r="AJ954" s="172"/>
      <c r="AK954" s="172"/>
      <c r="AL954" s="172"/>
      <c r="AM954" s="172"/>
    </row>
    <row r="955">
      <c r="A955" s="201"/>
      <c r="B955" s="188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  <c r="AE955" s="172"/>
      <c r="AF955" s="172"/>
      <c r="AG955" s="172"/>
      <c r="AH955" s="172"/>
      <c r="AI955" s="172"/>
      <c r="AJ955" s="172"/>
      <c r="AK955" s="172"/>
      <c r="AL955" s="172"/>
      <c r="AM955" s="172"/>
    </row>
    <row r="956">
      <c r="A956" s="200"/>
      <c r="B956" s="188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  <c r="AE956" s="172"/>
      <c r="AF956" s="172"/>
      <c r="AG956" s="172"/>
      <c r="AH956" s="172"/>
      <c r="AI956" s="172"/>
      <c r="AJ956" s="172"/>
      <c r="AK956" s="172"/>
      <c r="AL956" s="172"/>
      <c r="AM956" s="172"/>
    </row>
    <row r="957">
      <c r="A957" s="201"/>
      <c r="B957" s="188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  <c r="AE957" s="172"/>
      <c r="AF957" s="172"/>
      <c r="AG957" s="172"/>
      <c r="AH957" s="172"/>
      <c r="AI957" s="172"/>
      <c r="AJ957" s="172"/>
      <c r="AK957" s="172"/>
      <c r="AL957" s="172"/>
      <c r="AM957" s="172"/>
    </row>
    <row r="958">
      <c r="A958" s="200"/>
      <c r="B958" s="188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  <c r="AE958" s="172"/>
      <c r="AF958" s="172"/>
      <c r="AG958" s="172"/>
      <c r="AH958" s="172"/>
      <c r="AI958" s="172"/>
      <c r="AJ958" s="172"/>
      <c r="AK958" s="172"/>
      <c r="AL958" s="172"/>
      <c r="AM958" s="172"/>
    </row>
    <row r="959">
      <c r="A959" s="201"/>
      <c r="B959" s="188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  <c r="AE959" s="172"/>
      <c r="AF959" s="172"/>
      <c r="AG959" s="172"/>
      <c r="AH959" s="172"/>
      <c r="AI959" s="172"/>
      <c r="AJ959" s="172"/>
      <c r="AK959" s="172"/>
      <c r="AL959" s="172"/>
      <c r="AM959" s="172"/>
    </row>
    <row r="960">
      <c r="A960" s="200"/>
      <c r="B960" s="188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  <c r="AE960" s="172"/>
      <c r="AF960" s="172"/>
      <c r="AG960" s="172"/>
      <c r="AH960" s="172"/>
      <c r="AI960" s="172"/>
      <c r="AJ960" s="172"/>
      <c r="AK960" s="172"/>
      <c r="AL960" s="172"/>
      <c r="AM960" s="172"/>
    </row>
    <row r="961">
      <c r="A961" s="201"/>
      <c r="B961" s="188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  <c r="AE961" s="172"/>
      <c r="AF961" s="172"/>
      <c r="AG961" s="172"/>
      <c r="AH961" s="172"/>
      <c r="AI961" s="172"/>
      <c r="AJ961" s="172"/>
      <c r="AK961" s="172"/>
      <c r="AL961" s="172"/>
      <c r="AM961" s="172"/>
    </row>
    <row r="962">
      <c r="A962" s="200"/>
      <c r="B962" s="188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  <c r="AE962" s="172"/>
      <c r="AF962" s="172"/>
      <c r="AG962" s="172"/>
      <c r="AH962" s="172"/>
      <c r="AI962" s="172"/>
      <c r="AJ962" s="172"/>
      <c r="AK962" s="172"/>
      <c r="AL962" s="172"/>
      <c r="AM962" s="172"/>
    </row>
    <row r="963">
      <c r="A963" s="201"/>
      <c r="B963" s="188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  <c r="AE963" s="172"/>
      <c r="AF963" s="172"/>
      <c r="AG963" s="172"/>
      <c r="AH963" s="172"/>
      <c r="AI963" s="172"/>
      <c r="AJ963" s="172"/>
      <c r="AK963" s="172"/>
      <c r="AL963" s="172"/>
      <c r="AM963" s="172"/>
    </row>
    <row r="964">
      <c r="A964" s="200"/>
      <c r="B964" s="188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  <c r="AE964" s="172"/>
      <c r="AF964" s="172"/>
      <c r="AG964" s="172"/>
      <c r="AH964" s="172"/>
      <c r="AI964" s="172"/>
      <c r="AJ964" s="172"/>
      <c r="AK964" s="172"/>
      <c r="AL964" s="172"/>
      <c r="AM964" s="172"/>
    </row>
    <row r="965">
      <c r="A965" s="201"/>
      <c r="B965" s="188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  <c r="AE965" s="172"/>
      <c r="AF965" s="172"/>
      <c r="AG965" s="172"/>
      <c r="AH965" s="172"/>
      <c r="AI965" s="172"/>
      <c r="AJ965" s="172"/>
      <c r="AK965" s="172"/>
      <c r="AL965" s="172"/>
      <c r="AM965" s="172"/>
    </row>
    <row r="966">
      <c r="A966" s="200"/>
      <c r="B966" s="188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  <c r="AE966" s="172"/>
      <c r="AF966" s="172"/>
      <c r="AG966" s="172"/>
      <c r="AH966" s="172"/>
      <c r="AI966" s="172"/>
      <c r="AJ966" s="172"/>
      <c r="AK966" s="172"/>
      <c r="AL966" s="172"/>
      <c r="AM966" s="172"/>
    </row>
    <row r="967">
      <c r="A967" s="201"/>
      <c r="B967" s="188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  <c r="AE967" s="172"/>
      <c r="AF967" s="172"/>
      <c r="AG967" s="172"/>
      <c r="AH967" s="172"/>
      <c r="AI967" s="172"/>
      <c r="AJ967" s="172"/>
      <c r="AK967" s="172"/>
      <c r="AL967" s="172"/>
      <c r="AM967" s="172"/>
    </row>
    <row r="968">
      <c r="A968" s="200"/>
      <c r="B968" s="188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2"/>
      <c r="AC968" s="172"/>
      <c r="AD968" s="172"/>
      <c r="AE968" s="172"/>
      <c r="AF968" s="172"/>
      <c r="AG968" s="172"/>
      <c r="AH968" s="172"/>
      <c r="AI968" s="172"/>
      <c r="AJ968" s="172"/>
      <c r="AK968" s="172"/>
      <c r="AL968" s="172"/>
      <c r="AM968" s="172"/>
    </row>
    <row r="969">
      <c r="A969" s="201"/>
      <c r="B969" s="188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2"/>
      <c r="AC969" s="172"/>
      <c r="AD969" s="172"/>
      <c r="AE969" s="172"/>
      <c r="AF969" s="172"/>
      <c r="AG969" s="172"/>
      <c r="AH969" s="172"/>
      <c r="AI969" s="172"/>
      <c r="AJ969" s="172"/>
      <c r="AK969" s="172"/>
      <c r="AL969" s="172"/>
      <c r="AM969" s="172"/>
    </row>
    <row r="970">
      <c r="A970" s="200"/>
      <c r="B970" s="188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  <c r="AE970" s="172"/>
      <c r="AF970" s="172"/>
      <c r="AG970" s="172"/>
      <c r="AH970" s="172"/>
      <c r="AI970" s="172"/>
      <c r="AJ970" s="172"/>
      <c r="AK970" s="172"/>
      <c r="AL970" s="172"/>
      <c r="AM970" s="172"/>
    </row>
    <row r="971">
      <c r="A971" s="201"/>
      <c r="B971" s="188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  <c r="AE971" s="172"/>
      <c r="AF971" s="172"/>
      <c r="AG971" s="172"/>
      <c r="AH971" s="172"/>
      <c r="AI971" s="172"/>
      <c r="AJ971" s="172"/>
      <c r="AK971" s="172"/>
      <c r="AL971" s="172"/>
      <c r="AM971" s="172"/>
    </row>
    <row r="972">
      <c r="A972" s="200"/>
      <c r="B972" s="188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  <c r="AE972" s="172"/>
      <c r="AF972" s="172"/>
      <c r="AG972" s="172"/>
      <c r="AH972" s="172"/>
      <c r="AI972" s="172"/>
      <c r="AJ972" s="172"/>
      <c r="AK972" s="172"/>
      <c r="AL972" s="172"/>
      <c r="AM972" s="172"/>
    </row>
    <row r="973">
      <c r="A973" s="201"/>
      <c r="B973" s="188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  <c r="AE973" s="172"/>
      <c r="AF973" s="172"/>
      <c r="AG973" s="172"/>
      <c r="AH973" s="172"/>
      <c r="AI973" s="172"/>
      <c r="AJ973" s="172"/>
      <c r="AK973" s="172"/>
      <c r="AL973" s="172"/>
      <c r="AM973" s="172"/>
    </row>
    <row r="974">
      <c r="A974" s="200"/>
      <c r="B974" s="188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  <c r="AE974" s="172"/>
      <c r="AF974" s="172"/>
      <c r="AG974" s="172"/>
      <c r="AH974" s="172"/>
      <c r="AI974" s="172"/>
      <c r="AJ974" s="172"/>
      <c r="AK974" s="172"/>
      <c r="AL974" s="172"/>
      <c r="AM974" s="172"/>
    </row>
    <row r="975">
      <c r="A975" s="201"/>
      <c r="B975" s="188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  <c r="AE975" s="172"/>
      <c r="AF975" s="172"/>
      <c r="AG975" s="172"/>
      <c r="AH975" s="172"/>
      <c r="AI975" s="172"/>
      <c r="AJ975" s="172"/>
      <c r="AK975" s="172"/>
      <c r="AL975" s="172"/>
      <c r="AM975" s="172"/>
    </row>
    <row r="976">
      <c r="A976" s="200"/>
      <c r="B976" s="188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  <c r="AE976" s="172"/>
      <c r="AF976" s="172"/>
      <c r="AG976" s="172"/>
      <c r="AH976" s="172"/>
      <c r="AI976" s="172"/>
      <c r="AJ976" s="172"/>
      <c r="AK976" s="172"/>
      <c r="AL976" s="172"/>
      <c r="AM976" s="172"/>
    </row>
    <row r="977">
      <c r="A977" s="201"/>
      <c r="B977" s="188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  <c r="AE977" s="172"/>
      <c r="AF977" s="172"/>
      <c r="AG977" s="172"/>
      <c r="AH977" s="172"/>
      <c r="AI977" s="172"/>
      <c r="AJ977" s="172"/>
      <c r="AK977" s="172"/>
      <c r="AL977" s="172"/>
      <c r="AM977" s="172"/>
    </row>
    <row r="978">
      <c r="A978" s="200"/>
      <c r="B978" s="188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  <c r="AE978" s="172"/>
      <c r="AF978" s="172"/>
      <c r="AG978" s="172"/>
      <c r="AH978" s="172"/>
      <c r="AI978" s="172"/>
      <c r="AJ978" s="172"/>
      <c r="AK978" s="172"/>
      <c r="AL978" s="172"/>
      <c r="AM978" s="172"/>
    </row>
    <row r="979">
      <c r="A979" s="201"/>
      <c r="B979" s="188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2"/>
      <c r="AC979" s="172"/>
      <c r="AD979" s="172"/>
      <c r="AE979" s="172"/>
      <c r="AF979" s="172"/>
      <c r="AG979" s="172"/>
      <c r="AH979" s="172"/>
      <c r="AI979" s="172"/>
      <c r="AJ979" s="172"/>
      <c r="AK979" s="172"/>
      <c r="AL979" s="172"/>
      <c r="AM979" s="172"/>
    </row>
    <row r="980">
      <c r="A980" s="200"/>
      <c r="B980" s="188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2"/>
      <c r="AC980" s="172"/>
      <c r="AD980" s="172"/>
      <c r="AE980" s="172"/>
      <c r="AF980" s="172"/>
      <c r="AG980" s="172"/>
      <c r="AH980" s="172"/>
      <c r="AI980" s="172"/>
      <c r="AJ980" s="172"/>
      <c r="AK980" s="172"/>
      <c r="AL980" s="172"/>
      <c r="AM980" s="172"/>
    </row>
    <row r="981">
      <c r="A981" s="201"/>
      <c r="B981" s="188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2"/>
      <c r="AC981" s="172"/>
      <c r="AD981" s="172"/>
      <c r="AE981" s="172"/>
      <c r="AF981" s="172"/>
      <c r="AG981" s="172"/>
      <c r="AH981" s="172"/>
      <c r="AI981" s="172"/>
      <c r="AJ981" s="172"/>
      <c r="AK981" s="172"/>
      <c r="AL981" s="172"/>
      <c r="AM981" s="172"/>
    </row>
    <row r="982">
      <c r="A982" s="200"/>
      <c r="B982" s="188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2"/>
      <c r="AC982" s="172"/>
      <c r="AD982" s="172"/>
      <c r="AE982" s="172"/>
      <c r="AF982" s="172"/>
      <c r="AG982" s="172"/>
      <c r="AH982" s="172"/>
      <c r="AI982" s="172"/>
      <c r="AJ982" s="172"/>
      <c r="AK982" s="172"/>
      <c r="AL982" s="172"/>
      <c r="AM982" s="172"/>
    </row>
    <row r="983">
      <c r="A983" s="201"/>
      <c r="B983" s="188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2"/>
      <c r="AC983" s="172"/>
      <c r="AD983" s="172"/>
      <c r="AE983" s="172"/>
      <c r="AF983" s="172"/>
      <c r="AG983" s="172"/>
      <c r="AH983" s="172"/>
      <c r="AI983" s="172"/>
      <c r="AJ983" s="172"/>
      <c r="AK983" s="172"/>
      <c r="AL983" s="172"/>
      <c r="AM983" s="172"/>
    </row>
    <row r="984">
      <c r="A984" s="200"/>
      <c r="B984" s="188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2"/>
      <c r="AC984" s="172"/>
      <c r="AD984" s="172"/>
      <c r="AE984" s="172"/>
      <c r="AF984" s="172"/>
      <c r="AG984" s="172"/>
      <c r="AH984" s="172"/>
      <c r="AI984" s="172"/>
      <c r="AJ984" s="172"/>
      <c r="AK984" s="172"/>
      <c r="AL984" s="172"/>
      <c r="AM984" s="172"/>
    </row>
    <row r="985">
      <c r="A985" s="201"/>
      <c r="B985" s="188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2"/>
      <c r="AC985" s="172"/>
      <c r="AD985" s="172"/>
      <c r="AE985" s="172"/>
      <c r="AF985" s="172"/>
      <c r="AG985" s="172"/>
      <c r="AH985" s="172"/>
      <c r="AI985" s="172"/>
      <c r="AJ985" s="172"/>
      <c r="AK985" s="172"/>
      <c r="AL985" s="172"/>
      <c r="AM985" s="172"/>
    </row>
    <row r="986">
      <c r="A986" s="200"/>
      <c r="B986" s="188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2"/>
      <c r="AC986" s="172"/>
      <c r="AD986" s="172"/>
      <c r="AE986" s="172"/>
      <c r="AF986" s="172"/>
      <c r="AG986" s="172"/>
      <c r="AH986" s="172"/>
      <c r="AI986" s="172"/>
      <c r="AJ986" s="172"/>
      <c r="AK986" s="172"/>
      <c r="AL986" s="172"/>
      <c r="AM986" s="172"/>
    </row>
    <row r="987">
      <c r="A987" s="201"/>
      <c r="B987" s="188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2"/>
      <c r="AC987" s="172"/>
      <c r="AD987" s="172"/>
      <c r="AE987" s="172"/>
      <c r="AF987" s="172"/>
      <c r="AG987" s="172"/>
      <c r="AH987" s="172"/>
      <c r="AI987" s="172"/>
      <c r="AJ987" s="172"/>
      <c r="AK987" s="172"/>
      <c r="AL987" s="172"/>
      <c r="AM987" s="172"/>
    </row>
    <row r="988">
      <c r="A988" s="200"/>
      <c r="B988" s="188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2"/>
      <c r="AC988" s="172"/>
      <c r="AD988" s="172"/>
      <c r="AE988" s="172"/>
      <c r="AF988" s="172"/>
      <c r="AG988" s="172"/>
      <c r="AH988" s="172"/>
      <c r="AI988" s="172"/>
      <c r="AJ988" s="172"/>
      <c r="AK988" s="172"/>
      <c r="AL988" s="172"/>
      <c r="AM988" s="172"/>
    </row>
    <row r="989">
      <c r="A989" s="201"/>
      <c r="B989" s="188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2"/>
      <c r="AC989" s="172"/>
      <c r="AD989" s="172"/>
      <c r="AE989" s="172"/>
      <c r="AF989" s="172"/>
      <c r="AG989" s="172"/>
      <c r="AH989" s="172"/>
      <c r="AI989" s="172"/>
      <c r="AJ989" s="172"/>
      <c r="AK989" s="172"/>
      <c r="AL989" s="172"/>
      <c r="AM989" s="172"/>
    </row>
    <row r="990">
      <c r="A990" s="200"/>
      <c r="B990" s="188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2"/>
      <c r="AC990" s="172"/>
      <c r="AD990" s="172"/>
      <c r="AE990" s="172"/>
      <c r="AF990" s="172"/>
      <c r="AG990" s="172"/>
      <c r="AH990" s="172"/>
      <c r="AI990" s="172"/>
      <c r="AJ990" s="172"/>
      <c r="AK990" s="172"/>
      <c r="AL990" s="172"/>
      <c r="AM990" s="172"/>
    </row>
  </sheetData>
  <autoFilter ref="$O$1:$AC$989"/>
  <dataValidations>
    <dataValidation type="list" allowBlank="1" sqref="A10:A51 A53:A59">
      <formula1>"Opción 1,Opción 2"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3.89"/>
    <col customWidth="1" min="5" max="5" width="0.33"/>
    <col customWidth="1" min="6" max="6" width="8.22"/>
    <col customWidth="1" min="7" max="7" width="0.33"/>
  </cols>
  <sheetData>
    <row r="1">
      <c r="A1" s="202"/>
      <c r="B1" s="203" t="str">
        <f>IFERROR(__xludf.DUMMYFUNCTION("importrange(""https://docs.google.com/spreadsheets/d/1l_1sOLfBURPAbokKUq0rIbKCqWIwmYZYZv9KpMl_kxc/edit?gid=2100274340#gid=2100274340"",""Docentes y Materias!b3:Q"")"),"Nº")</f>
        <v>Nº</v>
      </c>
      <c r="C1" s="204" t="str">
        <f>IFERROR(__xludf.DUMMYFUNCTION("""COMPUTED_VALUE"""),"CURSO")</f>
        <v>CURSO</v>
      </c>
      <c r="D1" s="205" t="str">
        <f>IFERROR(__xludf.DUMMYFUNCTION("""COMPUTED_VALUE"""),"ID GRUPO")</f>
        <v>ID GRUPO</v>
      </c>
      <c r="E1" s="206" t="str">
        <f>IFERROR(__xludf.DUMMYFUNCTION("""COMPUTED_VALUE"""),"ID")</f>
        <v>ID</v>
      </c>
      <c r="F1" s="207" t="str">
        <f>IFERROR(__xludf.DUMMYFUNCTION("""COMPUTED_VALUE"""),"AGRUPAR")</f>
        <v>AGRUPAR</v>
      </c>
      <c r="G1" s="207" t="str">
        <f>IFERROR(__xludf.DUMMYFUNCTION("""COMPUTED_VALUE"""),"OFICIAL")</f>
        <v>OFICIAL</v>
      </c>
      <c r="H1" s="207" t="str">
        <f>IFERROR(__xludf.DUMMYFUNCTION("""COMPUTED_VALUE"""),"ESCALA")</f>
        <v>ESCALA</v>
      </c>
      <c r="I1" s="207" t="str">
        <f>IFERROR(__xludf.DUMMYFUNCTION("""COMPUTED_VALUE"""),"CARGA HORARIA")</f>
        <v>CARGA HORARIA</v>
      </c>
      <c r="J1" s="208"/>
      <c r="K1" s="207" t="str">
        <f>IFERROR(__xludf.DUMMYFUNCTION("""COMPUTED_VALUE"""),"MATERIA")</f>
        <v>MATERIA</v>
      </c>
      <c r="L1" s="207" t="str">
        <f>IFERROR(__xludf.DUMMYFUNCTION("""COMPUTED_VALUE"""),"DOCENTE 2024")</f>
        <v>DOCENTE 2024</v>
      </c>
      <c r="M1" s="207" t="str">
        <f>IFERROR(__xludf.DUMMYFUNCTION("""COMPUTED_VALUE"""),"DOCENTE 2024")</f>
        <v>DOCENTE 2024</v>
      </c>
      <c r="N1" s="208"/>
      <c r="O1" s="207" t="str">
        <f>IFERROR(__xludf.DUMMYFUNCTION("""COMPUTED_VALUE"""),"DOCENTE 2025")</f>
        <v>DOCENTE 2025</v>
      </c>
      <c r="P1" s="207" t="str">
        <f>IFERROR(__xludf.DUMMYFUNCTION("""COMPUTED_VALUE"""),"Departamento")</f>
        <v>Departamento</v>
      </c>
      <c r="Q1" s="207" t="str">
        <f>IFERROR(__xludf.DUMMYFUNCTION("""COMPUTED_VALUE"""),"Razon de cambio")</f>
        <v>Razon de cambio</v>
      </c>
      <c r="R1" s="208"/>
      <c r="S1" s="208"/>
      <c r="T1" s="209"/>
      <c r="U1" s="209"/>
      <c r="V1" s="209"/>
      <c r="W1" s="209"/>
      <c r="X1" s="209"/>
      <c r="Y1" s="209"/>
      <c r="Z1" s="209"/>
      <c r="AA1" s="209"/>
      <c r="AB1" s="209"/>
    </row>
    <row r="2">
      <c r="A2" s="210" t="str">
        <f t="shared" ref="A2:A1000" si="1">O2</f>
        <v>Gabriel Aluzzo</v>
      </c>
      <c r="B2" s="210">
        <f>IFERROR(__xludf.DUMMYFUNCTION("""COMPUTED_VALUE"""),1.0)</f>
        <v>1</v>
      </c>
      <c r="C2" s="211" t="str">
        <f>IFERROR(__xludf.DUMMYFUNCTION("""COMPUTED_VALUE"""),"1º A")</f>
        <v>1º A</v>
      </c>
      <c r="D2" s="212"/>
      <c r="E2" s="213"/>
      <c r="F2" s="212"/>
      <c r="G2" s="212" t="str">
        <f>IFERROR(__xludf.DUMMYFUNCTION("""COMPUTED_VALUE"""),"si")</f>
        <v>si</v>
      </c>
      <c r="H2" s="212"/>
      <c r="I2" s="212">
        <f>IFERROR(__xludf.DUMMYFUNCTION("""COMPUTED_VALUE"""),2.0)</f>
        <v>2</v>
      </c>
      <c r="J2" s="212" t="str">
        <f>IFERROR(__xludf.DUMMYFUNCTION("""COMPUTED_VALUE""")," ES 2025")</f>
        <v> ES 2025</v>
      </c>
      <c r="K2" s="212" t="str">
        <f>IFERROR(__xludf.DUMMYFUNCTION("""COMPUTED_VALUE"""),"Arte")</f>
        <v>Arte</v>
      </c>
      <c r="L2" s="212" t="str">
        <f>IFERROR(__xludf.DUMMYFUNCTION("""COMPUTED_VALUE"""),"Gabriel Aluzzo")</f>
        <v>Gabriel Aluzzo</v>
      </c>
      <c r="M2" s="212"/>
      <c r="N2" s="212"/>
      <c r="O2" s="212" t="str">
        <f>IFERROR(__xludf.DUMMYFUNCTION("""COMPUTED_VALUE"""),"Gabriel Aluzzo")</f>
        <v>Gabriel Aluzzo</v>
      </c>
      <c r="P2" s="212" t="str">
        <f>IFERROR(__xludf.DUMMYFUNCTION("""COMPUTED_VALUE"""),"Expresion")</f>
        <v>Expresion</v>
      </c>
      <c r="Q2" s="212" t="str">
        <f>IFERROR(__xludf.DUMMYFUNCTION("""COMPUTED_VALUE"""),"Mantiene")</f>
        <v>Mantiene</v>
      </c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</row>
    <row r="3">
      <c r="A3" s="210" t="str">
        <f t="shared" si="1"/>
        <v>Gabriel Aluzzo</v>
      </c>
      <c r="B3" s="210">
        <f>IFERROR(__xludf.DUMMYFUNCTION("""COMPUTED_VALUE"""),1.0)</f>
        <v>1</v>
      </c>
      <c r="C3" s="211" t="str">
        <f>IFERROR(__xludf.DUMMYFUNCTION("""COMPUTED_VALUE"""),"1º B")</f>
        <v>1º B</v>
      </c>
      <c r="D3" s="212"/>
      <c r="E3" s="213"/>
      <c r="F3" s="212"/>
      <c r="G3" s="212" t="str">
        <f>IFERROR(__xludf.DUMMYFUNCTION("""COMPUTED_VALUE"""),"si")</f>
        <v>si</v>
      </c>
      <c r="H3" s="212"/>
      <c r="I3" s="212">
        <f>IFERROR(__xludf.DUMMYFUNCTION("""COMPUTED_VALUE"""),2.0)</f>
        <v>2</v>
      </c>
      <c r="J3" s="212"/>
      <c r="K3" s="212" t="str">
        <f>IFERROR(__xludf.DUMMYFUNCTION("""COMPUTED_VALUE"""),"Arte")</f>
        <v>Arte</v>
      </c>
      <c r="L3" s="212" t="str">
        <f>IFERROR(__xludf.DUMMYFUNCTION("""COMPUTED_VALUE"""),"Gabriel Aluzzo")</f>
        <v>Gabriel Aluzzo</v>
      </c>
      <c r="M3" s="212"/>
      <c r="N3" s="212"/>
      <c r="O3" s="212" t="str">
        <f>IFERROR(__xludf.DUMMYFUNCTION("""COMPUTED_VALUE"""),"Gabriel Aluzzo")</f>
        <v>Gabriel Aluzzo</v>
      </c>
      <c r="P3" s="212" t="str">
        <f>IFERROR(__xludf.DUMMYFUNCTION("""COMPUTED_VALUE"""),"Expresion")</f>
        <v>Expresion</v>
      </c>
      <c r="Q3" s="212" t="str">
        <f>IFERROR(__xludf.DUMMYFUNCTION("""COMPUTED_VALUE"""),"Mantiene")</f>
        <v>Mantiene</v>
      </c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>
      <c r="A4" s="210" t="str">
        <f t="shared" si="1"/>
        <v>María Laura Loyola</v>
      </c>
      <c r="B4" s="210">
        <f>IFERROR(__xludf.DUMMYFUNCTION("""COMPUTED_VALUE"""),2.0)</f>
        <v>2</v>
      </c>
      <c r="C4" s="211" t="str">
        <f>IFERROR(__xludf.DUMMYFUNCTION("""COMPUTED_VALUE"""),"1º A")</f>
        <v>1º A</v>
      </c>
      <c r="D4" s="212"/>
      <c r="E4" s="213"/>
      <c r="F4" s="212"/>
      <c r="G4" s="212" t="str">
        <f>IFERROR(__xludf.DUMMYFUNCTION("""COMPUTED_VALUE"""),"si")</f>
        <v>si</v>
      </c>
      <c r="H4" s="212"/>
      <c r="I4" s="212">
        <f>IFERROR(__xludf.DUMMYFUNCTION("""COMPUTED_VALUE"""),4.0)</f>
        <v>4</v>
      </c>
      <c r="J4" s="212"/>
      <c r="K4" s="212" t="str">
        <f>IFERROR(__xludf.DUMMYFUNCTION("""COMPUTED_VALUE"""),"Ciencias Sociales")</f>
        <v>Ciencias Sociales</v>
      </c>
      <c r="L4" s="212" t="str">
        <f>IFERROR(__xludf.DUMMYFUNCTION("""COMPUTED_VALUE"""),"María Laura Loyola")</f>
        <v>María Laura Loyola</v>
      </c>
      <c r="M4" s="212"/>
      <c r="N4" s="212"/>
      <c r="O4" s="212" t="str">
        <f>IFERROR(__xludf.DUMMYFUNCTION("""COMPUTED_VALUE"""),"María Laura Loyola")</f>
        <v>María Laura Loyola</v>
      </c>
      <c r="P4" s="212" t="str">
        <f>IFERROR(__xludf.DUMMYFUNCTION("""COMPUTED_VALUE"""),"Humanas")</f>
        <v>Humanas</v>
      </c>
      <c r="Q4" s="212" t="str">
        <f>IFERROR(__xludf.DUMMYFUNCTION("""COMPUTED_VALUE"""),"Mantiene")</f>
        <v>Mantiene</v>
      </c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</row>
    <row r="5">
      <c r="A5" s="214" t="str">
        <f t="shared" si="1"/>
        <v>María Laura Loyola</v>
      </c>
      <c r="B5" s="210">
        <f>IFERROR(__xludf.DUMMYFUNCTION("""COMPUTED_VALUE"""),2.0)</f>
        <v>2</v>
      </c>
      <c r="C5" s="211" t="str">
        <f>IFERROR(__xludf.DUMMYFUNCTION("""COMPUTED_VALUE"""),"1º B")</f>
        <v>1º B</v>
      </c>
      <c r="D5" s="212"/>
      <c r="E5" s="213"/>
      <c r="F5" s="212"/>
      <c r="G5" s="212" t="str">
        <f>IFERROR(__xludf.DUMMYFUNCTION("""COMPUTED_VALUE"""),"si")</f>
        <v>si</v>
      </c>
      <c r="H5" s="212"/>
      <c r="I5" s="212">
        <f>IFERROR(__xludf.DUMMYFUNCTION("""COMPUTED_VALUE"""),4.0)</f>
        <v>4</v>
      </c>
      <c r="J5" s="212"/>
      <c r="K5" s="212" t="str">
        <f>IFERROR(__xludf.DUMMYFUNCTION("""COMPUTED_VALUE"""),"Ciencias Sociales")</f>
        <v>Ciencias Sociales</v>
      </c>
      <c r="L5" s="212" t="str">
        <f>IFERROR(__xludf.DUMMYFUNCTION("""COMPUTED_VALUE"""),"María Laura Loyola")</f>
        <v>María Laura Loyola</v>
      </c>
      <c r="M5" s="212"/>
      <c r="N5" s="212"/>
      <c r="O5" s="215" t="str">
        <f>IFERROR(__xludf.DUMMYFUNCTION("""COMPUTED_VALUE""")," María Laura Loyola ")</f>
        <v>María Laura Loyola</v>
      </c>
      <c r="P5" s="216" t="str">
        <f>IFERROR(__xludf.DUMMYFUNCTION("""COMPUTED_VALUE"""),"Humanas")</f>
        <v>Humanas</v>
      </c>
      <c r="Q5" s="212" t="str">
        <f>IFERROR(__xludf.DUMMYFUNCTION("""COMPUTED_VALUE"""),"Mantiene")</f>
        <v>Mantiene</v>
      </c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</row>
    <row r="6">
      <c r="A6" s="214" t="str">
        <f t="shared" si="1"/>
        <v>Maria Laura Muiño</v>
      </c>
      <c r="B6" s="210">
        <f>IFERROR(__xludf.DUMMYFUNCTION("""COMPUTED_VALUE"""),3.0)</f>
        <v>3</v>
      </c>
      <c r="C6" s="211" t="str">
        <f>IFERROR(__xludf.DUMMYFUNCTION("""COMPUTED_VALUE"""),"1º A")</f>
        <v>1º A</v>
      </c>
      <c r="D6" s="212"/>
      <c r="E6" s="213"/>
      <c r="F6" s="212"/>
      <c r="G6" s="212" t="str">
        <f>IFERROR(__xludf.DUMMYFUNCTION("""COMPUTED_VALUE"""),"si")</f>
        <v>si</v>
      </c>
      <c r="H6" s="212"/>
      <c r="I6" s="212">
        <f>IFERROR(__xludf.DUMMYFUNCTION("""COMPUTED_VALUE"""),4.0)</f>
        <v>4</v>
      </c>
      <c r="J6" s="212"/>
      <c r="K6" s="212" t="str">
        <f>IFERROR(__xludf.DUMMYFUNCTION("""COMPUTED_VALUE"""),"Educación Física")</f>
        <v>Educación Física</v>
      </c>
      <c r="L6" s="212" t="str">
        <f>IFERROR(__xludf.DUMMYFUNCTION("""COMPUTED_VALUE"""),"Laura Muiño")</f>
        <v>Laura Muiño</v>
      </c>
      <c r="M6" s="212" t="str">
        <f>IFERROR(__xludf.DUMMYFUNCTION("""COMPUTED_VALUE"""),"Marcos Galván")</f>
        <v>Marcos Galván</v>
      </c>
      <c r="N6" s="212"/>
      <c r="O6" s="215" t="str">
        <f>IFERROR(__xludf.DUMMYFUNCTION("""COMPUTED_VALUE""")," Maria Laura Muiño ")</f>
        <v>Maria Laura Muiño</v>
      </c>
      <c r="P6" s="216" t="str">
        <f>IFERROR(__xludf.DUMMYFUNCTION("""COMPUTED_VALUE"""),"Educación Física")</f>
        <v>Educación Física</v>
      </c>
      <c r="Q6" s="212" t="str">
        <f>IFERROR(__xludf.DUMMYFUNCTION("""COMPUTED_VALUE"""),"CAMBIA HORAS?")</f>
        <v>CAMBIA HORAS?</v>
      </c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</row>
    <row r="7">
      <c r="A7" s="210" t="str">
        <f t="shared" si="1"/>
        <v>Diego Millet</v>
      </c>
      <c r="B7" s="210">
        <f>IFERROR(__xludf.DUMMYFUNCTION("""COMPUTED_VALUE"""),3.0)</f>
        <v>3</v>
      </c>
      <c r="C7" s="211" t="str">
        <f>IFERROR(__xludf.DUMMYFUNCTION("""COMPUTED_VALUE"""),"1º B")</f>
        <v>1º B</v>
      </c>
      <c r="D7" s="212"/>
      <c r="E7" s="213"/>
      <c r="F7" s="212"/>
      <c r="G7" s="212" t="str">
        <f>IFERROR(__xludf.DUMMYFUNCTION("""COMPUTED_VALUE"""),"si")</f>
        <v>si</v>
      </c>
      <c r="H7" s="212"/>
      <c r="I7" s="212">
        <f>IFERROR(__xludf.DUMMYFUNCTION("""COMPUTED_VALUE"""),4.0)</f>
        <v>4</v>
      </c>
      <c r="J7" s="212"/>
      <c r="K7" s="212" t="str">
        <f>IFERROR(__xludf.DUMMYFUNCTION("""COMPUTED_VALUE"""),"Educación Física")</f>
        <v>Educación Física</v>
      </c>
      <c r="L7" s="212" t="str">
        <f>IFERROR(__xludf.DUMMYFUNCTION("""COMPUTED_VALUE"""),"Diego Millet")</f>
        <v>Diego Millet</v>
      </c>
      <c r="M7" s="212" t="str">
        <f>IFERROR(__xludf.DUMMYFUNCTION("""COMPUTED_VALUE"""),"Marcos Galván")</f>
        <v>Marcos Galván</v>
      </c>
      <c r="N7" s="212"/>
      <c r="O7" s="212" t="str">
        <f>IFERROR(__xludf.DUMMYFUNCTION("""COMPUTED_VALUE"""),"Diego Millet")</f>
        <v>Diego Millet</v>
      </c>
      <c r="P7" s="212" t="str">
        <f>IFERROR(__xludf.DUMMYFUNCTION("""COMPUTED_VALUE"""),"Educación Física")</f>
        <v>Educación Física</v>
      </c>
      <c r="Q7" s="212" t="str">
        <f>IFERROR(__xludf.DUMMYFUNCTION("""COMPUTED_VALUE"""),"CAMBIA HORAS?")</f>
        <v>CAMBIA HORAS?</v>
      </c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</row>
    <row r="8">
      <c r="A8" s="210" t="str">
        <f t="shared" si="1"/>
        <v>Maria Soledad Arrambide</v>
      </c>
      <c r="B8" s="210">
        <f>IFERROR(__xludf.DUMMYFUNCTION("""COMPUTED_VALUE"""),4.0)</f>
        <v>4</v>
      </c>
      <c r="C8" s="211" t="str">
        <f>IFERROR(__xludf.DUMMYFUNCTION("""COMPUTED_VALUE"""),"1º A")</f>
        <v>1º A</v>
      </c>
      <c r="D8" s="212"/>
      <c r="E8" s="213"/>
      <c r="F8" s="212"/>
      <c r="G8" s="212" t="str">
        <f>IFERROR(__xludf.DUMMYFUNCTION("""COMPUTED_VALUE"""),"si")</f>
        <v>si</v>
      </c>
      <c r="H8" s="212"/>
      <c r="I8" s="212">
        <f>IFERROR(__xludf.DUMMYFUNCTION("""COMPUTED_VALUE"""),6.0)</f>
        <v>6</v>
      </c>
      <c r="J8" s="212"/>
      <c r="K8" s="212" t="str">
        <f>IFERROR(__xludf.DUMMYFUNCTION("""COMPUTED_VALUE"""),"English")</f>
        <v>English</v>
      </c>
      <c r="L8" s="212" t="str">
        <f>IFERROR(__xludf.DUMMYFUNCTION("""COMPUTED_VALUE"""),"Maria Soledad Arrambide")</f>
        <v>Maria Soledad Arrambide</v>
      </c>
      <c r="M8" s="212"/>
      <c r="N8" s="212"/>
      <c r="O8" s="212" t="str">
        <f>IFERROR(__xludf.DUMMYFUNCTION("""COMPUTED_VALUE"""),"Maria Soledad Arrambide")</f>
        <v>Maria Soledad Arrambide</v>
      </c>
      <c r="P8" s="212" t="str">
        <f>IFERROR(__xludf.DUMMYFUNCTION("""COMPUTED_VALUE"""),"Expresion")</f>
        <v>Expresion</v>
      </c>
      <c r="Q8" s="212" t="str">
        <f>IFERROR(__xludf.DUMMYFUNCTION("""COMPUTED_VALUE"""),"Mantiene")</f>
        <v>Mantiene</v>
      </c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</row>
    <row r="9">
      <c r="A9" s="210" t="str">
        <f t="shared" si="1"/>
        <v>Maria Soledad Arrambide</v>
      </c>
      <c r="B9" s="210">
        <f>IFERROR(__xludf.DUMMYFUNCTION("""COMPUTED_VALUE"""),4.0)</f>
        <v>4</v>
      </c>
      <c r="C9" s="211" t="str">
        <f>IFERROR(__xludf.DUMMYFUNCTION("""COMPUTED_VALUE"""),"1º B")</f>
        <v>1º B</v>
      </c>
      <c r="D9" s="212"/>
      <c r="E9" s="213"/>
      <c r="F9" s="212"/>
      <c r="G9" s="212" t="str">
        <f>IFERROR(__xludf.DUMMYFUNCTION("""COMPUTED_VALUE"""),"si")</f>
        <v>si</v>
      </c>
      <c r="H9" s="212"/>
      <c r="I9" s="212">
        <f>IFERROR(__xludf.DUMMYFUNCTION("""COMPUTED_VALUE"""),6.0)</f>
        <v>6</v>
      </c>
      <c r="J9" s="212"/>
      <c r="K9" s="212" t="str">
        <f>IFERROR(__xludf.DUMMYFUNCTION("""COMPUTED_VALUE"""),"English")</f>
        <v>English</v>
      </c>
      <c r="L9" s="212" t="str">
        <f>IFERROR(__xludf.DUMMYFUNCTION("""COMPUTED_VALUE"""),"Maria Soledad Arrambide")</f>
        <v>Maria Soledad Arrambide</v>
      </c>
      <c r="M9" s="212"/>
      <c r="N9" s="212"/>
      <c r="O9" s="212" t="str">
        <f>IFERROR(__xludf.DUMMYFUNCTION("""COMPUTED_VALUE"""),"Maria Soledad Arrambide")</f>
        <v>Maria Soledad Arrambide</v>
      </c>
      <c r="P9" s="212" t="str">
        <f>IFERROR(__xludf.DUMMYFUNCTION("""COMPUTED_VALUE"""),"Expresion")</f>
        <v>Expresion</v>
      </c>
      <c r="Q9" s="212" t="str">
        <f>IFERROR(__xludf.DUMMYFUNCTION("""COMPUTED_VALUE"""),"Mantiene")</f>
        <v>Mantiene</v>
      </c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</row>
    <row r="10">
      <c r="A10" s="210" t="str">
        <f t="shared" si="1"/>
        <v>Verónica María Bonadeo</v>
      </c>
      <c r="B10" s="210">
        <f>IFERROR(__xludf.DUMMYFUNCTION("""COMPUTED_VALUE"""),5.0)</f>
        <v>5</v>
      </c>
      <c r="C10" s="211" t="str">
        <f>IFERROR(__xludf.DUMMYFUNCTION("""COMPUTED_VALUE"""),"1º A")</f>
        <v>1º A</v>
      </c>
      <c r="D10" s="212"/>
      <c r="E10" s="213"/>
      <c r="F10" s="212"/>
      <c r="G10" s="212"/>
      <c r="H10" s="212"/>
      <c r="I10" s="212">
        <f>IFERROR(__xludf.DUMMYFUNCTION("""COMPUTED_VALUE"""),1.0)</f>
        <v>1</v>
      </c>
      <c r="J10" s="212"/>
      <c r="K10" s="212" t="str">
        <f>IFERROR(__xludf.DUMMYFUNCTION("""COMPUTED_VALUE"""),"Estudio Dirigido")</f>
        <v>Estudio Dirigido</v>
      </c>
      <c r="L10" s="212" t="str">
        <f>IFERROR(__xludf.DUMMYFUNCTION("""COMPUTED_VALUE"""),"Verónica María Bonadeo")</f>
        <v>Verónica María Bonadeo</v>
      </c>
      <c r="M10" s="212"/>
      <c r="N10" s="212"/>
      <c r="O10" s="212" t="str">
        <f>IFERROR(__xludf.DUMMYFUNCTION("""COMPUTED_VALUE"""),"Verónica María Bonadeo")</f>
        <v>Verónica María Bonadeo</v>
      </c>
      <c r="P10" s="212" t="str">
        <f>IFERROR(__xludf.DUMMYFUNCTION("""COMPUTED_VALUE"""),"Orientacion")</f>
        <v>Orientacion</v>
      </c>
      <c r="Q10" s="212" t="str">
        <f>IFERROR(__xludf.DUMMYFUNCTION("""COMPUTED_VALUE"""),"Mantiene")</f>
        <v>Mantiene</v>
      </c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</row>
    <row r="11">
      <c r="A11" s="210" t="str">
        <f t="shared" si="1"/>
        <v>Verónica María Bonadeo</v>
      </c>
      <c r="B11" s="210">
        <f>IFERROR(__xludf.DUMMYFUNCTION("""COMPUTED_VALUE"""),5.0)</f>
        <v>5</v>
      </c>
      <c r="C11" s="211" t="str">
        <f>IFERROR(__xludf.DUMMYFUNCTION("""COMPUTED_VALUE"""),"1º B")</f>
        <v>1º B</v>
      </c>
      <c r="D11" s="212"/>
      <c r="E11" s="213"/>
      <c r="F11" s="212"/>
      <c r="G11" s="212"/>
      <c r="H11" s="212"/>
      <c r="I11" s="212">
        <f>IFERROR(__xludf.DUMMYFUNCTION("""COMPUTED_VALUE"""),1.0)</f>
        <v>1</v>
      </c>
      <c r="J11" s="212"/>
      <c r="K11" s="212" t="str">
        <f>IFERROR(__xludf.DUMMYFUNCTION("""COMPUTED_VALUE"""),"Estudio Dirigido")</f>
        <v>Estudio Dirigido</v>
      </c>
      <c r="L11" s="212" t="str">
        <f>IFERROR(__xludf.DUMMYFUNCTION("""COMPUTED_VALUE"""),"Verónica María Bonadeo")</f>
        <v>Verónica María Bonadeo</v>
      </c>
      <c r="M11" s="212"/>
      <c r="N11" s="212"/>
      <c r="O11" s="212" t="str">
        <f>IFERROR(__xludf.DUMMYFUNCTION("""COMPUTED_VALUE"""),"Verónica María Bonadeo")</f>
        <v>Verónica María Bonadeo</v>
      </c>
      <c r="P11" s="212" t="str">
        <f>IFERROR(__xludf.DUMMYFUNCTION("""COMPUTED_VALUE"""),"Orientacion")</f>
        <v>Orientacion</v>
      </c>
      <c r="Q11" s="212" t="str">
        <f>IFERROR(__xludf.DUMMYFUNCTION("""COMPUTED_VALUE"""),"Mantiene")</f>
        <v>Mantiene</v>
      </c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</row>
    <row r="12">
      <c r="A12" s="210" t="str">
        <f t="shared" si="1"/>
        <v>Agustina Bieule</v>
      </c>
      <c r="B12" s="210">
        <f>IFERROR(__xludf.DUMMYFUNCTION("""COMPUTED_VALUE"""),6.0)</f>
        <v>6</v>
      </c>
      <c r="C12" s="211" t="str">
        <f>IFERROR(__xludf.DUMMYFUNCTION("""COMPUTED_VALUE"""),"1º A")</f>
        <v>1º A</v>
      </c>
      <c r="D12" s="212"/>
      <c r="E12" s="213"/>
      <c r="F12" s="212"/>
      <c r="G12" s="212"/>
      <c r="H12" s="212"/>
      <c r="I12" s="212">
        <f>IFERROR(__xludf.DUMMYFUNCTION("""COMPUTED_VALUE"""),2.0)</f>
        <v>2</v>
      </c>
      <c r="J12" s="212"/>
      <c r="K12" s="212" t="str">
        <f>IFERROR(__xludf.DUMMYFUNCTION("""COMPUTED_VALUE"""),"Formación Católica")</f>
        <v>Formación Católica</v>
      </c>
      <c r="L12" s="212" t="str">
        <f>IFERROR(__xludf.DUMMYFUNCTION("""COMPUTED_VALUE"""),"Agustina Bieule")</f>
        <v>Agustina Bieule</v>
      </c>
      <c r="M12" s="212"/>
      <c r="N12" s="212"/>
      <c r="O12" s="212" t="str">
        <f>IFERROR(__xludf.DUMMYFUNCTION("""COMPUTED_VALUE"""),"Agustina Bieule")</f>
        <v>Agustina Bieule</v>
      </c>
      <c r="P12" s="212" t="str">
        <f>IFERROR(__xludf.DUMMYFUNCTION("""COMPUTED_VALUE"""),"Formación Católica")</f>
        <v>Formación Católica</v>
      </c>
      <c r="Q12" s="212" t="str">
        <f>IFERROR(__xludf.DUMMYFUNCTION("""COMPUTED_VALUE"""),"Mantiene")</f>
        <v>Mantiene</v>
      </c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</row>
    <row r="13">
      <c r="A13" s="210" t="str">
        <f t="shared" si="1"/>
        <v>Helena Pérez Mendoza</v>
      </c>
      <c r="B13" s="210">
        <f>IFERROR(__xludf.DUMMYFUNCTION("""COMPUTED_VALUE"""),6.0)</f>
        <v>6</v>
      </c>
      <c r="C13" s="211" t="str">
        <f>IFERROR(__xludf.DUMMYFUNCTION("""COMPUTED_VALUE"""),"1º B")</f>
        <v>1º B</v>
      </c>
      <c r="D13" s="212"/>
      <c r="E13" s="213"/>
      <c r="F13" s="212"/>
      <c r="G13" s="212"/>
      <c r="H13" s="212"/>
      <c r="I13" s="212">
        <f>IFERROR(__xludf.DUMMYFUNCTION("""COMPUTED_VALUE"""),2.0)</f>
        <v>2</v>
      </c>
      <c r="J13" s="212"/>
      <c r="K13" s="212" t="str">
        <f>IFERROR(__xludf.DUMMYFUNCTION("""COMPUTED_VALUE"""),"Formación Católica")</f>
        <v>Formación Católica</v>
      </c>
      <c r="L13" s="212" t="str">
        <f>IFERROR(__xludf.DUMMYFUNCTION("""COMPUTED_VALUE"""),"Juan Ignacio Pietrodarca")</f>
        <v>Juan Ignacio Pietrodarca</v>
      </c>
      <c r="M13" s="212"/>
      <c r="N13" s="212"/>
      <c r="O13" s="212" t="str">
        <f>IFERROR(__xludf.DUMMYFUNCTION("""COMPUTED_VALUE"""),"Helena Pérez Mendoza")</f>
        <v>Helena Pérez Mendoza</v>
      </c>
      <c r="P13" s="212" t="str">
        <f>IFERROR(__xludf.DUMMYFUNCTION("""COMPUTED_VALUE"""),"Formación Católica")</f>
        <v>Formación Católica</v>
      </c>
      <c r="Q13" s="212" t="str">
        <f>IFERROR(__xludf.DUMMYFUNCTION("""COMPUTED_VALUE"""),"Nuevo x baja de profesor")</f>
        <v>Nuevo x baja de profesor</v>
      </c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</row>
    <row r="14">
      <c r="A14" s="214" t="str">
        <f t="shared" si="1"/>
        <v>Verónica María Bonadeo</v>
      </c>
      <c r="B14" s="210">
        <f>IFERROR(__xludf.DUMMYFUNCTION("""COMPUTED_VALUE"""),7.0)</f>
        <v>7</v>
      </c>
      <c r="C14" s="211" t="str">
        <f>IFERROR(__xludf.DUMMYFUNCTION("""COMPUTED_VALUE"""),"1º A")</f>
        <v>1º A</v>
      </c>
      <c r="D14" s="212"/>
      <c r="E14" s="213"/>
      <c r="F14" s="212"/>
      <c r="G14" s="212"/>
      <c r="H14" s="212"/>
      <c r="I14" s="212">
        <f>IFERROR(__xludf.DUMMYFUNCTION("""COMPUTED_VALUE"""),1.0)</f>
        <v>1</v>
      </c>
      <c r="J14" s="212"/>
      <c r="K14" s="212" t="str">
        <f>IFERROR(__xludf.DUMMYFUNCTION("""COMPUTED_VALUE"""),"Information Technology")</f>
        <v>Information Technology</v>
      </c>
      <c r="L14" s="212" t="str">
        <f>IFERROR(__xludf.DUMMYFUNCTION("""COMPUTED_VALUE"""),"Verónica María Bonadeo")</f>
        <v>Verónica María Bonadeo</v>
      </c>
      <c r="M14" s="212"/>
      <c r="N14" s="212"/>
      <c r="O14" s="215" t="str">
        <f>IFERROR(__xludf.DUMMYFUNCTION("""COMPUTED_VALUE""")," Verónica María Bonadeo ")</f>
        <v>Verónica María Bonadeo</v>
      </c>
      <c r="P14" s="216" t="str">
        <f>IFERROR(__xludf.DUMMYFUNCTION("""COMPUTED_VALUE"""),"Tecnologia")</f>
        <v>Tecnologia</v>
      </c>
      <c r="Q14" s="212" t="str">
        <f>IFERROR(__xludf.DUMMYFUNCTION("""COMPUTED_VALUE"""),"Mantiene")</f>
        <v>Mantiene</v>
      </c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</row>
    <row r="15">
      <c r="A15" s="214" t="str">
        <f t="shared" si="1"/>
        <v>Verónica María Bonadeo</v>
      </c>
      <c r="B15" s="210">
        <f>IFERROR(__xludf.DUMMYFUNCTION("""COMPUTED_VALUE"""),7.0)</f>
        <v>7</v>
      </c>
      <c r="C15" s="211" t="str">
        <f>IFERROR(__xludf.DUMMYFUNCTION("""COMPUTED_VALUE"""),"1º B")</f>
        <v>1º B</v>
      </c>
      <c r="D15" s="212"/>
      <c r="E15" s="213"/>
      <c r="F15" s="212"/>
      <c r="G15" s="212"/>
      <c r="H15" s="212"/>
      <c r="I15" s="212">
        <f>IFERROR(__xludf.DUMMYFUNCTION("""COMPUTED_VALUE"""),1.0)</f>
        <v>1</v>
      </c>
      <c r="J15" s="212"/>
      <c r="K15" s="212" t="str">
        <f>IFERROR(__xludf.DUMMYFUNCTION("""COMPUTED_VALUE"""),"Information Technology")</f>
        <v>Information Technology</v>
      </c>
      <c r="L15" s="212" t="str">
        <f>IFERROR(__xludf.DUMMYFUNCTION("""COMPUTED_VALUE"""),"Eduardo Gabriel Rougier")</f>
        <v>Eduardo Gabriel Rougier</v>
      </c>
      <c r="M15" s="212" t="str">
        <f>IFERROR(__xludf.DUMMYFUNCTION("""COMPUTED_VALUE"""),"Verónica María Bonadeo")</f>
        <v>Verónica María Bonadeo</v>
      </c>
      <c r="N15" s="212"/>
      <c r="O15" s="215" t="str">
        <f>IFERROR(__xludf.DUMMYFUNCTION("""COMPUTED_VALUE""")," Verónica María Bonadeo ")</f>
        <v>Verónica María Bonadeo</v>
      </c>
      <c r="P15" s="216" t="str">
        <f>IFERROR(__xludf.DUMMYFUNCTION("""COMPUTED_VALUE"""),"Tecnologia")</f>
        <v>Tecnologia</v>
      </c>
      <c r="Q15" s="212" t="str">
        <f>IFERROR(__xludf.DUMMYFUNCTION("""COMPUTED_VALUE"""),"Nuevo")</f>
        <v>Nuevo</v>
      </c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</row>
    <row r="16">
      <c r="A16" s="214" t="str">
        <f t="shared" si="1"/>
        <v>Catalina Novo</v>
      </c>
      <c r="B16" s="210">
        <f>IFERROR(__xludf.DUMMYFUNCTION("""COMPUTED_VALUE"""),8.0)</f>
        <v>8</v>
      </c>
      <c r="C16" s="211" t="str">
        <f>IFERROR(__xludf.DUMMYFUNCTION("""COMPUTED_VALUE"""),"1º A")</f>
        <v>1º A</v>
      </c>
      <c r="D16" s="212"/>
      <c r="E16" s="213"/>
      <c r="F16" s="212"/>
      <c r="G16" s="212" t="str">
        <f>IFERROR(__xludf.DUMMYFUNCTION("""COMPUTED_VALUE"""),"si")</f>
        <v>si</v>
      </c>
      <c r="H16" s="212"/>
      <c r="I16" s="212">
        <f>IFERROR(__xludf.DUMMYFUNCTION("""COMPUTED_VALUE"""),2.0)</f>
        <v>2</v>
      </c>
      <c r="J16" s="212"/>
      <c r="K16" s="212" t="str">
        <f>IFERROR(__xludf.DUMMYFUNCTION("""COMPUTED_VALUE"""),"Liderazgo al Servicio")</f>
        <v>Liderazgo al Servicio</v>
      </c>
      <c r="L16" s="212" t="str">
        <f>IFERROR(__xludf.DUMMYFUNCTION("""COMPUTED_VALUE"""),"Carolina Ferrari Aldaz")</f>
        <v>Carolina Ferrari Aldaz</v>
      </c>
      <c r="M16" s="212"/>
      <c r="N16" s="212"/>
      <c r="O16" s="215" t="str">
        <f>IFERROR(__xludf.DUMMYFUNCTION("""COMPUTED_VALUE""")," Catalina Novo ")</f>
        <v>Catalina Novo</v>
      </c>
      <c r="P16" s="216" t="str">
        <f>IFERROR(__xludf.DUMMYFUNCTION("""COMPUTED_VALUE"""),"Formación Católica")</f>
        <v>Formación Católica</v>
      </c>
      <c r="Q16" s="212" t="str">
        <f>IFERROR(__xludf.DUMMYFUNCTION("""COMPUTED_VALUE"""),"Nuevo x baja de profesor?????")</f>
        <v>Nuevo x baja de profesor?????</v>
      </c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</row>
    <row r="17">
      <c r="A17" s="214" t="str">
        <f t="shared" si="1"/>
        <v>Manuela Freire</v>
      </c>
      <c r="B17" s="210">
        <f>IFERROR(__xludf.DUMMYFUNCTION("""COMPUTED_VALUE"""),8.0)</f>
        <v>8</v>
      </c>
      <c r="C17" s="211" t="str">
        <f>IFERROR(__xludf.DUMMYFUNCTION("""COMPUTED_VALUE"""),"1º B")</f>
        <v>1º B</v>
      </c>
      <c r="D17" s="212"/>
      <c r="E17" s="213"/>
      <c r="F17" s="212"/>
      <c r="G17" s="212" t="str">
        <f>IFERROR(__xludf.DUMMYFUNCTION("""COMPUTED_VALUE"""),"si")</f>
        <v>si</v>
      </c>
      <c r="H17" s="212"/>
      <c r="I17" s="212">
        <f>IFERROR(__xludf.DUMMYFUNCTION("""COMPUTED_VALUE"""),2.0)</f>
        <v>2</v>
      </c>
      <c r="J17" s="212"/>
      <c r="K17" s="212" t="str">
        <f>IFERROR(__xludf.DUMMYFUNCTION("""COMPUTED_VALUE"""),"Liderazgo al Servicio")</f>
        <v>Liderazgo al Servicio</v>
      </c>
      <c r="L17" s="212" t="str">
        <f>IFERROR(__xludf.DUMMYFUNCTION("""COMPUTED_VALUE"""),"Carolina Ferrari Aldaz")</f>
        <v>Carolina Ferrari Aldaz</v>
      </c>
      <c r="M17" s="212"/>
      <c r="N17" s="212"/>
      <c r="O17" s="215" t="str">
        <f>IFERROR(__xludf.DUMMYFUNCTION("""COMPUTED_VALUE""")," Manuela Freire ")</f>
        <v>Manuela Freire</v>
      </c>
      <c r="P17" s="216" t="str">
        <f>IFERROR(__xludf.DUMMYFUNCTION("""COMPUTED_VALUE"""),"Formación Católica")</f>
        <v>Formación Católica</v>
      </c>
      <c r="Q17" s="212" t="str">
        <f>IFERROR(__xludf.DUMMYFUNCTION("""COMPUTED_VALUE"""),"Nuevo x baja de profesor?????")</f>
        <v>Nuevo x baja de profesor?????</v>
      </c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</row>
    <row r="18">
      <c r="A18" s="210" t="str">
        <f t="shared" si="1"/>
        <v>Astrid Vanina Santa Maria</v>
      </c>
      <c r="B18" s="210">
        <f>IFERROR(__xludf.DUMMYFUNCTION("""COMPUTED_VALUE"""),9.0)</f>
        <v>9</v>
      </c>
      <c r="C18" s="211" t="str">
        <f>IFERROR(__xludf.DUMMYFUNCTION("""COMPUTED_VALUE"""),"1º A")</f>
        <v>1º A</v>
      </c>
      <c r="D18" s="212"/>
      <c r="E18" s="213"/>
      <c r="F18" s="212"/>
      <c r="G18" s="212"/>
      <c r="H18" s="212"/>
      <c r="I18" s="212">
        <f>IFERROR(__xludf.DUMMYFUNCTION("""COMPUTED_VALUE"""),2.0)</f>
        <v>2</v>
      </c>
      <c r="J18" s="212"/>
      <c r="K18" s="212" t="str">
        <f>IFERROR(__xludf.DUMMYFUNCTION("""COMPUTED_VALUE"""),"Literature")</f>
        <v>Literature</v>
      </c>
      <c r="L18" s="212" t="str">
        <f>IFERROR(__xludf.DUMMYFUNCTION("""COMPUTED_VALUE"""),"María Martha D'Adamo")</f>
        <v>María Martha D'Adamo</v>
      </c>
      <c r="M18" s="212"/>
      <c r="N18" s="212" t="str">
        <f>IFERROR(__xludf.DUMMYFUNCTION("""COMPUTED_VALUE"""),"María Martha D'Adamo")</f>
        <v>María Martha D'Adamo</v>
      </c>
      <c r="O18" s="212" t="str">
        <f>IFERROR(__xludf.DUMMYFUNCTION("""COMPUTED_VALUE"""),"Astrid Vanina Santa Maria")</f>
        <v>Astrid Vanina Santa Maria</v>
      </c>
      <c r="P18" s="212" t="str">
        <f>IFERROR(__xludf.DUMMYFUNCTION("""COMPUTED_VALUE"""),"Expresion")</f>
        <v>Expresion</v>
      </c>
      <c r="Q18" s="212" t="str">
        <f>IFERROR(__xludf.DUMMYFUNCTION("""COMPUTED_VALUE"""),"Nuevo x baja de profesor")</f>
        <v>Nuevo x baja de profesor</v>
      </c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</row>
    <row r="19">
      <c r="A19" s="214" t="str">
        <f t="shared" si="1"/>
        <v>Astrid Vanina Santa Maria</v>
      </c>
      <c r="B19" s="210">
        <f>IFERROR(__xludf.DUMMYFUNCTION("""COMPUTED_VALUE"""),9.0)</f>
        <v>9</v>
      </c>
      <c r="C19" s="211" t="str">
        <f>IFERROR(__xludf.DUMMYFUNCTION("""COMPUTED_VALUE"""),"1º B")</f>
        <v>1º B</v>
      </c>
      <c r="D19" s="212"/>
      <c r="E19" s="213"/>
      <c r="F19" s="212"/>
      <c r="G19" s="212"/>
      <c r="H19" s="212"/>
      <c r="I19" s="212">
        <f>IFERROR(__xludf.DUMMYFUNCTION("""COMPUTED_VALUE"""),2.0)</f>
        <v>2</v>
      </c>
      <c r="J19" s="212"/>
      <c r="K19" s="212" t="str">
        <f>IFERROR(__xludf.DUMMYFUNCTION("""COMPUTED_VALUE"""),"Literature")</f>
        <v>Literature</v>
      </c>
      <c r="L19" s="212" t="str">
        <f>IFERROR(__xludf.DUMMYFUNCTION("""COMPUTED_VALUE"""),"María Victoria Ize")</f>
        <v>María Victoria Ize</v>
      </c>
      <c r="M19" s="212"/>
      <c r="N19" s="212"/>
      <c r="O19" s="215" t="str">
        <f>IFERROR(__xludf.DUMMYFUNCTION("""COMPUTED_VALUE""")," Astrid Vanina Santa Maria ")</f>
        <v>Astrid Vanina Santa Maria</v>
      </c>
      <c r="P19" s="216" t="str">
        <f>IFERROR(__xludf.DUMMYFUNCTION("""COMPUTED_VALUE"""),"Expresion")</f>
        <v>Expresion</v>
      </c>
      <c r="Q19" s="212" t="str">
        <f>IFERROR(__xludf.DUMMYFUNCTION("""COMPUTED_VALUE"""),"Nuevo x baja de profesor")</f>
        <v>Nuevo x baja de profesor</v>
      </c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</row>
    <row r="20">
      <c r="A20" s="210" t="str">
        <f t="shared" si="1"/>
        <v>María Gabriela Redolfi</v>
      </c>
      <c r="B20" s="210">
        <f>IFERROR(__xludf.DUMMYFUNCTION("""COMPUTED_VALUE"""),10.0)</f>
        <v>10</v>
      </c>
      <c r="C20" s="211" t="str">
        <f>IFERROR(__xludf.DUMMYFUNCTION("""COMPUTED_VALUE"""),"1º A")</f>
        <v>1º A</v>
      </c>
      <c r="D20" s="212"/>
      <c r="E20" s="213"/>
      <c r="F20" s="212"/>
      <c r="G20" s="212" t="str">
        <f>IFERROR(__xludf.DUMMYFUNCTION("""COMPUTED_VALUE"""),"si")</f>
        <v>si</v>
      </c>
      <c r="H20" s="212"/>
      <c r="I20" s="212">
        <f>IFERROR(__xludf.DUMMYFUNCTION("""COMPUTED_VALUE"""),4.0)</f>
        <v>4</v>
      </c>
      <c r="J20" s="212"/>
      <c r="K20" s="212" t="str">
        <f>IFERROR(__xludf.DUMMYFUNCTION("""COMPUTED_VALUE"""),"Maths")</f>
        <v>Maths</v>
      </c>
      <c r="L20" s="212" t="str">
        <f>IFERROR(__xludf.DUMMYFUNCTION("""COMPUTED_VALUE"""),"María Gabriela Redolfi")</f>
        <v>María Gabriela Redolfi</v>
      </c>
      <c r="M20" s="212"/>
      <c r="N20" s="212"/>
      <c r="O20" s="212" t="str">
        <f>IFERROR(__xludf.DUMMYFUNCTION("""COMPUTED_VALUE"""),"María Gabriela Redolfi")</f>
        <v>María Gabriela Redolfi</v>
      </c>
      <c r="P20" s="212" t="str">
        <f>IFERROR(__xludf.DUMMYFUNCTION("""COMPUTED_VALUE"""),"Exactas")</f>
        <v>Exactas</v>
      </c>
      <c r="Q20" s="212" t="str">
        <f>IFERROR(__xludf.DUMMYFUNCTION("""COMPUTED_VALUE"""),"Mantiene")</f>
        <v>Mantiene</v>
      </c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</row>
    <row r="21">
      <c r="A21" s="214" t="str">
        <f t="shared" si="1"/>
        <v>María Gabriela Redolfi</v>
      </c>
      <c r="B21" s="210">
        <f>IFERROR(__xludf.DUMMYFUNCTION("""COMPUTED_VALUE"""),10.0)</f>
        <v>10</v>
      </c>
      <c r="C21" s="211" t="str">
        <f>IFERROR(__xludf.DUMMYFUNCTION("""COMPUTED_VALUE"""),"1º B")</f>
        <v>1º B</v>
      </c>
      <c r="D21" s="212"/>
      <c r="E21" s="213"/>
      <c r="F21" s="212"/>
      <c r="G21" s="212" t="str">
        <f>IFERROR(__xludf.DUMMYFUNCTION("""COMPUTED_VALUE"""),"si")</f>
        <v>si</v>
      </c>
      <c r="H21" s="212"/>
      <c r="I21" s="212">
        <f>IFERROR(__xludf.DUMMYFUNCTION("""COMPUTED_VALUE"""),4.0)</f>
        <v>4</v>
      </c>
      <c r="J21" s="212"/>
      <c r="K21" s="212" t="str">
        <f>IFERROR(__xludf.DUMMYFUNCTION("""COMPUTED_VALUE"""),"Maths")</f>
        <v>Maths</v>
      </c>
      <c r="L21" s="212" t="str">
        <f>IFERROR(__xludf.DUMMYFUNCTION("""COMPUTED_VALUE"""),"María Gabriela Redolfi")</f>
        <v>María Gabriela Redolfi</v>
      </c>
      <c r="M21" s="212"/>
      <c r="N21" s="212"/>
      <c r="O21" s="215" t="str">
        <f>IFERROR(__xludf.DUMMYFUNCTION("""COMPUTED_VALUE""")," María Gabriela Redolfi ")</f>
        <v>María Gabriela Redolfi</v>
      </c>
      <c r="P21" s="216" t="str">
        <f>IFERROR(__xludf.DUMMYFUNCTION("""COMPUTED_VALUE"""),"Exactas")</f>
        <v>Exactas</v>
      </c>
      <c r="Q21" s="212" t="str">
        <f>IFERROR(__xludf.DUMMYFUNCTION("""COMPUTED_VALUE"""),"Mantiene")</f>
        <v>Mantiene</v>
      </c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</row>
    <row r="22">
      <c r="A22" s="214" t="str">
        <f t="shared" si="1"/>
        <v>Facundo Laborde</v>
      </c>
      <c r="B22" s="210">
        <f>IFERROR(__xludf.DUMMYFUNCTION("""COMPUTED_VALUE"""),11.0)</f>
        <v>11</v>
      </c>
      <c r="C22" s="211" t="str">
        <f>IFERROR(__xludf.DUMMYFUNCTION("""COMPUTED_VALUE"""),"1º A")</f>
        <v>1º A</v>
      </c>
      <c r="D22" s="212"/>
      <c r="E22" s="213"/>
      <c r="F22" s="212"/>
      <c r="G22" s="212"/>
      <c r="H22" s="212"/>
      <c r="I22" s="212">
        <f>IFERROR(__xludf.DUMMYFUNCTION("""COMPUTED_VALUE"""),1.0)</f>
        <v>1</v>
      </c>
      <c r="J22" s="212"/>
      <c r="K22" s="212" t="str">
        <f>IFERROR(__xludf.DUMMYFUNCTION("""COMPUTED_VALUE"""),"Música")</f>
        <v>Música</v>
      </c>
      <c r="L22" s="212" t="str">
        <f>IFERROR(__xludf.DUMMYFUNCTION("""COMPUTED_VALUE"""),"Facundo Laborde")</f>
        <v>Facundo Laborde</v>
      </c>
      <c r="M22" s="212"/>
      <c r="N22" s="212"/>
      <c r="O22" s="215" t="str">
        <f>IFERROR(__xludf.DUMMYFUNCTION("""COMPUTED_VALUE""")," Facundo Laborde ")</f>
        <v>Facundo Laborde</v>
      </c>
      <c r="P22" s="216" t="str">
        <f>IFERROR(__xludf.DUMMYFUNCTION("""COMPUTED_VALUE"""),"Expresion")</f>
        <v>Expresion</v>
      </c>
      <c r="Q22" s="212" t="str">
        <f>IFERROR(__xludf.DUMMYFUNCTION("""COMPUTED_VALUE"""),"Mantiene")</f>
        <v>Mantiene</v>
      </c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</row>
    <row r="23">
      <c r="A23" s="214" t="str">
        <f t="shared" si="1"/>
        <v>Facundo Laborde</v>
      </c>
      <c r="B23" s="210">
        <f>IFERROR(__xludf.DUMMYFUNCTION("""COMPUTED_VALUE"""),11.0)</f>
        <v>11</v>
      </c>
      <c r="C23" s="211" t="str">
        <f>IFERROR(__xludf.DUMMYFUNCTION("""COMPUTED_VALUE"""),"1º B")</f>
        <v>1º B</v>
      </c>
      <c r="D23" s="212"/>
      <c r="E23" s="213"/>
      <c r="F23" s="212"/>
      <c r="G23" s="212"/>
      <c r="H23" s="212"/>
      <c r="I23" s="212">
        <f>IFERROR(__xludf.DUMMYFUNCTION("""COMPUTED_VALUE"""),1.0)</f>
        <v>1</v>
      </c>
      <c r="J23" s="212"/>
      <c r="K23" s="212" t="str">
        <f>IFERROR(__xludf.DUMMYFUNCTION("""COMPUTED_VALUE"""),"Música")</f>
        <v>Música</v>
      </c>
      <c r="L23" s="212" t="str">
        <f>IFERROR(__xludf.DUMMYFUNCTION("""COMPUTED_VALUE"""),"Facundo Laborde")</f>
        <v>Facundo Laborde</v>
      </c>
      <c r="M23" s="212"/>
      <c r="N23" s="212"/>
      <c r="O23" s="215" t="str">
        <f>IFERROR(__xludf.DUMMYFUNCTION("""COMPUTED_VALUE""")," Facundo Laborde ")</f>
        <v>Facundo Laborde</v>
      </c>
      <c r="P23" s="216" t="str">
        <f>IFERROR(__xludf.DUMMYFUNCTION("""COMPUTED_VALUE"""),"Expresion")</f>
        <v>Expresion</v>
      </c>
      <c r="Q23" s="212" t="str">
        <f>IFERROR(__xludf.DUMMYFUNCTION("""COMPUTED_VALUE"""),"Mantiene")</f>
        <v>Mantiene</v>
      </c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</row>
    <row r="24">
      <c r="A24" s="210" t="str">
        <f t="shared" si="1"/>
        <v>Valeria Cerruti</v>
      </c>
      <c r="B24" s="210">
        <f>IFERROR(__xludf.DUMMYFUNCTION("""COMPUTED_VALUE"""),12.0)</f>
        <v>12</v>
      </c>
      <c r="C24" s="211" t="str">
        <f>IFERROR(__xludf.DUMMYFUNCTION("""COMPUTED_VALUE"""),"1º A")</f>
        <v>1º A</v>
      </c>
      <c r="D24" s="212"/>
      <c r="E24" s="213"/>
      <c r="F24" s="212" t="str">
        <f>IFERROR(__xludf.DUMMYFUNCTION("""COMPUTED_VALUE"""),"Nat Science")</f>
        <v>Nat Science</v>
      </c>
      <c r="G24" s="212" t="str">
        <f>IFERROR(__xludf.DUMMYFUNCTION("""COMPUTED_VALUE"""),"si")</f>
        <v>si</v>
      </c>
      <c r="H24" s="212"/>
      <c r="I24" s="212">
        <f>IFERROR(__xludf.DUMMYFUNCTION("""COMPUTED_VALUE"""),4.0)</f>
        <v>4</v>
      </c>
      <c r="J24" s="212"/>
      <c r="K24" s="212" t="str">
        <f>IFERROR(__xludf.DUMMYFUNCTION("""COMPUTED_VALUE"""),"Natural Sciences")</f>
        <v>Natural Sciences</v>
      </c>
      <c r="L24" s="212" t="str">
        <f>IFERROR(__xludf.DUMMYFUNCTION("""COMPUTED_VALUE"""),"Cecilia Garcia Reinoso")</f>
        <v>Cecilia Garcia Reinoso</v>
      </c>
      <c r="M24" s="212"/>
      <c r="N24" s="212"/>
      <c r="O24" s="212" t="str">
        <f>IFERROR(__xludf.DUMMYFUNCTION("""COMPUTED_VALUE"""),"Valeria Cerruti")</f>
        <v>Valeria Cerruti</v>
      </c>
      <c r="P24" s="212" t="str">
        <f>IFERROR(__xludf.DUMMYFUNCTION("""COMPUTED_VALUE"""),"Exactas")</f>
        <v>Exactas</v>
      </c>
      <c r="Q24" s="212" t="str">
        <f>IFERROR(__xludf.DUMMYFUNCTION("""COMPUTED_VALUE"""),"Nuevo x baja de profesor")</f>
        <v>Nuevo x baja de profesor</v>
      </c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</row>
    <row r="25">
      <c r="A25" s="214" t="str">
        <f t="shared" si="1"/>
        <v>Cecilia Lund Petersen</v>
      </c>
      <c r="B25" s="210">
        <f>IFERROR(__xludf.DUMMYFUNCTION("""COMPUTED_VALUE"""),12.0)</f>
        <v>12</v>
      </c>
      <c r="C25" s="211" t="str">
        <f>IFERROR(__xludf.DUMMYFUNCTION("""COMPUTED_VALUE"""),"1º B")</f>
        <v>1º B</v>
      </c>
      <c r="D25" s="212"/>
      <c r="E25" s="213"/>
      <c r="F25" s="212"/>
      <c r="G25" s="212" t="str">
        <f>IFERROR(__xludf.DUMMYFUNCTION("""COMPUTED_VALUE"""),"si")</f>
        <v>si</v>
      </c>
      <c r="H25" s="212"/>
      <c r="I25" s="212">
        <f>IFERROR(__xludf.DUMMYFUNCTION("""COMPUTED_VALUE"""),4.0)</f>
        <v>4</v>
      </c>
      <c r="J25" s="212"/>
      <c r="K25" s="212" t="str">
        <f>IFERROR(__xludf.DUMMYFUNCTION("""COMPUTED_VALUE"""),"Natural Sciences")</f>
        <v>Natural Sciences</v>
      </c>
      <c r="L25" s="212" t="str">
        <f>IFERROR(__xludf.DUMMYFUNCTION("""COMPUTED_VALUE"""),"Cecilia Lund Petersen")</f>
        <v>Cecilia Lund Petersen</v>
      </c>
      <c r="M25" s="212"/>
      <c r="N25" s="212"/>
      <c r="O25" s="215" t="str">
        <f>IFERROR(__xludf.DUMMYFUNCTION("""COMPUTED_VALUE""")," Cecilia Lund Petersen ")</f>
        <v>Cecilia Lund Petersen</v>
      </c>
      <c r="P25" s="216" t="str">
        <f>IFERROR(__xludf.DUMMYFUNCTION("""COMPUTED_VALUE"""),"Exactas")</f>
        <v>Exactas</v>
      </c>
      <c r="Q25" s="212" t="str">
        <f>IFERROR(__xludf.DUMMYFUNCTION("""COMPUTED_VALUE"""),"Mantiene")</f>
        <v>Mantiene</v>
      </c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</row>
    <row r="26">
      <c r="A26" s="214" t="str">
        <f t="shared" si="1"/>
        <v>Aylén Junquet</v>
      </c>
      <c r="B26" s="210">
        <f>IFERROR(__xludf.DUMMYFUNCTION("""COMPUTED_VALUE"""),13.0)</f>
        <v>13</v>
      </c>
      <c r="C26" s="211" t="str">
        <f>IFERROR(__xludf.DUMMYFUNCTION("""COMPUTED_VALUE"""),"1º A")</f>
        <v>1º A</v>
      </c>
      <c r="D26" s="212"/>
      <c r="E26" s="213"/>
      <c r="F26" s="212"/>
      <c r="G26" s="212"/>
      <c r="H26" s="212"/>
      <c r="I26" s="212">
        <f>IFERROR(__xludf.DUMMYFUNCTION("""COMPUTED_VALUE"""),1.0)</f>
        <v>1</v>
      </c>
      <c r="J26" s="212"/>
      <c r="K26" s="212" t="str">
        <f>IFERROR(__xludf.DUMMYFUNCTION("""COMPUTED_VALUE"""),"Orientación")</f>
        <v>Orientación</v>
      </c>
      <c r="L26" s="212" t="str">
        <f>IFERROR(__xludf.DUMMYFUNCTION("""COMPUTED_VALUE"""),"Pilar Azqueta")</f>
        <v>Pilar Azqueta</v>
      </c>
      <c r="M26" s="212"/>
      <c r="N26" s="212"/>
      <c r="O26" s="215" t="str">
        <f>IFERROR(__xludf.DUMMYFUNCTION("""COMPUTED_VALUE""")," Aylén Junquet ")</f>
        <v>Aylén Junquet</v>
      </c>
      <c r="P26" s="216" t="str">
        <f>IFERROR(__xludf.DUMMYFUNCTION("""COMPUTED_VALUE"""),"Orientacion")</f>
        <v>Orientacion</v>
      </c>
      <c r="Q26" s="212" t="str">
        <f>IFERROR(__xludf.DUMMYFUNCTION("""COMPUTED_VALUE"""),"Nuevo x baja de profesor")</f>
        <v>Nuevo x baja de profesor</v>
      </c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</row>
    <row r="27">
      <c r="A27" s="210" t="str">
        <f t="shared" si="1"/>
        <v>Juan Ignacio Cacciamano</v>
      </c>
      <c r="B27" s="210">
        <f>IFERROR(__xludf.DUMMYFUNCTION("""COMPUTED_VALUE"""),13.0)</f>
        <v>13</v>
      </c>
      <c r="C27" s="211" t="str">
        <f>IFERROR(__xludf.DUMMYFUNCTION("""COMPUTED_VALUE"""),"1º B")</f>
        <v>1º B</v>
      </c>
      <c r="D27" s="212"/>
      <c r="E27" s="213"/>
      <c r="F27" s="212"/>
      <c r="G27" s="212"/>
      <c r="H27" s="212"/>
      <c r="I27" s="212">
        <f>IFERROR(__xludf.DUMMYFUNCTION("""COMPUTED_VALUE"""),1.0)</f>
        <v>1</v>
      </c>
      <c r="J27" s="212"/>
      <c r="K27" s="212" t="str">
        <f>IFERROR(__xludf.DUMMYFUNCTION("""COMPUTED_VALUE"""),"Orientación")</f>
        <v>Orientación</v>
      </c>
      <c r="L27" s="212" t="str">
        <f>IFERROR(__xludf.DUMMYFUNCTION("""COMPUTED_VALUE"""),"Nelson Aquino")</f>
        <v>Nelson Aquino</v>
      </c>
      <c r="M27" s="212" t="str">
        <f>IFERROR(__xludf.DUMMYFUNCTION("""COMPUTED_VALUE"""),"Nicolás Leonel Mai")</f>
        <v>Nicolás Leonel Mai</v>
      </c>
      <c r="N27" s="212"/>
      <c r="O27" s="212" t="str">
        <f>IFERROR(__xludf.DUMMYFUNCTION("""COMPUTED_VALUE"""),"Juan Ignacio Cacciamano")</f>
        <v>Juan Ignacio Cacciamano</v>
      </c>
      <c r="P27" s="212" t="str">
        <f>IFERROR(__xludf.DUMMYFUNCTION("""COMPUTED_VALUE"""),"Orientacion")</f>
        <v>Orientacion</v>
      </c>
      <c r="Q27" s="212" t="str">
        <f>IFERROR(__xludf.DUMMYFUNCTION("""COMPUTED_VALUE"""),"Nuevo x baja de profesor")</f>
        <v>Nuevo x baja de profesor</v>
      </c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>
      <c r="A28" s="210" t="str">
        <f t="shared" si="1"/>
        <v>Bentes</v>
      </c>
      <c r="B28" s="210">
        <f>IFERROR(__xludf.DUMMYFUNCTION("""COMPUTED_VALUE"""),14.0)</f>
        <v>14</v>
      </c>
      <c r="C28" s="211" t="str">
        <f>IFERROR(__xludf.DUMMYFUNCTION("""COMPUTED_VALUE"""),"1º A")</f>
        <v>1º A</v>
      </c>
      <c r="D28" s="212"/>
      <c r="E28" s="213"/>
      <c r="F28" s="212"/>
      <c r="G28" s="212"/>
      <c r="H28" s="212"/>
      <c r="I28" s="212">
        <f>IFERROR(__xludf.DUMMYFUNCTION("""COMPUTED_VALUE"""),2.0)</f>
        <v>2</v>
      </c>
      <c r="J28" s="212"/>
      <c r="K28" s="212" t="str">
        <f>IFERROR(__xludf.DUMMYFUNCTION("""COMPUTED_VALUE"""),"Portugués")</f>
        <v>Portugués</v>
      </c>
      <c r="L28" s="212" t="str">
        <f>IFERROR(__xludf.DUMMYFUNCTION("""COMPUTED_VALUE"""),"Norma Beatriz Kimmel")</f>
        <v>Norma Beatriz Kimmel</v>
      </c>
      <c r="M28" s="212"/>
      <c r="N28" s="212"/>
      <c r="O28" s="212" t="str">
        <f>IFERROR(__xludf.DUMMYFUNCTION("""COMPUTED_VALUE"""),"Bentes")</f>
        <v>Bentes</v>
      </c>
      <c r="P28" s="212" t="str">
        <f>IFERROR(__xludf.DUMMYFUNCTION("""COMPUTED_VALUE"""),"Expresion")</f>
        <v>Expresion</v>
      </c>
      <c r="Q28" s="212" t="str">
        <f>IFERROR(__xludf.DUMMYFUNCTION("""COMPUTED_VALUE"""),"Nuevo x baja de profesor")</f>
        <v>Nuevo x baja de profesor</v>
      </c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</row>
    <row r="29">
      <c r="A29" s="214" t="str">
        <f t="shared" si="1"/>
        <v>Bentes</v>
      </c>
      <c r="B29" s="210">
        <f>IFERROR(__xludf.DUMMYFUNCTION("""COMPUTED_VALUE"""),14.0)</f>
        <v>14</v>
      </c>
      <c r="C29" s="211" t="str">
        <f>IFERROR(__xludf.DUMMYFUNCTION("""COMPUTED_VALUE"""),"1º B")</f>
        <v>1º B</v>
      </c>
      <c r="D29" s="212"/>
      <c r="E29" s="213"/>
      <c r="F29" s="212"/>
      <c r="G29" s="212"/>
      <c r="H29" s="212"/>
      <c r="I29" s="212">
        <f>IFERROR(__xludf.DUMMYFUNCTION("""COMPUTED_VALUE"""),2.0)</f>
        <v>2</v>
      </c>
      <c r="J29" s="212"/>
      <c r="K29" s="212" t="str">
        <f>IFERROR(__xludf.DUMMYFUNCTION("""COMPUTED_VALUE"""),"Portugués")</f>
        <v>Portugués</v>
      </c>
      <c r="L29" s="212" t="str">
        <f>IFERROR(__xludf.DUMMYFUNCTION("""COMPUTED_VALUE"""),"Norma Beatriz Kimmel")</f>
        <v>Norma Beatriz Kimmel</v>
      </c>
      <c r="M29" s="212"/>
      <c r="N29" s="212"/>
      <c r="O29" s="215" t="str">
        <f>IFERROR(__xludf.DUMMYFUNCTION("""COMPUTED_VALUE""")," Bentes ")</f>
        <v>Bentes</v>
      </c>
      <c r="P29" s="216" t="str">
        <f>IFERROR(__xludf.DUMMYFUNCTION("""COMPUTED_VALUE"""),"Expresion")</f>
        <v>Expresion</v>
      </c>
      <c r="Q29" s="212" t="str">
        <f>IFERROR(__xludf.DUMMYFUNCTION("""COMPUTED_VALUE"""),"Nuevo x baja de profesor")</f>
        <v>Nuevo x baja de profesor</v>
      </c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</row>
    <row r="30">
      <c r="A30" s="210" t="str">
        <f t="shared" si="1"/>
        <v>Roberta Ludueña</v>
      </c>
      <c r="B30" s="210">
        <f>IFERROR(__xludf.DUMMYFUNCTION("""COMPUTED_VALUE"""),15.0)</f>
        <v>15</v>
      </c>
      <c r="C30" s="211" t="str">
        <f>IFERROR(__xludf.DUMMYFUNCTION("""COMPUTED_VALUE"""),"1º A")</f>
        <v>1º A</v>
      </c>
      <c r="D30" s="212"/>
      <c r="E30" s="213"/>
      <c r="F30" s="212"/>
      <c r="G30" s="212" t="str">
        <f>IFERROR(__xludf.DUMMYFUNCTION("""COMPUTED_VALUE"""),"si")</f>
        <v>si</v>
      </c>
      <c r="H30" s="212"/>
      <c r="I30" s="212">
        <f>IFERROR(__xludf.DUMMYFUNCTION("""COMPUTED_VALUE"""),4.0)</f>
        <v>4</v>
      </c>
      <c r="J30" s="212"/>
      <c r="K30" s="212" t="str">
        <f>IFERROR(__xludf.DUMMYFUNCTION("""COMPUTED_VALUE"""),"Prácticas del Lenguaje")</f>
        <v>Prácticas del Lenguaje</v>
      </c>
      <c r="L30" s="212" t="str">
        <f>IFERROR(__xludf.DUMMYFUNCTION("""COMPUTED_VALUE"""),"Soledad Vilar")</f>
        <v>Soledad Vilar</v>
      </c>
      <c r="M30" s="212"/>
      <c r="N30" s="212"/>
      <c r="O30" s="212" t="str">
        <f>IFERROR(__xludf.DUMMYFUNCTION("""COMPUTED_VALUE"""),"Roberta Ludueña")</f>
        <v>Roberta Ludueña</v>
      </c>
      <c r="P30" s="212" t="str">
        <f>IFERROR(__xludf.DUMMYFUNCTION("""COMPUTED_VALUE"""),"Expresion")</f>
        <v>Expresion</v>
      </c>
      <c r="Q30" s="212" t="str">
        <f>IFERROR(__xludf.DUMMYFUNCTION("""COMPUTED_VALUE"""),"Nuevo")</f>
        <v>Nuevo</v>
      </c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</row>
    <row r="31">
      <c r="A31" s="214" t="str">
        <f t="shared" si="1"/>
        <v>Mercedes Vitullo</v>
      </c>
      <c r="B31" s="210">
        <f>IFERROR(__xludf.DUMMYFUNCTION("""COMPUTED_VALUE"""),15.0)</f>
        <v>15</v>
      </c>
      <c r="C31" s="211" t="str">
        <f>IFERROR(__xludf.DUMMYFUNCTION("""COMPUTED_VALUE"""),"1º B")</f>
        <v>1º B</v>
      </c>
      <c r="D31" s="212"/>
      <c r="E31" s="213"/>
      <c r="F31" s="212"/>
      <c r="G31" s="212" t="str">
        <f>IFERROR(__xludf.DUMMYFUNCTION("""COMPUTED_VALUE"""),"si")</f>
        <v>si</v>
      </c>
      <c r="H31" s="212"/>
      <c r="I31" s="212"/>
      <c r="J31" s="212"/>
      <c r="K31" s="212" t="str">
        <f>IFERROR(__xludf.DUMMYFUNCTION("""COMPUTED_VALUE"""),"Prácticas del Lenguaje")</f>
        <v>Prácticas del Lenguaje</v>
      </c>
      <c r="L31" s="212" t="str">
        <f>IFERROR(__xludf.DUMMYFUNCTION("""COMPUTED_VALUE"""),"Soledad Vilar")</f>
        <v>Soledad Vilar</v>
      </c>
      <c r="M31" s="212"/>
      <c r="N31" s="212"/>
      <c r="O31" s="215" t="str">
        <f>IFERROR(__xludf.DUMMYFUNCTION("""COMPUTED_VALUE""")," Mercedes Vitullo ")</f>
        <v>Mercedes Vitullo</v>
      </c>
      <c r="P31" s="216" t="str">
        <f>IFERROR(__xludf.DUMMYFUNCTION("""COMPUTED_VALUE"""),"Expresion")</f>
        <v>Expresion</v>
      </c>
      <c r="Q31" s="212" t="str">
        <f>IFERROR(__xludf.DUMMYFUNCTION("""COMPUTED_VALUE"""),"Nuevo")</f>
        <v>Nuevo</v>
      </c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</row>
    <row r="32">
      <c r="A32" s="210" t="str">
        <f t="shared" si="1"/>
        <v/>
      </c>
      <c r="B32" s="210">
        <f>IFERROR(__xludf.DUMMYFUNCTION("""COMPUTED_VALUE"""),16.0)</f>
        <v>16</v>
      </c>
      <c r="C32" s="211" t="str">
        <f>IFERROR(__xludf.DUMMYFUNCTION("""COMPUTED_VALUE"""),"1º A")</f>
        <v>1º A</v>
      </c>
      <c r="D32" s="212"/>
      <c r="E32" s="213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</row>
    <row r="33">
      <c r="A33" s="210" t="str">
        <f t="shared" si="1"/>
        <v/>
      </c>
      <c r="B33" s="210">
        <f>IFERROR(__xludf.DUMMYFUNCTION("""COMPUTED_VALUE"""),16.0)</f>
        <v>16</v>
      </c>
      <c r="C33" s="211" t="str">
        <f>IFERROR(__xludf.DUMMYFUNCTION("""COMPUTED_VALUE"""),"1º B")</f>
        <v>1º B</v>
      </c>
      <c r="D33" s="212"/>
      <c r="E33" s="213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6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</row>
    <row r="34">
      <c r="A34" s="210" t="str">
        <f t="shared" si="1"/>
        <v/>
      </c>
      <c r="B34" s="210">
        <f>IFERROR(__xludf.DUMMYFUNCTION("""COMPUTED_VALUE"""),17.0)</f>
        <v>17</v>
      </c>
      <c r="C34" s="211" t="str">
        <f>IFERROR(__xludf.DUMMYFUNCTION("""COMPUTED_VALUE"""),"1º A")</f>
        <v>1º A</v>
      </c>
      <c r="D34" s="212"/>
      <c r="E34" s="213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</row>
    <row r="35">
      <c r="A35" s="210" t="str">
        <f t="shared" si="1"/>
        <v/>
      </c>
      <c r="B35" s="210">
        <f>IFERROR(__xludf.DUMMYFUNCTION("""COMPUTED_VALUE"""),17.0)</f>
        <v>17</v>
      </c>
      <c r="C35" s="211" t="str">
        <f>IFERROR(__xludf.DUMMYFUNCTION("""COMPUTED_VALUE"""),"1º B")</f>
        <v>1º B</v>
      </c>
      <c r="D35" s="212"/>
      <c r="E35" s="213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</row>
    <row r="36">
      <c r="A36" s="210" t="str">
        <f t="shared" si="1"/>
        <v/>
      </c>
      <c r="B36" s="210">
        <f>IFERROR(__xludf.DUMMYFUNCTION("""COMPUTED_VALUE"""),18.0)</f>
        <v>18</v>
      </c>
      <c r="C36" s="211" t="str">
        <f>IFERROR(__xludf.DUMMYFUNCTION("""COMPUTED_VALUE"""),"1º A")</f>
        <v>1º A</v>
      </c>
      <c r="D36" s="212"/>
      <c r="E36" s="213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</row>
    <row r="37">
      <c r="A37" s="214" t="str">
        <f t="shared" si="1"/>
        <v/>
      </c>
      <c r="B37" s="210">
        <f>IFERROR(__xludf.DUMMYFUNCTION("""COMPUTED_VALUE"""),18.0)</f>
        <v>18</v>
      </c>
      <c r="C37" s="211" t="str">
        <f>IFERROR(__xludf.DUMMYFUNCTION("""COMPUTED_VALUE"""),"1º B")</f>
        <v>1º B</v>
      </c>
      <c r="D37" s="212"/>
      <c r="E37" s="213"/>
      <c r="F37" s="212"/>
      <c r="G37" s="212"/>
      <c r="H37" s="212"/>
      <c r="I37" s="212"/>
      <c r="J37" s="212"/>
      <c r="K37" s="212"/>
      <c r="L37" s="212"/>
      <c r="M37" s="212"/>
      <c r="N37" s="212"/>
      <c r="O37" s="215"/>
      <c r="P37" s="216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</row>
    <row r="38">
      <c r="A38" s="214" t="str">
        <f t="shared" si="1"/>
        <v/>
      </c>
      <c r="B38" s="210">
        <f>IFERROR(__xludf.DUMMYFUNCTION("""COMPUTED_VALUE"""),19.0)</f>
        <v>19</v>
      </c>
      <c r="C38" s="211" t="str">
        <f>IFERROR(__xludf.DUMMYFUNCTION("""COMPUTED_VALUE"""),"1º A")</f>
        <v>1º A</v>
      </c>
      <c r="D38" s="212"/>
      <c r="E38" s="213"/>
      <c r="F38" s="212"/>
      <c r="G38" s="212"/>
      <c r="H38" s="212"/>
      <c r="I38" s="212"/>
      <c r="J38" s="212"/>
      <c r="K38" s="212"/>
      <c r="L38" s="212"/>
      <c r="M38" s="212"/>
      <c r="N38" s="212"/>
      <c r="O38" s="215"/>
      <c r="P38" s="216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</row>
    <row r="39">
      <c r="A39" s="214" t="str">
        <f t="shared" si="1"/>
        <v/>
      </c>
      <c r="B39" s="210">
        <f>IFERROR(__xludf.DUMMYFUNCTION("""COMPUTED_VALUE"""),19.0)</f>
        <v>19</v>
      </c>
      <c r="C39" s="211" t="str">
        <f>IFERROR(__xludf.DUMMYFUNCTION("""COMPUTED_VALUE"""),"1º B")</f>
        <v>1º B</v>
      </c>
      <c r="D39" s="212"/>
      <c r="E39" s="213"/>
      <c r="F39" s="212"/>
      <c r="G39" s="212"/>
      <c r="H39" s="212"/>
      <c r="I39" s="212"/>
      <c r="J39" s="212"/>
      <c r="K39" s="212"/>
      <c r="L39" s="212"/>
      <c r="M39" s="212"/>
      <c r="N39" s="212"/>
      <c r="O39" s="215"/>
      <c r="P39" s="216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</row>
    <row r="40">
      <c r="A40" s="214" t="str">
        <f t="shared" si="1"/>
        <v/>
      </c>
      <c r="B40" s="210">
        <f>IFERROR(__xludf.DUMMYFUNCTION("""COMPUTED_VALUE"""),20.0)</f>
        <v>20</v>
      </c>
      <c r="C40" s="211" t="str">
        <f>IFERROR(__xludf.DUMMYFUNCTION("""COMPUTED_VALUE"""),"1º A")</f>
        <v>1º A</v>
      </c>
      <c r="D40" s="212"/>
      <c r="E40" s="213"/>
      <c r="F40" s="212"/>
      <c r="G40" s="212"/>
      <c r="H40" s="212"/>
      <c r="I40" s="212"/>
      <c r="J40" s="212"/>
      <c r="K40" s="212"/>
      <c r="L40" s="212"/>
      <c r="M40" s="212"/>
      <c r="N40" s="212"/>
      <c r="O40" s="215"/>
      <c r="P40" s="216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</row>
    <row r="41">
      <c r="A41" s="210" t="str">
        <f t="shared" si="1"/>
        <v/>
      </c>
      <c r="B41" s="210">
        <f>IFERROR(__xludf.DUMMYFUNCTION("""COMPUTED_VALUE"""),20.0)</f>
        <v>20</v>
      </c>
      <c r="C41" s="211" t="str">
        <f>IFERROR(__xludf.DUMMYFUNCTION("""COMPUTED_VALUE"""),"1º B")</f>
        <v>1º B</v>
      </c>
      <c r="D41" s="212"/>
      <c r="E41" s="213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</row>
    <row r="42">
      <c r="A42" s="210" t="str">
        <f t="shared" si="1"/>
        <v/>
      </c>
      <c r="B42" s="210">
        <f>IFERROR(__xludf.DUMMYFUNCTION("""COMPUTED_VALUE"""),21.0)</f>
        <v>21</v>
      </c>
      <c r="C42" s="211" t="str">
        <f>IFERROR(__xludf.DUMMYFUNCTION("""COMPUTED_VALUE"""),"1º A")</f>
        <v>1º A</v>
      </c>
      <c r="D42" s="212"/>
      <c r="E42" s="213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</row>
    <row r="43">
      <c r="A43" s="214" t="str">
        <f t="shared" si="1"/>
        <v/>
      </c>
      <c r="B43" s="210">
        <f>IFERROR(__xludf.DUMMYFUNCTION("""COMPUTED_VALUE"""),21.0)</f>
        <v>21</v>
      </c>
      <c r="C43" s="211" t="str">
        <f>IFERROR(__xludf.DUMMYFUNCTION("""COMPUTED_VALUE"""),"1º B")</f>
        <v>1º B</v>
      </c>
      <c r="D43" s="212"/>
      <c r="E43" s="213"/>
      <c r="F43" s="212"/>
      <c r="G43" s="212"/>
      <c r="H43" s="212"/>
      <c r="I43" s="212"/>
      <c r="J43" s="212"/>
      <c r="K43" s="212"/>
      <c r="L43" s="212"/>
      <c r="M43" s="212"/>
      <c r="N43" s="212"/>
      <c r="O43" s="215"/>
      <c r="P43" s="216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</row>
    <row r="44">
      <c r="A44" s="214" t="str">
        <f t="shared" si="1"/>
        <v/>
      </c>
      <c r="B44" s="210">
        <f>IFERROR(__xludf.DUMMYFUNCTION("""COMPUTED_VALUE"""),22.0)</f>
        <v>22</v>
      </c>
      <c r="C44" s="211" t="str">
        <f>IFERROR(__xludf.DUMMYFUNCTION("""COMPUTED_VALUE"""),"1º A")</f>
        <v>1º A</v>
      </c>
      <c r="D44" s="212"/>
      <c r="E44" s="213"/>
      <c r="F44" s="212"/>
      <c r="G44" s="212"/>
      <c r="H44" s="212"/>
      <c r="I44" s="212"/>
      <c r="J44" s="212"/>
      <c r="K44" s="212"/>
      <c r="L44" s="212"/>
      <c r="M44" s="212"/>
      <c r="N44" s="212"/>
      <c r="O44" s="215"/>
      <c r="P44" s="216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</row>
    <row r="45">
      <c r="A45" s="214" t="str">
        <f t="shared" si="1"/>
        <v/>
      </c>
      <c r="B45" s="210">
        <f>IFERROR(__xludf.DUMMYFUNCTION("""COMPUTED_VALUE"""),22.0)</f>
        <v>22</v>
      </c>
      <c r="C45" s="211" t="str">
        <f>IFERROR(__xludf.DUMMYFUNCTION("""COMPUTED_VALUE"""),"1º B")</f>
        <v>1º B</v>
      </c>
      <c r="D45" s="212"/>
      <c r="E45" s="213"/>
      <c r="F45" s="212"/>
      <c r="G45" s="212"/>
      <c r="H45" s="212"/>
      <c r="I45" s="212"/>
      <c r="J45" s="212"/>
      <c r="K45" s="212"/>
      <c r="L45" s="212"/>
      <c r="M45" s="212"/>
      <c r="N45" s="212"/>
      <c r="O45" s="215"/>
      <c r="P45" s="216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</row>
    <row r="46">
      <c r="A46" s="210" t="str">
        <f t="shared" si="1"/>
        <v/>
      </c>
      <c r="B46" s="210">
        <f>IFERROR(__xludf.DUMMYFUNCTION("""COMPUTED_VALUE"""),23.0)</f>
        <v>23</v>
      </c>
      <c r="C46" s="211" t="str">
        <f>IFERROR(__xludf.DUMMYFUNCTION("""COMPUTED_VALUE"""),"1º A")</f>
        <v>1º A</v>
      </c>
      <c r="D46" s="212"/>
      <c r="E46" s="213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</row>
    <row r="47">
      <c r="A47" s="210" t="str">
        <f t="shared" si="1"/>
        <v/>
      </c>
      <c r="B47" s="210">
        <f>IFERROR(__xludf.DUMMYFUNCTION("""COMPUTED_VALUE"""),23.0)</f>
        <v>23</v>
      </c>
      <c r="C47" s="211" t="str">
        <f>IFERROR(__xludf.DUMMYFUNCTION("""COMPUTED_VALUE"""),"1º B")</f>
        <v>1º B</v>
      </c>
      <c r="D47" s="212"/>
      <c r="E47" s="213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</row>
    <row r="48">
      <c r="A48" s="214" t="str">
        <f t="shared" si="1"/>
        <v/>
      </c>
      <c r="B48" s="210">
        <f>IFERROR(__xludf.DUMMYFUNCTION("""COMPUTED_VALUE"""),24.0)</f>
        <v>24</v>
      </c>
      <c r="C48" s="211" t="str">
        <f>IFERROR(__xludf.DUMMYFUNCTION("""COMPUTED_VALUE"""),"1º A")</f>
        <v>1º A</v>
      </c>
      <c r="D48" s="212"/>
      <c r="E48" s="213"/>
      <c r="F48" s="212"/>
      <c r="G48" s="212"/>
      <c r="H48" s="212"/>
      <c r="I48" s="212"/>
      <c r="J48" s="212"/>
      <c r="K48" s="212"/>
      <c r="L48" s="212"/>
      <c r="M48" s="212"/>
      <c r="N48" s="212"/>
      <c r="O48" s="215"/>
      <c r="P48" s="216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</row>
    <row r="49">
      <c r="A49" s="210" t="str">
        <f t="shared" si="1"/>
        <v/>
      </c>
      <c r="B49" s="210">
        <f>IFERROR(__xludf.DUMMYFUNCTION("""COMPUTED_VALUE"""),24.0)</f>
        <v>24</v>
      </c>
      <c r="C49" s="211" t="str">
        <f>IFERROR(__xludf.DUMMYFUNCTION("""COMPUTED_VALUE"""),"1º B")</f>
        <v>1º B</v>
      </c>
      <c r="D49" s="212"/>
      <c r="E49" s="213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</row>
    <row r="50">
      <c r="A50" s="214" t="str">
        <f t="shared" si="1"/>
        <v/>
      </c>
      <c r="B50" s="210">
        <f>IFERROR(__xludf.DUMMYFUNCTION("""COMPUTED_VALUE"""),25.0)</f>
        <v>25</v>
      </c>
      <c r="C50" s="211" t="str">
        <f>IFERROR(__xludf.DUMMYFUNCTION("""COMPUTED_VALUE"""),"1º A")</f>
        <v>1º A</v>
      </c>
      <c r="D50" s="212"/>
      <c r="E50" s="213"/>
      <c r="F50" s="212"/>
      <c r="G50" s="212"/>
      <c r="H50" s="212"/>
      <c r="I50" s="212"/>
      <c r="J50" s="212"/>
      <c r="K50" s="212"/>
      <c r="L50" s="212"/>
      <c r="M50" s="212"/>
      <c r="N50" s="212"/>
      <c r="O50" s="215"/>
      <c r="P50" s="216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</row>
    <row r="51">
      <c r="A51" s="210" t="str">
        <f t="shared" si="1"/>
        <v/>
      </c>
      <c r="B51" s="210">
        <f>IFERROR(__xludf.DUMMYFUNCTION("""COMPUTED_VALUE"""),25.0)</f>
        <v>25</v>
      </c>
      <c r="C51" s="211" t="str">
        <f>IFERROR(__xludf.DUMMYFUNCTION("""COMPUTED_VALUE"""),"1º B")</f>
        <v>1º B</v>
      </c>
      <c r="D51" s="212"/>
      <c r="E51" s="213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</row>
    <row r="52">
      <c r="A52" s="210" t="str">
        <f t="shared" si="1"/>
        <v/>
      </c>
      <c r="B52" s="210">
        <f>IFERROR(__xludf.DUMMYFUNCTION("""COMPUTED_VALUE"""),26.0)</f>
        <v>26</v>
      </c>
      <c r="C52" s="211" t="str">
        <f>IFERROR(__xludf.DUMMYFUNCTION("""COMPUTED_VALUE"""),"1º A")</f>
        <v>1º A</v>
      </c>
      <c r="D52" s="212"/>
      <c r="E52" s="213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</row>
    <row r="53">
      <c r="A53" s="210" t="str">
        <f t="shared" si="1"/>
        <v/>
      </c>
      <c r="B53" s="210">
        <f>IFERROR(__xludf.DUMMYFUNCTION("""COMPUTED_VALUE"""),26.0)</f>
        <v>26</v>
      </c>
      <c r="C53" s="211" t="str">
        <f>IFERROR(__xludf.DUMMYFUNCTION("""COMPUTED_VALUE"""),"1º B")</f>
        <v>1º B</v>
      </c>
      <c r="D53" s="212"/>
      <c r="E53" s="213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</row>
    <row r="54">
      <c r="A54" s="210" t="str">
        <f t="shared" si="1"/>
        <v/>
      </c>
      <c r="B54" s="210">
        <f>IFERROR(__xludf.DUMMYFUNCTION("""COMPUTED_VALUE"""),27.0)</f>
        <v>27</v>
      </c>
      <c r="C54" s="211" t="str">
        <f>IFERROR(__xludf.DUMMYFUNCTION("""COMPUTED_VALUE"""),"1º A")</f>
        <v>1º A</v>
      </c>
      <c r="D54" s="212"/>
      <c r="E54" s="213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</row>
    <row r="55">
      <c r="A55" s="210" t="str">
        <f t="shared" si="1"/>
        <v/>
      </c>
      <c r="B55" s="210">
        <f>IFERROR(__xludf.DUMMYFUNCTION("""COMPUTED_VALUE"""),27.0)</f>
        <v>27</v>
      </c>
      <c r="C55" s="211" t="str">
        <f>IFERROR(__xludf.DUMMYFUNCTION("""COMPUTED_VALUE"""),"1º B")</f>
        <v>1º B</v>
      </c>
      <c r="D55" s="212"/>
      <c r="E55" s="213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</row>
    <row r="56">
      <c r="A56" s="214" t="str">
        <f t="shared" si="1"/>
        <v/>
      </c>
      <c r="B56" s="210">
        <f>IFERROR(__xludf.DUMMYFUNCTION("""COMPUTED_VALUE"""),28.0)</f>
        <v>28</v>
      </c>
      <c r="C56" s="211" t="str">
        <f>IFERROR(__xludf.DUMMYFUNCTION("""COMPUTED_VALUE"""),"1º A")</f>
        <v>1º A</v>
      </c>
      <c r="D56" s="212"/>
      <c r="E56" s="213"/>
      <c r="F56" s="212"/>
      <c r="G56" s="212"/>
      <c r="H56" s="212"/>
      <c r="I56" s="212"/>
      <c r="J56" s="212"/>
      <c r="K56" s="212"/>
      <c r="L56" s="212"/>
      <c r="M56" s="212"/>
      <c r="N56" s="212"/>
      <c r="O56" s="215"/>
      <c r="P56" s="216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</row>
    <row r="57">
      <c r="A57" s="214" t="str">
        <f t="shared" si="1"/>
        <v/>
      </c>
      <c r="B57" s="210">
        <f>IFERROR(__xludf.DUMMYFUNCTION("""COMPUTED_VALUE"""),28.0)</f>
        <v>28</v>
      </c>
      <c r="C57" s="211" t="str">
        <f>IFERROR(__xludf.DUMMYFUNCTION("""COMPUTED_VALUE"""),"1º B")</f>
        <v>1º B</v>
      </c>
      <c r="D57" s="212"/>
      <c r="E57" s="213"/>
      <c r="F57" s="212"/>
      <c r="G57" s="212"/>
      <c r="H57" s="212"/>
      <c r="I57" s="212"/>
      <c r="J57" s="212"/>
      <c r="K57" s="212"/>
      <c r="L57" s="212"/>
      <c r="M57" s="212"/>
      <c r="N57" s="212"/>
      <c r="O57" s="215"/>
      <c r="P57" s="216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</row>
    <row r="58">
      <c r="A58" s="210" t="str">
        <f t="shared" si="1"/>
        <v/>
      </c>
      <c r="B58" s="210">
        <f>IFERROR(__xludf.DUMMYFUNCTION("""COMPUTED_VALUE"""),29.0)</f>
        <v>29</v>
      </c>
      <c r="C58" s="211" t="str">
        <f>IFERROR(__xludf.DUMMYFUNCTION("""COMPUTED_VALUE"""),"1º A")</f>
        <v>1º A</v>
      </c>
      <c r="D58" s="212"/>
      <c r="E58" s="213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</row>
    <row r="59">
      <c r="A59" s="214" t="str">
        <f t="shared" si="1"/>
        <v/>
      </c>
      <c r="B59" s="210">
        <f>IFERROR(__xludf.DUMMYFUNCTION("""COMPUTED_VALUE"""),29.0)</f>
        <v>29</v>
      </c>
      <c r="C59" s="211" t="str">
        <f>IFERROR(__xludf.DUMMYFUNCTION("""COMPUTED_VALUE"""),"1º B")</f>
        <v>1º B</v>
      </c>
      <c r="D59" s="212"/>
      <c r="E59" s="213"/>
      <c r="F59" s="212"/>
      <c r="G59" s="212"/>
      <c r="H59" s="212"/>
      <c r="I59" s="212"/>
      <c r="J59" s="212"/>
      <c r="K59" s="212"/>
      <c r="L59" s="212"/>
      <c r="M59" s="212"/>
      <c r="N59" s="212"/>
      <c r="O59" s="215"/>
      <c r="P59" s="216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</row>
    <row r="60">
      <c r="A60" s="214" t="str">
        <f t="shared" si="1"/>
        <v/>
      </c>
      <c r="B60" s="210">
        <f>IFERROR(__xludf.DUMMYFUNCTION("""COMPUTED_VALUE"""),30.0)</f>
        <v>30</v>
      </c>
      <c r="C60" s="211" t="str">
        <f>IFERROR(__xludf.DUMMYFUNCTION("""COMPUTED_VALUE"""),"1º A")</f>
        <v>1º A</v>
      </c>
      <c r="D60" s="212"/>
      <c r="E60" s="213"/>
      <c r="F60" s="212"/>
      <c r="G60" s="212"/>
      <c r="H60" s="212"/>
      <c r="I60" s="212"/>
      <c r="J60" s="212"/>
      <c r="K60" s="212"/>
      <c r="L60" s="212"/>
      <c r="M60" s="212"/>
      <c r="N60" s="212"/>
      <c r="O60" s="215"/>
      <c r="P60" s="216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</row>
    <row r="61">
      <c r="A61" s="210" t="str">
        <f t="shared" si="1"/>
        <v/>
      </c>
      <c r="B61" s="210">
        <f>IFERROR(__xludf.DUMMYFUNCTION("""COMPUTED_VALUE"""),30.0)</f>
        <v>30</v>
      </c>
      <c r="C61" s="211" t="str">
        <f>IFERROR(__xludf.DUMMYFUNCTION("""COMPUTED_VALUE"""),"1º B")</f>
        <v>1º B</v>
      </c>
      <c r="D61" s="212"/>
      <c r="E61" s="213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</row>
    <row r="62">
      <c r="A62" s="214" t="str">
        <f t="shared" si="1"/>
        <v/>
      </c>
      <c r="B62" s="210">
        <f>IFERROR(__xludf.DUMMYFUNCTION("""COMPUTED_VALUE"""),31.0)</f>
        <v>31</v>
      </c>
      <c r="C62" s="211" t="str">
        <f>IFERROR(__xludf.DUMMYFUNCTION("""COMPUTED_VALUE"""),"1º A")</f>
        <v>1º A</v>
      </c>
      <c r="D62" s="212"/>
      <c r="E62" s="213"/>
      <c r="F62" s="212"/>
      <c r="G62" s="212"/>
      <c r="H62" s="212"/>
      <c r="I62" s="212"/>
      <c r="J62" s="212"/>
      <c r="K62" s="212"/>
      <c r="L62" s="212"/>
      <c r="M62" s="212"/>
      <c r="N62" s="212"/>
      <c r="O62" s="215"/>
      <c r="P62" s="216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</row>
    <row r="63">
      <c r="A63" s="214" t="str">
        <f t="shared" si="1"/>
        <v/>
      </c>
      <c r="B63" s="210">
        <f>IFERROR(__xludf.DUMMYFUNCTION("""COMPUTED_VALUE"""),31.0)</f>
        <v>31</v>
      </c>
      <c r="C63" s="211" t="str">
        <f>IFERROR(__xludf.DUMMYFUNCTION("""COMPUTED_VALUE"""),"1º B")</f>
        <v>1º B</v>
      </c>
      <c r="D63" s="212"/>
      <c r="E63" s="213"/>
      <c r="F63" s="212"/>
      <c r="G63" s="212"/>
      <c r="H63" s="212"/>
      <c r="I63" s="212"/>
      <c r="J63" s="212"/>
      <c r="K63" s="212"/>
      <c r="L63" s="212"/>
      <c r="M63" s="212"/>
      <c r="N63" s="212"/>
      <c r="O63" s="215"/>
      <c r="P63" s="216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</row>
    <row r="64">
      <c r="A64" s="210" t="str">
        <f t="shared" si="1"/>
        <v/>
      </c>
      <c r="B64" s="210">
        <f>IFERROR(__xludf.DUMMYFUNCTION("""COMPUTED_VALUE"""),32.0)</f>
        <v>32</v>
      </c>
      <c r="C64" s="211" t="str">
        <f>IFERROR(__xludf.DUMMYFUNCTION("""COMPUTED_VALUE"""),"1º A")</f>
        <v>1º A</v>
      </c>
      <c r="D64" s="212"/>
      <c r="E64" s="213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</row>
    <row r="65">
      <c r="A65" s="214" t="str">
        <f t="shared" si="1"/>
        <v/>
      </c>
      <c r="B65" s="210">
        <f>IFERROR(__xludf.DUMMYFUNCTION("""COMPUTED_VALUE"""),32.0)</f>
        <v>32</v>
      </c>
      <c r="C65" s="211" t="str">
        <f>IFERROR(__xludf.DUMMYFUNCTION("""COMPUTED_VALUE"""),"1º B")</f>
        <v>1º B</v>
      </c>
      <c r="D65" s="212"/>
      <c r="E65" s="213"/>
      <c r="F65" s="212"/>
      <c r="G65" s="212"/>
      <c r="H65" s="212"/>
      <c r="I65" s="212"/>
      <c r="J65" s="212"/>
      <c r="K65" s="212"/>
      <c r="L65" s="212"/>
      <c r="M65" s="212"/>
      <c r="N65" s="212"/>
      <c r="O65" s="215"/>
      <c r="P65" s="216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</row>
    <row r="66">
      <c r="A66" s="214" t="str">
        <f t="shared" si="1"/>
        <v/>
      </c>
      <c r="B66" s="210">
        <f>IFERROR(__xludf.DUMMYFUNCTION("""COMPUTED_VALUE"""),33.0)</f>
        <v>33</v>
      </c>
      <c r="C66" s="211" t="str">
        <f>IFERROR(__xludf.DUMMYFUNCTION("""COMPUTED_VALUE"""),"1º A")</f>
        <v>1º A</v>
      </c>
      <c r="D66" s="212"/>
      <c r="E66" s="213"/>
      <c r="F66" s="212"/>
      <c r="G66" s="212"/>
      <c r="H66" s="212"/>
      <c r="I66" s="212"/>
      <c r="J66" s="212"/>
      <c r="K66" s="212"/>
      <c r="L66" s="212"/>
      <c r="M66" s="212"/>
      <c r="N66" s="212"/>
      <c r="O66" s="215"/>
      <c r="P66" s="216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</row>
    <row r="67">
      <c r="A67" s="210" t="str">
        <f t="shared" si="1"/>
        <v/>
      </c>
      <c r="B67" s="210">
        <f>IFERROR(__xludf.DUMMYFUNCTION("""COMPUTED_VALUE"""),33.0)</f>
        <v>33</v>
      </c>
      <c r="C67" s="211" t="str">
        <f>IFERROR(__xludf.DUMMYFUNCTION("""COMPUTED_VALUE"""),"1º B")</f>
        <v>1º B</v>
      </c>
      <c r="D67" s="212"/>
      <c r="E67" s="213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</row>
    <row r="68">
      <c r="A68" s="214" t="str">
        <f t="shared" si="1"/>
        <v/>
      </c>
      <c r="B68" s="210">
        <f>IFERROR(__xludf.DUMMYFUNCTION("""COMPUTED_VALUE"""),34.0)</f>
        <v>34</v>
      </c>
      <c r="C68" s="211" t="str">
        <f>IFERROR(__xludf.DUMMYFUNCTION("""COMPUTED_VALUE"""),"1º A")</f>
        <v>1º A</v>
      </c>
      <c r="D68" s="212"/>
      <c r="E68" s="213"/>
      <c r="F68" s="212"/>
      <c r="G68" s="212"/>
      <c r="H68" s="212"/>
      <c r="I68" s="212"/>
      <c r="J68" s="212"/>
      <c r="K68" s="212"/>
      <c r="L68" s="212"/>
      <c r="M68" s="212"/>
      <c r="N68" s="212"/>
      <c r="O68" s="215"/>
      <c r="P68" s="216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</row>
    <row r="69">
      <c r="A69" s="210" t="str">
        <f t="shared" si="1"/>
        <v/>
      </c>
      <c r="B69" s="210">
        <f>IFERROR(__xludf.DUMMYFUNCTION("""COMPUTED_VALUE"""),34.0)</f>
        <v>34</v>
      </c>
      <c r="C69" s="211" t="str">
        <f>IFERROR(__xludf.DUMMYFUNCTION("""COMPUTED_VALUE"""),"1º B")</f>
        <v>1º B</v>
      </c>
      <c r="D69" s="212"/>
      <c r="E69" s="213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</row>
    <row r="70">
      <c r="A70" s="210" t="str">
        <f t="shared" si="1"/>
        <v/>
      </c>
      <c r="B70" s="210">
        <f>IFERROR(__xludf.DUMMYFUNCTION("""COMPUTED_VALUE"""),35.0)</f>
        <v>35</v>
      </c>
      <c r="C70" s="211" t="str">
        <f>IFERROR(__xludf.DUMMYFUNCTION("""COMPUTED_VALUE"""),"1º A")</f>
        <v>1º A</v>
      </c>
      <c r="D70" s="212"/>
      <c r="E70" s="213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</row>
    <row r="71">
      <c r="A71" s="214" t="str">
        <f t="shared" si="1"/>
        <v/>
      </c>
      <c r="B71" s="210">
        <f>IFERROR(__xludf.DUMMYFUNCTION("""COMPUTED_VALUE"""),35.0)</f>
        <v>35</v>
      </c>
      <c r="C71" s="211" t="str">
        <f>IFERROR(__xludf.DUMMYFUNCTION("""COMPUTED_VALUE"""),"1º B")</f>
        <v>1º B</v>
      </c>
      <c r="D71" s="212"/>
      <c r="E71" s="213"/>
      <c r="F71" s="212"/>
      <c r="G71" s="212"/>
      <c r="H71" s="212"/>
      <c r="I71" s="212"/>
      <c r="J71" s="212"/>
      <c r="K71" s="212"/>
      <c r="L71" s="212"/>
      <c r="M71" s="212"/>
      <c r="N71" s="212"/>
      <c r="O71" s="215"/>
      <c r="P71" s="216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</row>
    <row r="72">
      <c r="A72" s="210" t="str">
        <f t="shared" si="1"/>
        <v/>
      </c>
      <c r="B72" s="210">
        <f>IFERROR(__xludf.DUMMYFUNCTION("""COMPUTED_VALUE"""),36.0)</f>
        <v>36</v>
      </c>
      <c r="C72" s="211" t="str">
        <f>IFERROR(__xludf.DUMMYFUNCTION("""COMPUTED_VALUE"""),"1º A")</f>
        <v>1º A</v>
      </c>
      <c r="D72" s="212"/>
      <c r="E72" s="213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</row>
    <row r="73">
      <c r="A73" s="214" t="str">
        <f t="shared" si="1"/>
        <v/>
      </c>
      <c r="B73" s="210">
        <f>IFERROR(__xludf.DUMMYFUNCTION("""COMPUTED_VALUE"""),36.0)</f>
        <v>36</v>
      </c>
      <c r="C73" s="211" t="str">
        <f>IFERROR(__xludf.DUMMYFUNCTION("""COMPUTED_VALUE"""),"1º B")</f>
        <v>1º B</v>
      </c>
      <c r="D73" s="212"/>
      <c r="E73" s="213"/>
      <c r="F73" s="212"/>
      <c r="G73" s="212"/>
      <c r="H73" s="212"/>
      <c r="I73" s="212"/>
      <c r="J73" s="212"/>
      <c r="K73" s="212"/>
      <c r="L73" s="212"/>
      <c r="M73" s="212"/>
      <c r="N73" s="212"/>
      <c r="O73" s="215"/>
      <c r="P73" s="216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</row>
    <row r="74">
      <c r="A74" s="214" t="str">
        <f t="shared" si="1"/>
        <v/>
      </c>
      <c r="B74" s="210">
        <f>IFERROR(__xludf.DUMMYFUNCTION("""COMPUTED_VALUE"""),37.0)</f>
        <v>37</v>
      </c>
      <c r="C74" s="211" t="str">
        <f>IFERROR(__xludf.DUMMYFUNCTION("""COMPUTED_VALUE"""),"1º A")</f>
        <v>1º A</v>
      </c>
      <c r="D74" s="212"/>
      <c r="E74" s="213"/>
      <c r="F74" s="212"/>
      <c r="G74" s="212"/>
      <c r="H74" s="212"/>
      <c r="I74" s="212"/>
      <c r="J74" s="212"/>
      <c r="K74" s="212"/>
      <c r="L74" s="212"/>
      <c r="M74" s="212"/>
      <c r="N74" s="212"/>
      <c r="O74" s="215"/>
      <c r="P74" s="216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</row>
    <row r="75">
      <c r="A75" s="210" t="str">
        <f t="shared" si="1"/>
        <v/>
      </c>
      <c r="B75" s="210">
        <f>IFERROR(__xludf.DUMMYFUNCTION("""COMPUTED_VALUE"""),37.0)</f>
        <v>37</v>
      </c>
      <c r="C75" s="211" t="str">
        <f>IFERROR(__xludf.DUMMYFUNCTION("""COMPUTED_VALUE"""),"1º B")</f>
        <v>1º B</v>
      </c>
      <c r="D75" s="212"/>
      <c r="E75" s="213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</row>
    <row r="76">
      <c r="A76" s="210" t="str">
        <f t="shared" si="1"/>
        <v/>
      </c>
      <c r="B76" s="210">
        <f>IFERROR(__xludf.DUMMYFUNCTION("""COMPUTED_VALUE"""),38.0)</f>
        <v>38</v>
      </c>
      <c r="C76" s="211" t="str">
        <f>IFERROR(__xludf.DUMMYFUNCTION("""COMPUTED_VALUE"""),"1º A")</f>
        <v>1º A</v>
      </c>
      <c r="D76" s="212"/>
      <c r="E76" s="213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</row>
    <row r="77">
      <c r="A77" s="214" t="str">
        <f t="shared" si="1"/>
        <v/>
      </c>
      <c r="B77" s="210">
        <f>IFERROR(__xludf.DUMMYFUNCTION("""COMPUTED_VALUE"""),38.0)</f>
        <v>38</v>
      </c>
      <c r="C77" s="211" t="str">
        <f>IFERROR(__xludf.DUMMYFUNCTION("""COMPUTED_VALUE"""),"1º B")</f>
        <v>1º B</v>
      </c>
      <c r="D77" s="212"/>
      <c r="E77" s="213"/>
      <c r="F77" s="212"/>
      <c r="G77" s="212"/>
      <c r="H77" s="212"/>
      <c r="I77" s="212"/>
      <c r="J77" s="212"/>
      <c r="K77" s="212"/>
      <c r="L77" s="212"/>
      <c r="M77" s="212"/>
      <c r="N77" s="212"/>
      <c r="O77" s="215"/>
      <c r="P77" s="216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</row>
    <row r="78">
      <c r="A78" s="214" t="str">
        <f t="shared" si="1"/>
        <v/>
      </c>
      <c r="B78" s="210">
        <f>IFERROR(__xludf.DUMMYFUNCTION("""COMPUTED_VALUE"""),39.0)</f>
        <v>39</v>
      </c>
      <c r="C78" s="211" t="str">
        <f>IFERROR(__xludf.DUMMYFUNCTION("""COMPUTED_VALUE"""),"1º A")</f>
        <v>1º A</v>
      </c>
      <c r="D78" s="212"/>
      <c r="E78" s="213"/>
      <c r="F78" s="212"/>
      <c r="G78" s="212"/>
      <c r="H78" s="212"/>
      <c r="I78" s="212"/>
      <c r="J78" s="212"/>
      <c r="K78" s="212"/>
      <c r="L78" s="212"/>
      <c r="M78" s="212"/>
      <c r="N78" s="212"/>
      <c r="O78" s="215"/>
      <c r="P78" s="216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</row>
    <row r="79">
      <c r="A79" s="214" t="str">
        <f t="shared" si="1"/>
        <v/>
      </c>
      <c r="B79" s="210">
        <f>IFERROR(__xludf.DUMMYFUNCTION("""COMPUTED_VALUE"""),39.0)</f>
        <v>39</v>
      </c>
      <c r="C79" s="211" t="str">
        <f>IFERROR(__xludf.DUMMYFUNCTION("""COMPUTED_VALUE"""),"1º B")</f>
        <v>1º B</v>
      </c>
      <c r="D79" s="212"/>
      <c r="E79" s="213"/>
      <c r="F79" s="212"/>
      <c r="G79" s="212"/>
      <c r="H79" s="212"/>
      <c r="I79" s="212"/>
      <c r="J79" s="212"/>
      <c r="K79" s="212"/>
      <c r="L79" s="212"/>
      <c r="M79" s="212"/>
      <c r="N79" s="212"/>
      <c r="O79" s="215"/>
      <c r="P79" s="216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</row>
    <row r="80">
      <c r="A80" s="214" t="str">
        <f t="shared" si="1"/>
        <v/>
      </c>
      <c r="B80" s="210">
        <f>IFERROR(__xludf.DUMMYFUNCTION("""COMPUTED_VALUE"""),40.0)</f>
        <v>40</v>
      </c>
      <c r="C80" s="211" t="str">
        <f>IFERROR(__xludf.DUMMYFUNCTION("""COMPUTED_VALUE"""),"1º A")</f>
        <v>1º A</v>
      </c>
      <c r="D80" s="212"/>
      <c r="E80" s="213"/>
      <c r="F80" s="212"/>
      <c r="G80" s="212"/>
      <c r="H80" s="212"/>
      <c r="I80" s="212"/>
      <c r="J80" s="212"/>
      <c r="K80" s="212"/>
      <c r="L80" s="212"/>
      <c r="M80" s="212"/>
      <c r="N80" s="212"/>
      <c r="O80" s="215"/>
      <c r="P80" s="216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</row>
    <row r="81">
      <c r="A81" s="214" t="str">
        <f t="shared" si="1"/>
        <v/>
      </c>
      <c r="B81" s="210">
        <f>IFERROR(__xludf.DUMMYFUNCTION("""COMPUTED_VALUE"""),40.0)</f>
        <v>40</v>
      </c>
      <c r="C81" s="211" t="str">
        <f>IFERROR(__xludf.DUMMYFUNCTION("""COMPUTED_VALUE"""),"1º B")</f>
        <v>1º B</v>
      </c>
      <c r="D81" s="212"/>
      <c r="E81" s="213"/>
      <c r="F81" s="212"/>
      <c r="G81" s="212"/>
      <c r="H81" s="212"/>
      <c r="I81" s="212"/>
      <c r="J81" s="212"/>
      <c r="K81" s="212"/>
      <c r="L81" s="212"/>
      <c r="M81" s="212"/>
      <c r="N81" s="212"/>
      <c r="O81" s="215"/>
      <c r="P81" s="216"/>
      <c r="Q81" s="212" t="str">
        <f>IFERROR(__xludf.DUMMYFUNCTION("""COMPUTED_VALUE"""),"")</f>
        <v/>
      </c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</row>
    <row r="82">
      <c r="A82" s="210" t="str">
        <f t="shared" si="1"/>
        <v>Gabriel Aluzzo</v>
      </c>
      <c r="B82" s="210">
        <f>IFERROR(__xludf.DUMMYFUNCTION("""COMPUTED_VALUE"""),1.0)</f>
        <v>1</v>
      </c>
      <c r="C82" s="211" t="str">
        <f>IFERROR(__xludf.DUMMYFUNCTION("""COMPUTED_VALUE"""),"2º A")</f>
        <v>2º A</v>
      </c>
      <c r="D82" s="212"/>
      <c r="E82" s="213"/>
      <c r="F82" s="212"/>
      <c r="G82" s="212" t="str">
        <f>IFERROR(__xludf.DUMMYFUNCTION("""COMPUTED_VALUE"""),"si")</f>
        <v>si</v>
      </c>
      <c r="H82" s="212"/>
      <c r="I82" s="212">
        <f>IFERROR(__xludf.DUMMYFUNCTION("""COMPUTED_VALUE"""),2.0)</f>
        <v>2</v>
      </c>
      <c r="J82" s="212"/>
      <c r="K82" s="212" t="str">
        <f>IFERROR(__xludf.DUMMYFUNCTION("""COMPUTED_VALUE"""),"Arte")</f>
        <v>Arte</v>
      </c>
      <c r="L82" s="212" t="str">
        <f>IFERROR(__xludf.DUMMYFUNCTION("""COMPUTED_VALUE"""),"Gabriel Aluzzo")</f>
        <v>Gabriel Aluzzo</v>
      </c>
      <c r="M82" s="212"/>
      <c r="N82" s="212"/>
      <c r="O82" s="212" t="str">
        <f>IFERROR(__xludf.DUMMYFUNCTION("""COMPUTED_VALUE"""),"Gabriel Aluzzo")</f>
        <v>Gabriel Aluzzo</v>
      </c>
      <c r="P82" s="212" t="str">
        <f>IFERROR(__xludf.DUMMYFUNCTION("""COMPUTED_VALUE"""),"Expresion")</f>
        <v>Expresion</v>
      </c>
      <c r="Q82" s="212" t="str">
        <f>IFERROR(__xludf.DUMMYFUNCTION("""COMPUTED_VALUE"""),"Mantiene")</f>
        <v>Mantiene</v>
      </c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</row>
    <row r="83">
      <c r="A83" s="214" t="str">
        <f t="shared" si="1"/>
        <v>Gabriel Aluzzo</v>
      </c>
      <c r="B83" s="210">
        <f>IFERROR(__xludf.DUMMYFUNCTION("""COMPUTED_VALUE"""),1.0)</f>
        <v>1</v>
      </c>
      <c r="C83" s="211" t="str">
        <f>IFERROR(__xludf.DUMMYFUNCTION("""COMPUTED_VALUE"""),"2º B")</f>
        <v>2º B</v>
      </c>
      <c r="D83" s="212"/>
      <c r="E83" s="213"/>
      <c r="F83" s="212"/>
      <c r="G83" s="212" t="str">
        <f>IFERROR(__xludf.DUMMYFUNCTION("""COMPUTED_VALUE"""),"si")</f>
        <v>si</v>
      </c>
      <c r="H83" s="212"/>
      <c r="I83" s="212">
        <f>IFERROR(__xludf.DUMMYFUNCTION("""COMPUTED_VALUE"""),2.0)</f>
        <v>2</v>
      </c>
      <c r="J83" s="212"/>
      <c r="K83" s="212" t="str">
        <f>IFERROR(__xludf.DUMMYFUNCTION("""COMPUTED_VALUE"""),"Arte")</f>
        <v>Arte</v>
      </c>
      <c r="L83" s="212" t="str">
        <f>IFERROR(__xludf.DUMMYFUNCTION("""COMPUTED_VALUE"""),"Gabriel Aluzzo")</f>
        <v>Gabriel Aluzzo</v>
      </c>
      <c r="M83" s="212"/>
      <c r="N83" s="212"/>
      <c r="O83" s="215" t="str">
        <f>IFERROR(__xludf.DUMMYFUNCTION("""COMPUTED_VALUE""")," Gabriel Aluzzo ")</f>
        <v>Gabriel Aluzzo</v>
      </c>
      <c r="P83" s="216" t="str">
        <f>IFERROR(__xludf.DUMMYFUNCTION("""COMPUTED_VALUE"""),"Expresion")</f>
        <v>Expresion</v>
      </c>
      <c r="Q83" s="212" t="str">
        <f>IFERROR(__xludf.DUMMYFUNCTION("""COMPUTED_VALUE"""),"Mantiene")</f>
        <v>Mantiene</v>
      </c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</row>
    <row r="84">
      <c r="A84" s="214" t="str">
        <f t="shared" si="1"/>
        <v>Cecilia Lund Petersen</v>
      </c>
      <c r="B84" s="210">
        <f>IFERROR(__xludf.DUMMYFUNCTION("""COMPUTED_VALUE"""),2.0)</f>
        <v>2</v>
      </c>
      <c r="C84" s="211" t="str">
        <f>IFERROR(__xludf.DUMMYFUNCTION("""COMPUTED_VALUE"""),"2º A")</f>
        <v>2º A</v>
      </c>
      <c r="D84" s="212"/>
      <c r="E84" s="213"/>
      <c r="F84" s="212"/>
      <c r="G84" s="212" t="str">
        <f>IFERROR(__xludf.DUMMYFUNCTION("""COMPUTED_VALUE"""),"si")</f>
        <v>si</v>
      </c>
      <c r="H84" s="212"/>
      <c r="I84" s="212">
        <f>IFERROR(__xludf.DUMMYFUNCTION("""COMPUTED_VALUE"""),2.0)</f>
        <v>2</v>
      </c>
      <c r="J84" s="212"/>
      <c r="K84" s="212" t="str">
        <f>IFERROR(__xludf.DUMMYFUNCTION("""COMPUTED_VALUE"""),"Biology")</f>
        <v>Biology</v>
      </c>
      <c r="L84" s="212" t="str">
        <f>IFERROR(__xludf.DUMMYFUNCTION("""COMPUTED_VALUE"""),"Cecilia Lund Petersen")</f>
        <v>Cecilia Lund Petersen</v>
      </c>
      <c r="M84" s="212"/>
      <c r="N84" s="212"/>
      <c r="O84" s="215" t="str">
        <f>IFERROR(__xludf.DUMMYFUNCTION("""COMPUTED_VALUE""")," Cecilia Lund Petersen ")</f>
        <v>Cecilia Lund Petersen</v>
      </c>
      <c r="P84" s="216" t="str">
        <f>IFERROR(__xludf.DUMMYFUNCTION("""COMPUTED_VALUE"""),"Exactas")</f>
        <v>Exactas</v>
      </c>
      <c r="Q84" s="212" t="str">
        <f>IFERROR(__xludf.DUMMYFUNCTION("""COMPUTED_VALUE"""),"Mantiene")</f>
        <v>Mantiene</v>
      </c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</row>
    <row r="85">
      <c r="A85" s="210" t="str">
        <f t="shared" si="1"/>
        <v>Cecilia Lund Petersen</v>
      </c>
      <c r="B85" s="210">
        <f>IFERROR(__xludf.DUMMYFUNCTION("""COMPUTED_VALUE"""),2.0)</f>
        <v>2</v>
      </c>
      <c r="C85" s="211" t="str">
        <f>IFERROR(__xludf.DUMMYFUNCTION("""COMPUTED_VALUE"""),"2º B")</f>
        <v>2º B</v>
      </c>
      <c r="D85" s="212"/>
      <c r="E85" s="213"/>
      <c r="F85" s="212"/>
      <c r="G85" s="212" t="str">
        <f>IFERROR(__xludf.DUMMYFUNCTION("""COMPUTED_VALUE"""),"si")</f>
        <v>si</v>
      </c>
      <c r="H85" s="212"/>
      <c r="I85" s="212">
        <f>IFERROR(__xludf.DUMMYFUNCTION("""COMPUTED_VALUE"""),2.0)</f>
        <v>2</v>
      </c>
      <c r="J85" s="212"/>
      <c r="K85" s="212" t="str">
        <f>IFERROR(__xludf.DUMMYFUNCTION("""COMPUTED_VALUE"""),"Biology")</f>
        <v>Biology</v>
      </c>
      <c r="L85" s="212" t="str">
        <f>IFERROR(__xludf.DUMMYFUNCTION("""COMPUTED_VALUE"""),"Cecilia Lund Petersen")</f>
        <v>Cecilia Lund Petersen</v>
      </c>
      <c r="M85" s="212"/>
      <c r="N85" s="212"/>
      <c r="O85" s="212" t="str">
        <f>IFERROR(__xludf.DUMMYFUNCTION("""COMPUTED_VALUE"""),"Cecilia Lund Petersen")</f>
        <v>Cecilia Lund Petersen</v>
      </c>
      <c r="P85" s="212" t="str">
        <f>IFERROR(__xludf.DUMMYFUNCTION("""COMPUTED_VALUE"""),"Exactas")</f>
        <v>Exactas</v>
      </c>
      <c r="Q85" s="212" t="str">
        <f>IFERROR(__xludf.DUMMYFUNCTION("""COMPUTED_VALUE"""),"Mantiene")</f>
        <v>Mantiene</v>
      </c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</row>
    <row r="86">
      <c r="A86" s="214" t="str">
        <f t="shared" si="1"/>
        <v>Cecilia Inés Dubini</v>
      </c>
      <c r="B86" s="210">
        <f>IFERROR(__xludf.DUMMYFUNCTION("""COMPUTED_VALUE"""),3.0)</f>
        <v>3</v>
      </c>
      <c r="C86" s="211" t="str">
        <f>IFERROR(__xludf.DUMMYFUNCTION("""COMPUTED_VALUE"""),"2º A")</f>
        <v>2º A</v>
      </c>
      <c r="D86" s="212"/>
      <c r="E86" s="213"/>
      <c r="F86" s="212"/>
      <c r="G86" s="212" t="str">
        <f>IFERROR(__xludf.DUMMYFUNCTION("""COMPUTED_VALUE"""),"si")</f>
        <v>si</v>
      </c>
      <c r="H86" s="212"/>
      <c r="I86" s="212">
        <f>IFERROR(__xludf.DUMMYFUNCTION("""COMPUTED_VALUE"""),4.0)</f>
        <v>4</v>
      </c>
      <c r="J86" s="212"/>
      <c r="K86" s="212" t="str">
        <f>IFERROR(__xludf.DUMMYFUNCTION("""COMPUTED_VALUE"""),"Educación Física")</f>
        <v>Educación Física</v>
      </c>
      <c r="L86" s="212" t="str">
        <f>IFERROR(__xludf.DUMMYFUNCTION("""COMPUTED_VALUE"""),"Cecilia Inés Dubini ")</f>
        <v>Cecilia Inés Dubini </v>
      </c>
      <c r="M86" s="212" t="str">
        <f>IFERROR(__xludf.DUMMYFUNCTION("""COMPUTED_VALUE"""),"Marcos Galván")</f>
        <v>Marcos Galván</v>
      </c>
      <c r="N86" s="212"/>
      <c r="O86" s="215" t="str">
        <f>IFERROR(__xludf.DUMMYFUNCTION("""COMPUTED_VALUE""")," Cecilia Inés Dubini ")</f>
        <v>Cecilia Inés Dubini</v>
      </c>
      <c r="P86" s="216" t="str">
        <f>IFERROR(__xludf.DUMMYFUNCTION("""COMPUTED_VALUE"""),"Educación Física")</f>
        <v>Educación Física</v>
      </c>
      <c r="Q86" s="212" t="str">
        <f>IFERROR(__xludf.DUMMYFUNCTION("""COMPUTED_VALUE"""),"Nuevo")</f>
        <v>Nuevo</v>
      </c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</row>
    <row r="87">
      <c r="A87" s="214" t="str">
        <f t="shared" si="1"/>
        <v>Martín Guareschi</v>
      </c>
      <c r="B87" s="210">
        <f>IFERROR(__xludf.DUMMYFUNCTION("""COMPUTED_VALUE"""),3.0)</f>
        <v>3</v>
      </c>
      <c r="C87" s="211" t="str">
        <f>IFERROR(__xludf.DUMMYFUNCTION("""COMPUTED_VALUE"""),"2º B")</f>
        <v>2º B</v>
      </c>
      <c r="D87" s="212"/>
      <c r="E87" s="213"/>
      <c r="F87" s="212"/>
      <c r="G87" s="212" t="str">
        <f>IFERROR(__xludf.DUMMYFUNCTION("""COMPUTED_VALUE"""),"si")</f>
        <v>si</v>
      </c>
      <c r="H87" s="212"/>
      <c r="I87" s="212">
        <f>IFERROR(__xludf.DUMMYFUNCTION("""COMPUTED_VALUE"""),4.0)</f>
        <v>4</v>
      </c>
      <c r="J87" s="212"/>
      <c r="K87" s="212" t="str">
        <f>IFERROR(__xludf.DUMMYFUNCTION("""COMPUTED_VALUE"""),"Educación Física")</f>
        <v>Educación Física</v>
      </c>
      <c r="L87" s="212" t="str">
        <f>IFERROR(__xludf.DUMMYFUNCTION("""COMPUTED_VALUE"""),"Nicolas Mai")</f>
        <v>Nicolas Mai</v>
      </c>
      <c r="M87" s="212" t="str">
        <f>IFERROR(__xludf.DUMMYFUNCTION("""COMPUTED_VALUE"""),"Marcos Galván")</f>
        <v>Marcos Galván</v>
      </c>
      <c r="N87" s="212"/>
      <c r="O87" s="215" t="str">
        <f>IFERROR(__xludf.DUMMYFUNCTION("""COMPUTED_VALUE""")," Martín Guareschi ")</f>
        <v>Martín Guareschi</v>
      </c>
      <c r="P87" s="216" t="str">
        <f>IFERROR(__xludf.DUMMYFUNCTION("""COMPUTED_VALUE"""),"Educación Física")</f>
        <v>Educación Física</v>
      </c>
      <c r="Q87" s="212" t="str">
        <f>IFERROR(__xludf.DUMMYFUNCTION("""COMPUTED_VALUE"""),"Nuevo")</f>
        <v>Nuevo</v>
      </c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</row>
    <row r="88">
      <c r="A88" s="214" t="str">
        <f t="shared" si="1"/>
        <v>Maria Soledad Arrambide</v>
      </c>
      <c r="B88" s="210">
        <f>IFERROR(__xludf.DUMMYFUNCTION("""COMPUTED_VALUE"""),4.0)</f>
        <v>4</v>
      </c>
      <c r="C88" s="211" t="str">
        <f>IFERROR(__xludf.DUMMYFUNCTION("""COMPUTED_VALUE"""),"2º A")</f>
        <v>2º A</v>
      </c>
      <c r="D88" s="212"/>
      <c r="E88" s="213"/>
      <c r="F88" s="212"/>
      <c r="G88" s="212" t="str">
        <f>IFERROR(__xludf.DUMMYFUNCTION("""COMPUTED_VALUE"""),"si")</f>
        <v>si</v>
      </c>
      <c r="H88" s="212"/>
      <c r="I88" s="212">
        <f>IFERROR(__xludf.DUMMYFUNCTION("""COMPUTED_VALUE"""),6.0)</f>
        <v>6</v>
      </c>
      <c r="J88" s="212"/>
      <c r="K88" s="212" t="str">
        <f>IFERROR(__xludf.DUMMYFUNCTION("""COMPUTED_VALUE"""),"English")</f>
        <v>English</v>
      </c>
      <c r="L88" s="212" t="str">
        <f>IFERROR(__xludf.DUMMYFUNCTION("""COMPUTED_VALUE"""),"Maria Soledad Arrambide")</f>
        <v>Maria Soledad Arrambide</v>
      </c>
      <c r="M88" s="212"/>
      <c r="N88" s="212"/>
      <c r="O88" s="215" t="str">
        <f>IFERROR(__xludf.DUMMYFUNCTION("""COMPUTED_VALUE""")," Maria Soledad Arrambide ")</f>
        <v>Maria Soledad Arrambide</v>
      </c>
      <c r="P88" s="216" t="str">
        <f>IFERROR(__xludf.DUMMYFUNCTION("""COMPUTED_VALUE"""),"Expresion")</f>
        <v>Expresion</v>
      </c>
      <c r="Q88" s="212" t="str">
        <f>IFERROR(__xludf.DUMMYFUNCTION("""COMPUTED_VALUE"""),"Mantiene")</f>
        <v>Mantiene</v>
      </c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</row>
    <row r="89">
      <c r="A89" s="214" t="str">
        <f t="shared" si="1"/>
        <v>Maria Soledad Arrambide</v>
      </c>
      <c r="B89" s="210">
        <f>IFERROR(__xludf.DUMMYFUNCTION("""COMPUTED_VALUE"""),4.0)</f>
        <v>4</v>
      </c>
      <c r="C89" s="211" t="str">
        <f>IFERROR(__xludf.DUMMYFUNCTION("""COMPUTED_VALUE"""),"2º B")</f>
        <v>2º B</v>
      </c>
      <c r="D89" s="212"/>
      <c r="E89" s="213"/>
      <c r="F89" s="212"/>
      <c r="G89" s="212" t="str">
        <f>IFERROR(__xludf.DUMMYFUNCTION("""COMPUTED_VALUE"""),"si")</f>
        <v>si</v>
      </c>
      <c r="H89" s="212"/>
      <c r="I89" s="212">
        <f>IFERROR(__xludf.DUMMYFUNCTION("""COMPUTED_VALUE"""),6.0)</f>
        <v>6</v>
      </c>
      <c r="J89" s="212"/>
      <c r="K89" s="212" t="str">
        <f>IFERROR(__xludf.DUMMYFUNCTION("""COMPUTED_VALUE"""),"English")</f>
        <v>English</v>
      </c>
      <c r="L89" s="212" t="str">
        <f>IFERROR(__xludf.DUMMYFUNCTION("""COMPUTED_VALUE"""),"Carla Rocio Ibarra")</f>
        <v>Carla Rocio Ibarra</v>
      </c>
      <c r="M89" s="212"/>
      <c r="N89" s="212"/>
      <c r="O89" s="215" t="str">
        <f>IFERROR(__xludf.DUMMYFUNCTION("""COMPUTED_VALUE""")," Maria Soledad Arrambide ")</f>
        <v>Maria Soledad Arrambide</v>
      </c>
      <c r="P89" s="216" t="str">
        <f>IFERROR(__xludf.DUMMYFUNCTION("""COMPUTED_VALUE"""),"Expresion")</f>
        <v>Expresion</v>
      </c>
      <c r="Q89" s="212" t="str">
        <f>IFERROR(__xludf.DUMMYFUNCTION("""COMPUTED_VALUE"""),"Nuevo x baja de profesor")</f>
        <v>Nuevo x baja de profesor</v>
      </c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</row>
    <row r="90">
      <c r="A90" s="214" t="str">
        <f t="shared" si="1"/>
        <v>Verónica María Bonadeo</v>
      </c>
      <c r="B90" s="210">
        <f>IFERROR(__xludf.DUMMYFUNCTION("""COMPUTED_VALUE"""),5.0)</f>
        <v>5</v>
      </c>
      <c r="C90" s="211" t="str">
        <f>IFERROR(__xludf.DUMMYFUNCTION("""COMPUTED_VALUE"""),"2º A")</f>
        <v>2º A</v>
      </c>
      <c r="D90" s="212"/>
      <c r="E90" s="213"/>
      <c r="F90" s="212"/>
      <c r="G90" s="212"/>
      <c r="H90" s="212"/>
      <c r="I90" s="212">
        <f>IFERROR(__xludf.DUMMYFUNCTION("""COMPUTED_VALUE"""),1.0)</f>
        <v>1</v>
      </c>
      <c r="J90" s="212"/>
      <c r="K90" s="212" t="str">
        <f>IFERROR(__xludf.DUMMYFUNCTION("""COMPUTED_VALUE"""),"Estudio Dirigido")</f>
        <v>Estudio Dirigido</v>
      </c>
      <c r="L90" s="212" t="str">
        <f>IFERROR(__xludf.DUMMYFUNCTION("""COMPUTED_VALUE"""),"Eduardo Gabriel Rougier")</f>
        <v>Eduardo Gabriel Rougier</v>
      </c>
      <c r="M90" s="212" t="str">
        <f>IFERROR(__xludf.DUMMYFUNCTION("""COMPUTED_VALUE"""),"Verónica María Bonadeo")</f>
        <v>Verónica María Bonadeo</v>
      </c>
      <c r="N90" s="212"/>
      <c r="O90" s="215" t="str">
        <f>IFERROR(__xludf.DUMMYFUNCTION("""COMPUTED_VALUE""")," Verónica María Bonadeo ")</f>
        <v>Verónica María Bonadeo</v>
      </c>
      <c r="P90" s="216" t="str">
        <f>IFERROR(__xludf.DUMMYFUNCTION("""COMPUTED_VALUE"""),"Orientacion")</f>
        <v>Orientacion</v>
      </c>
      <c r="Q90" s="212" t="str">
        <f>IFERROR(__xludf.DUMMYFUNCTION("""COMPUTED_VALUE"""),"Nuevo")</f>
        <v>Nuevo</v>
      </c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</row>
    <row r="91">
      <c r="A91" s="210" t="str">
        <f t="shared" si="1"/>
        <v>Verónica María Bonadeo</v>
      </c>
      <c r="B91" s="210">
        <f>IFERROR(__xludf.DUMMYFUNCTION("""COMPUTED_VALUE"""),5.0)</f>
        <v>5</v>
      </c>
      <c r="C91" s="211" t="str">
        <f>IFERROR(__xludf.DUMMYFUNCTION("""COMPUTED_VALUE"""),"2º B")</f>
        <v>2º B</v>
      </c>
      <c r="D91" s="212"/>
      <c r="E91" s="213"/>
      <c r="F91" s="212"/>
      <c r="G91" s="212"/>
      <c r="H91" s="212"/>
      <c r="I91" s="212">
        <f>IFERROR(__xludf.DUMMYFUNCTION("""COMPUTED_VALUE"""),1.0)</f>
        <v>1</v>
      </c>
      <c r="J91" s="212"/>
      <c r="K91" s="212" t="str">
        <f>IFERROR(__xludf.DUMMYFUNCTION("""COMPUTED_VALUE"""),"Estudio Dirigido")</f>
        <v>Estudio Dirigido</v>
      </c>
      <c r="L91" s="212" t="str">
        <f>IFERROR(__xludf.DUMMYFUNCTION("""COMPUTED_VALUE"""),"Eduardo Gabriel Rougier")</f>
        <v>Eduardo Gabriel Rougier</v>
      </c>
      <c r="M91" s="212" t="str">
        <f>IFERROR(__xludf.DUMMYFUNCTION("""COMPUTED_VALUE"""),"Verónica María Bonadeo")</f>
        <v>Verónica María Bonadeo</v>
      </c>
      <c r="N91" s="212"/>
      <c r="O91" s="212" t="str">
        <f>IFERROR(__xludf.DUMMYFUNCTION("""COMPUTED_VALUE"""),"Verónica María Bonadeo")</f>
        <v>Verónica María Bonadeo</v>
      </c>
      <c r="P91" s="212" t="str">
        <f>IFERROR(__xludf.DUMMYFUNCTION("""COMPUTED_VALUE"""),"Orientacion")</f>
        <v>Orientacion</v>
      </c>
      <c r="Q91" s="212" t="str">
        <f>IFERROR(__xludf.DUMMYFUNCTION("""COMPUTED_VALUE"""),"Nuevo")</f>
        <v>Nuevo</v>
      </c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</row>
    <row r="92">
      <c r="A92" s="214" t="str">
        <f t="shared" si="1"/>
        <v>Agustina Bieule</v>
      </c>
      <c r="B92" s="210">
        <f>IFERROR(__xludf.DUMMYFUNCTION("""COMPUTED_VALUE"""),6.0)</f>
        <v>6</v>
      </c>
      <c r="C92" s="211" t="str">
        <f>IFERROR(__xludf.DUMMYFUNCTION("""COMPUTED_VALUE"""),"2º A")</f>
        <v>2º A</v>
      </c>
      <c r="D92" s="212"/>
      <c r="E92" s="213"/>
      <c r="F92" s="212"/>
      <c r="G92" s="212"/>
      <c r="H92" s="212"/>
      <c r="I92" s="212"/>
      <c r="J92" s="212"/>
      <c r="K92" s="212" t="str">
        <f>IFERROR(__xludf.DUMMYFUNCTION("""COMPUTED_VALUE"""),"Formación Católica")</f>
        <v>Formación Católica</v>
      </c>
      <c r="L92" s="212" t="str">
        <f>IFERROR(__xludf.DUMMYFUNCTION("""COMPUTED_VALUE"""),"Agustina Bieule")</f>
        <v>Agustina Bieule</v>
      </c>
      <c r="M92" s="212"/>
      <c r="N92" s="212"/>
      <c r="O92" s="215" t="str">
        <f>IFERROR(__xludf.DUMMYFUNCTION("""COMPUTED_VALUE""")," Agustina Bieule ")</f>
        <v>Agustina Bieule</v>
      </c>
      <c r="P92" s="216" t="str">
        <f>IFERROR(__xludf.DUMMYFUNCTION("""COMPUTED_VALUE"""),"Formación Católica")</f>
        <v>Formación Católica</v>
      </c>
      <c r="Q92" s="212" t="str">
        <f>IFERROR(__xludf.DUMMYFUNCTION("""COMPUTED_VALUE"""),"Mantiene")</f>
        <v>Mantiene</v>
      </c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</row>
    <row r="93">
      <c r="A93" s="214" t="str">
        <f t="shared" si="1"/>
        <v>Ezequiel Beccar Varela</v>
      </c>
      <c r="B93" s="210">
        <f>IFERROR(__xludf.DUMMYFUNCTION("""COMPUTED_VALUE"""),6.0)</f>
        <v>6</v>
      </c>
      <c r="C93" s="211" t="str">
        <f>IFERROR(__xludf.DUMMYFUNCTION("""COMPUTED_VALUE"""),"2º B")</f>
        <v>2º B</v>
      </c>
      <c r="D93" s="212"/>
      <c r="E93" s="213"/>
      <c r="F93" s="212"/>
      <c r="G93" s="212"/>
      <c r="H93" s="212"/>
      <c r="I93" s="212"/>
      <c r="J93" s="212"/>
      <c r="K93" s="212" t="str">
        <f>IFERROR(__xludf.DUMMYFUNCTION("""COMPUTED_VALUE"""),"Formación Católica")</f>
        <v>Formación Católica</v>
      </c>
      <c r="L93" s="212" t="str">
        <f>IFERROR(__xludf.DUMMYFUNCTION("""COMPUTED_VALUE"""),"Juan Ignacio Pietrodarca")</f>
        <v>Juan Ignacio Pietrodarca</v>
      </c>
      <c r="M93" s="212"/>
      <c r="N93" s="212"/>
      <c r="O93" s="215" t="str">
        <f>IFERROR(__xludf.DUMMYFUNCTION("""COMPUTED_VALUE""")," Ezequiel Beccar Varela ")</f>
        <v>Ezequiel Beccar Varela</v>
      </c>
      <c r="P93" s="216" t="str">
        <f>IFERROR(__xludf.DUMMYFUNCTION("""COMPUTED_VALUE"""),"Formación Católica")</f>
        <v>Formación Católica</v>
      </c>
      <c r="Q93" s="212" t="str">
        <f>IFERROR(__xludf.DUMMYFUNCTION("""COMPUTED_VALUE"""),"Nuevo x baja de profesor")</f>
        <v>Nuevo x baja de profesor</v>
      </c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</row>
    <row r="94">
      <c r="A94" s="214" t="str">
        <f t="shared" si="1"/>
        <v>Luciana Natalia Cabrera</v>
      </c>
      <c r="B94" s="210">
        <f>IFERROR(__xludf.DUMMYFUNCTION("""COMPUTED_VALUE"""),7.0)</f>
        <v>7</v>
      </c>
      <c r="C94" s="211" t="str">
        <f>IFERROR(__xludf.DUMMYFUNCTION("""COMPUTED_VALUE"""),"2º A")</f>
        <v>2º A</v>
      </c>
      <c r="D94" s="212"/>
      <c r="E94" s="213"/>
      <c r="F94" s="212"/>
      <c r="G94" s="212" t="str">
        <f>IFERROR(__xludf.DUMMYFUNCTION("""COMPUTED_VALUE"""),"si")</f>
        <v>si</v>
      </c>
      <c r="H94" s="212"/>
      <c r="I94" s="212">
        <f>IFERROR(__xludf.DUMMYFUNCTION("""COMPUTED_VALUE"""),2.0)</f>
        <v>2</v>
      </c>
      <c r="J94" s="212"/>
      <c r="K94" s="212" t="str">
        <f>IFERROR(__xludf.DUMMYFUNCTION("""COMPUTED_VALUE"""),"Geografía")</f>
        <v>Geografía</v>
      </c>
      <c r="L94" s="212" t="str">
        <f>IFERROR(__xludf.DUMMYFUNCTION("""COMPUTED_VALUE"""),"Luciana Natalia Cabrera")</f>
        <v>Luciana Natalia Cabrera</v>
      </c>
      <c r="M94" s="212"/>
      <c r="N94" s="212"/>
      <c r="O94" s="215" t="str">
        <f>IFERROR(__xludf.DUMMYFUNCTION("""COMPUTED_VALUE""")," Luciana Natalia Cabrera ")</f>
        <v>Luciana Natalia Cabrera</v>
      </c>
      <c r="P94" s="216" t="str">
        <f>IFERROR(__xludf.DUMMYFUNCTION("""COMPUTED_VALUE"""),"Humanas")</f>
        <v>Humanas</v>
      </c>
      <c r="Q94" s="212" t="str">
        <f>IFERROR(__xludf.DUMMYFUNCTION("""COMPUTED_VALUE"""),"Mantiene")</f>
        <v>Mantiene</v>
      </c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</row>
    <row r="95">
      <c r="A95" s="214" t="str">
        <f t="shared" si="1"/>
        <v>Luciana Natalia Cabrera</v>
      </c>
      <c r="B95" s="210">
        <f>IFERROR(__xludf.DUMMYFUNCTION("""COMPUTED_VALUE"""),7.0)</f>
        <v>7</v>
      </c>
      <c r="C95" s="211" t="str">
        <f>IFERROR(__xludf.DUMMYFUNCTION("""COMPUTED_VALUE"""),"2º B")</f>
        <v>2º B</v>
      </c>
      <c r="D95" s="212"/>
      <c r="E95" s="213"/>
      <c r="F95" s="212"/>
      <c r="G95" s="212" t="str">
        <f>IFERROR(__xludf.DUMMYFUNCTION("""COMPUTED_VALUE"""),"si")</f>
        <v>si</v>
      </c>
      <c r="H95" s="212"/>
      <c r="I95" s="212">
        <f>IFERROR(__xludf.DUMMYFUNCTION("""COMPUTED_VALUE"""),2.0)</f>
        <v>2</v>
      </c>
      <c r="J95" s="212"/>
      <c r="K95" s="212" t="str">
        <f>IFERROR(__xludf.DUMMYFUNCTION("""COMPUTED_VALUE"""),"Geografía")</f>
        <v>Geografía</v>
      </c>
      <c r="L95" s="212" t="str">
        <f>IFERROR(__xludf.DUMMYFUNCTION("""COMPUTED_VALUE"""),"Luciana Natalia Cabrera")</f>
        <v>Luciana Natalia Cabrera</v>
      </c>
      <c r="M95" s="212"/>
      <c r="N95" s="212"/>
      <c r="O95" s="215" t="str">
        <f>IFERROR(__xludf.DUMMYFUNCTION("""COMPUTED_VALUE""")," Luciana Natalia Cabrera ")</f>
        <v>Luciana Natalia Cabrera</v>
      </c>
      <c r="P95" s="216" t="str">
        <f>IFERROR(__xludf.DUMMYFUNCTION("""COMPUTED_VALUE"""),"Humanas")</f>
        <v>Humanas</v>
      </c>
      <c r="Q95" s="212" t="str">
        <f>IFERROR(__xludf.DUMMYFUNCTION("""COMPUTED_VALUE"""),"Mantiene")</f>
        <v>Mantiene</v>
      </c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</row>
    <row r="96">
      <c r="A96" s="214" t="str">
        <f t="shared" si="1"/>
        <v>Luciana Natalia Cabrera</v>
      </c>
      <c r="B96" s="210">
        <f>IFERROR(__xludf.DUMMYFUNCTION("""COMPUTED_VALUE"""),8.0)</f>
        <v>8</v>
      </c>
      <c r="C96" s="211" t="str">
        <f>IFERROR(__xludf.DUMMYFUNCTION("""COMPUTED_VALUE"""),"2º A")</f>
        <v>2º A</v>
      </c>
      <c r="D96" s="212"/>
      <c r="E96" s="213"/>
      <c r="F96" s="212"/>
      <c r="G96" s="212" t="str">
        <f>IFERROR(__xludf.DUMMYFUNCTION("""COMPUTED_VALUE"""),"si")</f>
        <v>si</v>
      </c>
      <c r="H96" s="212"/>
      <c r="I96" s="212">
        <f>IFERROR(__xludf.DUMMYFUNCTION("""COMPUTED_VALUE"""),2.0)</f>
        <v>2</v>
      </c>
      <c r="J96" s="212"/>
      <c r="K96" s="212" t="str">
        <f>IFERROR(__xludf.DUMMYFUNCTION("""COMPUTED_VALUE"""),"History")</f>
        <v>History</v>
      </c>
      <c r="L96" s="212" t="str">
        <f>IFERROR(__xludf.DUMMYFUNCTION("""COMPUTED_VALUE"""),"Luciana Natalia Cabrera")</f>
        <v>Luciana Natalia Cabrera</v>
      </c>
      <c r="M96" s="212"/>
      <c r="N96" s="212"/>
      <c r="O96" s="215" t="str">
        <f>IFERROR(__xludf.DUMMYFUNCTION("""COMPUTED_VALUE""")," Luciana Natalia Cabrera ")</f>
        <v>Luciana Natalia Cabrera</v>
      </c>
      <c r="P96" s="216" t="str">
        <f>IFERROR(__xludf.DUMMYFUNCTION("""COMPUTED_VALUE"""),"Humanas")</f>
        <v>Humanas</v>
      </c>
      <c r="Q96" s="212" t="str">
        <f>IFERROR(__xludf.DUMMYFUNCTION("""COMPUTED_VALUE"""),"Mantiene")</f>
        <v>Mantiene</v>
      </c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</row>
    <row r="97">
      <c r="A97" s="214" t="str">
        <f t="shared" si="1"/>
        <v>Luciana Natalia Cabrera</v>
      </c>
      <c r="B97" s="210">
        <f>IFERROR(__xludf.DUMMYFUNCTION("""COMPUTED_VALUE"""),8.0)</f>
        <v>8</v>
      </c>
      <c r="C97" s="211" t="str">
        <f>IFERROR(__xludf.DUMMYFUNCTION("""COMPUTED_VALUE"""),"2º B")</f>
        <v>2º B</v>
      </c>
      <c r="D97" s="212"/>
      <c r="E97" s="213"/>
      <c r="F97" s="212"/>
      <c r="G97" s="212" t="str">
        <f>IFERROR(__xludf.DUMMYFUNCTION("""COMPUTED_VALUE"""),"si")</f>
        <v>si</v>
      </c>
      <c r="H97" s="212"/>
      <c r="I97" s="212">
        <f>IFERROR(__xludf.DUMMYFUNCTION("""COMPUTED_VALUE"""),2.0)</f>
        <v>2</v>
      </c>
      <c r="J97" s="212"/>
      <c r="K97" s="212" t="str">
        <f>IFERROR(__xludf.DUMMYFUNCTION("""COMPUTED_VALUE"""),"History")</f>
        <v>History</v>
      </c>
      <c r="L97" s="212" t="str">
        <f>IFERROR(__xludf.DUMMYFUNCTION("""COMPUTED_VALUE"""),"Luciana Natalia Cabrera")</f>
        <v>Luciana Natalia Cabrera</v>
      </c>
      <c r="M97" s="212"/>
      <c r="N97" s="212"/>
      <c r="O97" s="215" t="str">
        <f>IFERROR(__xludf.DUMMYFUNCTION("""COMPUTED_VALUE""")," Luciana Natalia Cabrera ")</f>
        <v>Luciana Natalia Cabrera</v>
      </c>
      <c r="P97" s="216" t="str">
        <f>IFERROR(__xludf.DUMMYFUNCTION("""COMPUTED_VALUE"""),"Humanas")</f>
        <v>Humanas</v>
      </c>
      <c r="Q97" s="212" t="str">
        <f>IFERROR(__xludf.DUMMYFUNCTION("""COMPUTED_VALUE"""),"Mantiene")</f>
        <v>Mantiene</v>
      </c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</row>
    <row r="98">
      <c r="A98" s="210" t="str">
        <f t="shared" si="1"/>
        <v>Verónica María Bonadeo</v>
      </c>
      <c r="B98" s="210">
        <f>IFERROR(__xludf.DUMMYFUNCTION("""COMPUTED_VALUE"""),9.0)</f>
        <v>9</v>
      </c>
      <c r="C98" s="211" t="str">
        <f>IFERROR(__xludf.DUMMYFUNCTION("""COMPUTED_VALUE"""),"2º A")</f>
        <v>2º A</v>
      </c>
      <c r="D98" s="212"/>
      <c r="E98" s="213"/>
      <c r="F98" s="212"/>
      <c r="G98" s="212"/>
      <c r="H98" s="212"/>
      <c r="I98" s="212">
        <f>IFERROR(__xludf.DUMMYFUNCTION("""COMPUTED_VALUE"""),1.0)</f>
        <v>1</v>
      </c>
      <c r="J98" s="212"/>
      <c r="K98" s="212" t="str">
        <f>IFERROR(__xludf.DUMMYFUNCTION("""COMPUTED_VALUE"""),"Information Technology")</f>
        <v>Information Technology</v>
      </c>
      <c r="L98" s="212" t="str">
        <f>IFERROR(__xludf.DUMMYFUNCTION("""COMPUTED_VALUE"""),"Verónica María Bonadeo")</f>
        <v>Verónica María Bonadeo</v>
      </c>
      <c r="M98" s="212" t="str">
        <f>IFERROR(__xludf.DUMMYFUNCTION("""COMPUTED_VALUE"""),"Verónica María Bonadeo")</f>
        <v>Verónica María Bonadeo</v>
      </c>
      <c r="N98" s="212"/>
      <c r="O98" s="212" t="str">
        <f>IFERROR(__xludf.DUMMYFUNCTION("""COMPUTED_VALUE"""),"Verónica María Bonadeo")</f>
        <v>Verónica María Bonadeo</v>
      </c>
      <c r="P98" s="212" t="str">
        <f>IFERROR(__xludf.DUMMYFUNCTION("""COMPUTED_VALUE"""),"Tecnologia")</f>
        <v>Tecnologia</v>
      </c>
      <c r="Q98" s="212" t="str">
        <f>IFERROR(__xludf.DUMMYFUNCTION("""COMPUTED_VALUE"""),"Mantiene")</f>
        <v>Mantiene</v>
      </c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</row>
    <row r="99">
      <c r="A99" s="214" t="str">
        <f t="shared" si="1"/>
        <v>Verónica María Bonadeo</v>
      </c>
      <c r="B99" s="210">
        <f>IFERROR(__xludf.DUMMYFUNCTION("""COMPUTED_VALUE"""),9.0)</f>
        <v>9</v>
      </c>
      <c r="C99" s="211" t="str">
        <f>IFERROR(__xludf.DUMMYFUNCTION("""COMPUTED_VALUE"""),"2º B")</f>
        <v>2º B</v>
      </c>
      <c r="D99" s="212"/>
      <c r="E99" s="213"/>
      <c r="F99" s="212"/>
      <c r="G99" s="212"/>
      <c r="H99" s="212"/>
      <c r="I99" s="212">
        <f>IFERROR(__xludf.DUMMYFUNCTION("""COMPUTED_VALUE"""),1.0)</f>
        <v>1</v>
      </c>
      <c r="J99" s="212"/>
      <c r="K99" s="212" t="str">
        <f>IFERROR(__xludf.DUMMYFUNCTION("""COMPUTED_VALUE"""),"Information Technology")</f>
        <v>Information Technology</v>
      </c>
      <c r="L99" s="212" t="str">
        <f>IFERROR(__xludf.DUMMYFUNCTION("""COMPUTED_VALUE"""),"Eduardo Gabriel Rougier")</f>
        <v>Eduardo Gabriel Rougier</v>
      </c>
      <c r="M99" s="212"/>
      <c r="N99" s="212"/>
      <c r="O99" s="215" t="str">
        <f>IFERROR(__xludf.DUMMYFUNCTION("""COMPUTED_VALUE""")," Verónica María Bonadeo ")</f>
        <v>Verónica María Bonadeo</v>
      </c>
      <c r="P99" s="216" t="str">
        <f>IFERROR(__xludf.DUMMYFUNCTION("""COMPUTED_VALUE"""),"Tecnologia")</f>
        <v>Tecnologia</v>
      </c>
      <c r="Q99" s="212" t="str">
        <f>IFERROR(__xludf.DUMMYFUNCTION("""COMPUTED_VALUE"""),"Nuevo")</f>
        <v>Nuevo</v>
      </c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</row>
    <row r="100">
      <c r="A100" s="214" t="str">
        <f t="shared" si="1"/>
        <v>Catalina Novo</v>
      </c>
      <c r="B100" s="210">
        <f>IFERROR(__xludf.DUMMYFUNCTION("""COMPUTED_VALUE"""),10.0)</f>
        <v>10</v>
      </c>
      <c r="C100" s="211" t="str">
        <f>IFERROR(__xludf.DUMMYFUNCTION("""COMPUTED_VALUE"""),"2º A")</f>
        <v>2º A</v>
      </c>
      <c r="D100" s="212"/>
      <c r="E100" s="213"/>
      <c r="F100" s="212"/>
      <c r="G100" s="212" t="str">
        <f>IFERROR(__xludf.DUMMYFUNCTION("""COMPUTED_VALUE"""),"si")</f>
        <v>si</v>
      </c>
      <c r="H100" s="212"/>
      <c r="I100" s="212">
        <f>IFERROR(__xludf.DUMMYFUNCTION("""COMPUTED_VALUE"""),2.0)</f>
        <v>2</v>
      </c>
      <c r="J100" s="212"/>
      <c r="K100" s="212" t="str">
        <f>IFERROR(__xludf.DUMMYFUNCTION("""COMPUTED_VALUE"""),"Liderazgo al Servicio")</f>
        <v>Liderazgo al Servicio</v>
      </c>
      <c r="L100" s="212" t="str">
        <f>IFERROR(__xludf.DUMMYFUNCTION("""COMPUTED_VALUE"""),"Carolina Ferrari Aldaz")</f>
        <v>Carolina Ferrari Aldaz</v>
      </c>
      <c r="M100" s="212"/>
      <c r="N100" s="212"/>
      <c r="O100" s="215" t="str">
        <f>IFERROR(__xludf.DUMMYFUNCTION("""COMPUTED_VALUE""")," Catalina Novo ")</f>
        <v>Catalina Novo</v>
      </c>
      <c r="P100" s="216" t="str">
        <f>IFERROR(__xludf.DUMMYFUNCTION("""COMPUTED_VALUE"""),"Formación Católica")</f>
        <v>Formación Católica</v>
      </c>
      <c r="Q100" s="212" t="str">
        <f>IFERROR(__xludf.DUMMYFUNCTION("""COMPUTED_VALUE"""),"Nuevo x baja de profesor?????")</f>
        <v>Nuevo x baja de profesor?????</v>
      </c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</row>
    <row r="101">
      <c r="A101" s="210" t="str">
        <f t="shared" si="1"/>
        <v>Manuela Freire</v>
      </c>
      <c r="B101" s="210">
        <f>IFERROR(__xludf.DUMMYFUNCTION("""COMPUTED_VALUE"""),10.0)</f>
        <v>10</v>
      </c>
      <c r="C101" s="211" t="str">
        <f>IFERROR(__xludf.DUMMYFUNCTION("""COMPUTED_VALUE"""),"2º B")</f>
        <v>2º B</v>
      </c>
      <c r="D101" s="212"/>
      <c r="E101" s="213"/>
      <c r="F101" s="212"/>
      <c r="G101" s="212" t="str">
        <f>IFERROR(__xludf.DUMMYFUNCTION("""COMPUTED_VALUE"""),"si")</f>
        <v>si</v>
      </c>
      <c r="H101" s="212"/>
      <c r="I101" s="212">
        <f>IFERROR(__xludf.DUMMYFUNCTION("""COMPUTED_VALUE"""),2.0)</f>
        <v>2</v>
      </c>
      <c r="J101" s="212"/>
      <c r="K101" s="212" t="str">
        <f>IFERROR(__xludf.DUMMYFUNCTION("""COMPUTED_VALUE"""),"Liderazgo al Servicio")</f>
        <v>Liderazgo al Servicio</v>
      </c>
      <c r="L101" s="212" t="str">
        <f>IFERROR(__xludf.DUMMYFUNCTION("""COMPUTED_VALUE"""),"Carolina Ferrari Aldaz")</f>
        <v>Carolina Ferrari Aldaz</v>
      </c>
      <c r="M101" s="212"/>
      <c r="N101" s="212"/>
      <c r="O101" s="212" t="str">
        <f>IFERROR(__xludf.DUMMYFUNCTION("""COMPUTED_VALUE"""),"Manuela Freire")</f>
        <v>Manuela Freire</v>
      </c>
      <c r="P101" s="212" t="str">
        <f>IFERROR(__xludf.DUMMYFUNCTION("""COMPUTED_VALUE"""),"Formación Católica")</f>
        <v>Formación Católica</v>
      </c>
      <c r="Q101" s="212" t="str">
        <f>IFERROR(__xludf.DUMMYFUNCTION("""COMPUTED_VALUE"""),"Nuevo x baja de profesor?????")</f>
        <v>Nuevo x baja de profesor?????</v>
      </c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</row>
    <row r="102">
      <c r="A102" s="214" t="str">
        <f t="shared" si="1"/>
        <v>Astrid Vanina Santa Maria</v>
      </c>
      <c r="B102" s="210">
        <f>IFERROR(__xludf.DUMMYFUNCTION("""COMPUTED_VALUE"""),11.0)</f>
        <v>11</v>
      </c>
      <c r="C102" s="211" t="str">
        <f>IFERROR(__xludf.DUMMYFUNCTION("""COMPUTED_VALUE"""),"2º A")</f>
        <v>2º A</v>
      </c>
      <c r="D102" s="212"/>
      <c r="E102" s="213"/>
      <c r="F102" s="212"/>
      <c r="G102" s="212"/>
      <c r="H102" s="212"/>
      <c r="I102" s="212">
        <f>IFERROR(__xludf.DUMMYFUNCTION("""COMPUTED_VALUE"""),2.0)</f>
        <v>2</v>
      </c>
      <c r="J102" s="212"/>
      <c r="K102" s="212" t="str">
        <f>IFERROR(__xludf.DUMMYFUNCTION("""COMPUTED_VALUE"""),"Literature")</f>
        <v>Literature</v>
      </c>
      <c r="L102" s="212" t="str">
        <f>IFERROR(__xludf.DUMMYFUNCTION("""COMPUTED_VALUE"""),"María Victoria Ize")</f>
        <v>María Victoria Ize</v>
      </c>
      <c r="M102" s="212"/>
      <c r="N102" s="212"/>
      <c r="O102" s="215" t="str">
        <f>IFERROR(__xludf.DUMMYFUNCTION("""COMPUTED_VALUE""")," Astrid Vanina Santa Maria ")</f>
        <v>Astrid Vanina Santa Maria</v>
      </c>
      <c r="P102" s="216" t="str">
        <f>IFERROR(__xludf.DUMMYFUNCTION("""COMPUTED_VALUE"""),"Expresion")</f>
        <v>Expresion</v>
      </c>
      <c r="Q102" s="212" t="str">
        <f>IFERROR(__xludf.DUMMYFUNCTION("""COMPUTED_VALUE"""),"Nuevo x baja de profesor")</f>
        <v>Nuevo x baja de profesor</v>
      </c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</row>
    <row r="103">
      <c r="A103" s="210" t="str">
        <f t="shared" si="1"/>
        <v>Astrid Vanina Santa Maria</v>
      </c>
      <c r="B103" s="210">
        <f>IFERROR(__xludf.DUMMYFUNCTION("""COMPUTED_VALUE"""),11.0)</f>
        <v>11</v>
      </c>
      <c r="C103" s="211" t="str">
        <f>IFERROR(__xludf.DUMMYFUNCTION("""COMPUTED_VALUE"""),"2º B")</f>
        <v>2º B</v>
      </c>
      <c r="D103" s="212"/>
      <c r="E103" s="213"/>
      <c r="F103" s="212"/>
      <c r="G103" s="212"/>
      <c r="H103" s="212"/>
      <c r="I103" s="212">
        <f>IFERROR(__xludf.DUMMYFUNCTION("""COMPUTED_VALUE"""),2.0)</f>
        <v>2</v>
      </c>
      <c r="J103" s="212"/>
      <c r="K103" s="212" t="str">
        <f>IFERROR(__xludf.DUMMYFUNCTION("""COMPUTED_VALUE"""),"Literature")</f>
        <v>Literature</v>
      </c>
      <c r="L103" s="212" t="str">
        <f>IFERROR(__xludf.DUMMYFUNCTION("""COMPUTED_VALUE"""),"María Victoria Ize")</f>
        <v>María Victoria Ize</v>
      </c>
      <c r="M103" s="212"/>
      <c r="N103" s="212"/>
      <c r="O103" s="212" t="str">
        <f>IFERROR(__xludf.DUMMYFUNCTION("""COMPUTED_VALUE"""),"Astrid Vanina Santa Maria")</f>
        <v>Astrid Vanina Santa Maria</v>
      </c>
      <c r="P103" s="212" t="str">
        <f>IFERROR(__xludf.DUMMYFUNCTION("""COMPUTED_VALUE"""),"Expresion")</f>
        <v>Expresion</v>
      </c>
      <c r="Q103" s="212" t="str">
        <f>IFERROR(__xludf.DUMMYFUNCTION("""COMPUTED_VALUE"""),"Nuevo x baja de profesor")</f>
        <v>Nuevo x baja de profesor</v>
      </c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</row>
    <row r="104">
      <c r="A104" s="210" t="str">
        <f t="shared" si="1"/>
        <v>María Gabriela Redolfi</v>
      </c>
      <c r="B104" s="210">
        <f>IFERROR(__xludf.DUMMYFUNCTION("""COMPUTED_VALUE"""),12.0)</f>
        <v>12</v>
      </c>
      <c r="C104" s="211" t="str">
        <f>IFERROR(__xludf.DUMMYFUNCTION("""COMPUTED_VALUE"""),"2º A")</f>
        <v>2º A</v>
      </c>
      <c r="D104" s="212"/>
      <c r="E104" s="213"/>
      <c r="F104" s="212"/>
      <c r="G104" s="212" t="str">
        <f>IFERROR(__xludf.DUMMYFUNCTION("""COMPUTED_VALUE"""),"si")</f>
        <v>si</v>
      </c>
      <c r="H104" s="212"/>
      <c r="I104" s="212">
        <f>IFERROR(__xludf.DUMMYFUNCTION("""COMPUTED_VALUE"""),4.0)</f>
        <v>4</v>
      </c>
      <c r="J104" s="212"/>
      <c r="K104" s="212" t="str">
        <f>IFERROR(__xludf.DUMMYFUNCTION("""COMPUTED_VALUE"""),"Maths")</f>
        <v>Maths</v>
      </c>
      <c r="L104" s="212" t="str">
        <f>IFERROR(__xludf.DUMMYFUNCTION("""COMPUTED_VALUE"""),"María Gabriela Redolfi")</f>
        <v>María Gabriela Redolfi</v>
      </c>
      <c r="M104" s="212"/>
      <c r="N104" s="212"/>
      <c r="O104" s="212" t="str">
        <f>IFERROR(__xludf.DUMMYFUNCTION("""COMPUTED_VALUE"""),"María Gabriela Redolfi")</f>
        <v>María Gabriela Redolfi</v>
      </c>
      <c r="P104" s="212" t="str">
        <f>IFERROR(__xludf.DUMMYFUNCTION("""COMPUTED_VALUE"""),"Exactas")</f>
        <v>Exactas</v>
      </c>
      <c r="Q104" s="212" t="str">
        <f>IFERROR(__xludf.DUMMYFUNCTION("""COMPUTED_VALUE"""),"Mantiene")</f>
        <v>Mantiene</v>
      </c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</row>
    <row r="105">
      <c r="A105" s="214" t="str">
        <f t="shared" si="1"/>
        <v>María Gabriela Redolfi</v>
      </c>
      <c r="B105" s="210">
        <f>IFERROR(__xludf.DUMMYFUNCTION("""COMPUTED_VALUE"""),12.0)</f>
        <v>12</v>
      </c>
      <c r="C105" s="211" t="str">
        <f>IFERROR(__xludf.DUMMYFUNCTION("""COMPUTED_VALUE"""),"2º B")</f>
        <v>2º B</v>
      </c>
      <c r="D105" s="212"/>
      <c r="E105" s="213"/>
      <c r="F105" s="212"/>
      <c r="G105" s="212" t="str">
        <f>IFERROR(__xludf.DUMMYFUNCTION("""COMPUTED_VALUE"""),"si")</f>
        <v>si</v>
      </c>
      <c r="H105" s="212"/>
      <c r="I105" s="212">
        <f>IFERROR(__xludf.DUMMYFUNCTION("""COMPUTED_VALUE"""),4.0)</f>
        <v>4</v>
      </c>
      <c r="J105" s="212"/>
      <c r="K105" s="212" t="str">
        <f>IFERROR(__xludf.DUMMYFUNCTION("""COMPUTED_VALUE"""),"Maths")</f>
        <v>Maths</v>
      </c>
      <c r="L105" s="212" t="str">
        <f>IFERROR(__xludf.DUMMYFUNCTION("""COMPUTED_VALUE"""),"Verónica María Bonadeo")</f>
        <v>Verónica María Bonadeo</v>
      </c>
      <c r="M105" s="212"/>
      <c r="N105" s="212"/>
      <c r="O105" s="215" t="str">
        <f>IFERROR(__xludf.DUMMYFUNCTION("""COMPUTED_VALUE""")," María Gabriela Redolfi ")</f>
        <v>María Gabriela Redolfi</v>
      </c>
      <c r="P105" s="216" t="str">
        <f>IFERROR(__xludf.DUMMYFUNCTION("""COMPUTED_VALUE"""),"Exactas")</f>
        <v>Exactas</v>
      </c>
      <c r="Q105" s="212" t="str">
        <f>IFERROR(__xludf.DUMMYFUNCTION("""COMPUTED_VALUE"""),"Nuevo x baja de profesor")</f>
        <v>Nuevo x baja de profesor</v>
      </c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</row>
    <row r="106">
      <c r="A106" s="214" t="str">
        <f t="shared" si="1"/>
        <v>Facundo Laborde</v>
      </c>
      <c r="B106" s="210">
        <f>IFERROR(__xludf.DUMMYFUNCTION("""COMPUTED_VALUE"""),13.0)</f>
        <v>13</v>
      </c>
      <c r="C106" s="211" t="str">
        <f>IFERROR(__xludf.DUMMYFUNCTION("""COMPUTED_VALUE"""),"2º A")</f>
        <v>2º A</v>
      </c>
      <c r="D106" s="212"/>
      <c r="E106" s="213"/>
      <c r="F106" s="212"/>
      <c r="G106" s="212"/>
      <c r="H106" s="212"/>
      <c r="I106" s="212">
        <f>IFERROR(__xludf.DUMMYFUNCTION("""COMPUTED_VALUE"""),1.0)</f>
        <v>1</v>
      </c>
      <c r="J106" s="212"/>
      <c r="K106" s="212" t="str">
        <f>IFERROR(__xludf.DUMMYFUNCTION("""COMPUTED_VALUE"""),"Música")</f>
        <v>Música</v>
      </c>
      <c r="L106" s="212" t="str">
        <f>IFERROR(__xludf.DUMMYFUNCTION("""COMPUTED_VALUE"""),"Facundo Laborde")</f>
        <v>Facundo Laborde</v>
      </c>
      <c r="M106" s="212"/>
      <c r="N106" s="212"/>
      <c r="O106" s="215" t="str">
        <f>IFERROR(__xludf.DUMMYFUNCTION("""COMPUTED_VALUE""")," Facundo Laborde ")</f>
        <v>Facundo Laborde</v>
      </c>
      <c r="P106" s="216" t="str">
        <f>IFERROR(__xludf.DUMMYFUNCTION("""COMPUTED_VALUE"""),"Expresion")</f>
        <v>Expresion</v>
      </c>
      <c r="Q106" s="212" t="str">
        <f>IFERROR(__xludf.DUMMYFUNCTION("""COMPUTED_VALUE"""),"Mantiene")</f>
        <v>Mantiene</v>
      </c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</row>
    <row r="107">
      <c r="A107" s="214" t="str">
        <f t="shared" si="1"/>
        <v>Facundo Laborde</v>
      </c>
      <c r="B107" s="210">
        <f>IFERROR(__xludf.DUMMYFUNCTION("""COMPUTED_VALUE"""),13.0)</f>
        <v>13</v>
      </c>
      <c r="C107" s="211" t="str">
        <f>IFERROR(__xludf.DUMMYFUNCTION("""COMPUTED_VALUE"""),"2º B")</f>
        <v>2º B</v>
      </c>
      <c r="D107" s="212"/>
      <c r="E107" s="213"/>
      <c r="F107" s="212"/>
      <c r="G107" s="212"/>
      <c r="H107" s="212"/>
      <c r="I107" s="212">
        <f>IFERROR(__xludf.DUMMYFUNCTION("""COMPUTED_VALUE"""),1.0)</f>
        <v>1</v>
      </c>
      <c r="J107" s="212"/>
      <c r="K107" s="212" t="str">
        <f>IFERROR(__xludf.DUMMYFUNCTION("""COMPUTED_VALUE"""),"Música")</f>
        <v>Música</v>
      </c>
      <c r="L107" s="212" t="str">
        <f>IFERROR(__xludf.DUMMYFUNCTION("""COMPUTED_VALUE"""),"Facundo Laborde")</f>
        <v>Facundo Laborde</v>
      </c>
      <c r="M107" s="212"/>
      <c r="N107" s="212"/>
      <c r="O107" s="215" t="str">
        <f>IFERROR(__xludf.DUMMYFUNCTION("""COMPUTED_VALUE""")," Facundo Laborde ")</f>
        <v>Facundo Laborde</v>
      </c>
      <c r="P107" s="216" t="str">
        <f>IFERROR(__xludf.DUMMYFUNCTION("""COMPUTED_VALUE"""),"Expresion")</f>
        <v>Expresion</v>
      </c>
      <c r="Q107" s="212" t="str">
        <f>IFERROR(__xludf.DUMMYFUNCTION("""COMPUTED_VALUE"""),"Mantiene")</f>
        <v>Mantiene</v>
      </c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</row>
    <row r="108">
      <c r="A108" s="214" t="str">
        <f t="shared" si="1"/>
        <v>Aylén Junquet</v>
      </c>
      <c r="B108" s="210">
        <f>IFERROR(__xludf.DUMMYFUNCTION("""COMPUTED_VALUE"""),14.0)</f>
        <v>14</v>
      </c>
      <c r="C108" s="211" t="str">
        <f>IFERROR(__xludf.DUMMYFUNCTION("""COMPUTED_VALUE"""),"2º A")</f>
        <v>2º A</v>
      </c>
      <c r="D108" s="212"/>
      <c r="E108" s="213"/>
      <c r="F108" s="212"/>
      <c r="G108" s="212"/>
      <c r="H108" s="212"/>
      <c r="I108" s="212">
        <f>IFERROR(__xludf.DUMMYFUNCTION("""COMPUTED_VALUE"""),1.0)</f>
        <v>1</v>
      </c>
      <c r="J108" s="212"/>
      <c r="K108" s="212" t="str">
        <f>IFERROR(__xludf.DUMMYFUNCTION("""COMPUTED_VALUE"""),"Orientación")</f>
        <v>Orientación</v>
      </c>
      <c r="L108" s="212" t="str">
        <f>IFERROR(__xludf.DUMMYFUNCTION("""COMPUTED_VALUE"""),"Pilar Azqueta")</f>
        <v>Pilar Azqueta</v>
      </c>
      <c r="M108" s="212"/>
      <c r="N108" s="212"/>
      <c r="O108" s="215" t="str">
        <f>IFERROR(__xludf.DUMMYFUNCTION("""COMPUTED_VALUE""")," Aylén Junquet ")</f>
        <v>Aylén Junquet</v>
      </c>
      <c r="P108" s="216" t="str">
        <f>IFERROR(__xludf.DUMMYFUNCTION("""COMPUTED_VALUE"""),"Orientacion")</f>
        <v>Orientacion</v>
      </c>
      <c r="Q108" s="212" t="str">
        <f>IFERROR(__xludf.DUMMYFUNCTION("""COMPUTED_VALUE"""),"Nuevo x baja de profesor")</f>
        <v>Nuevo x baja de profesor</v>
      </c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</row>
    <row r="109">
      <c r="A109" s="210" t="str">
        <f t="shared" si="1"/>
        <v>Juan Ignacio Cacciamano</v>
      </c>
      <c r="B109" s="210">
        <f>IFERROR(__xludf.DUMMYFUNCTION("""COMPUTED_VALUE"""),14.0)</f>
        <v>14</v>
      </c>
      <c r="C109" s="211" t="str">
        <f>IFERROR(__xludf.DUMMYFUNCTION("""COMPUTED_VALUE"""),"2º B")</f>
        <v>2º B</v>
      </c>
      <c r="D109" s="212"/>
      <c r="E109" s="213"/>
      <c r="F109" s="212"/>
      <c r="G109" s="212"/>
      <c r="H109" s="212"/>
      <c r="I109" s="212">
        <f>IFERROR(__xludf.DUMMYFUNCTION("""COMPUTED_VALUE"""),1.0)</f>
        <v>1</v>
      </c>
      <c r="J109" s="212"/>
      <c r="K109" s="212" t="str">
        <f>IFERROR(__xludf.DUMMYFUNCTION("""COMPUTED_VALUE"""),"Orientación")</f>
        <v>Orientación</v>
      </c>
      <c r="L109" s="212" t="str">
        <f>IFERROR(__xludf.DUMMYFUNCTION("""COMPUTED_VALUE"""),"Nicolás Leonel Mai")</f>
        <v>Nicolás Leonel Mai</v>
      </c>
      <c r="M109" s="212" t="str">
        <f>IFERROR(__xludf.DUMMYFUNCTION("""COMPUTED_VALUE"""),"Nelson Aquino")</f>
        <v>Nelson Aquino</v>
      </c>
      <c r="N109" s="212"/>
      <c r="O109" s="212" t="str">
        <f>IFERROR(__xludf.DUMMYFUNCTION("""COMPUTED_VALUE"""),"Juan Ignacio Cacciamano")</f>
        <v>Juan Ignacio Cacciamano</v>
      </c>
      <c r="P109" s="212" t="str">
        <f>IFERROR(__xludf.DUMMYFUNCTION("""COMPUTED_VALUE"""),"Orientacion")</f>
        <v>Orientacion</v>
      </c>
      <c r="Q109" s="212" t="str">
        <f>IFERROR(__xludf.DUMMYFUNCTION("""COMPUTED_VALUE"""),"Nuevo")</f>
        <v>Nuevo</v>
      </c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</row>
    <row r="110">
      <c r="A110" s="214" t="str">
        <f t="shared" si="1"/>
        <v>Verónica Desivo</v>
      </c>
      <c r="B110" s="210">
        <f>IFERROR(__xludf.DUMMYFUNCTION("""COMPUTED_VALUE"""),15.0)</f>
        <v>15</v>
      </c>
      <c r="C110" s="211" t="str">
        <f>IFERROR(__xludf.DUMMYFUNCTION("""COMPUTED_VALUE"""),"2º A")</f>
        <v>2º A</v>
      </c>
      <c r="D110" s="212"/>
      <c r="E110" s="213"/>
      <c r="F110" s="212"/>
      <c r="G110" s="212" t="str">
        <f>IFERROR(__xludf.DUMMYFUNCTION("""COMPUTED_VALUE"""),"si")</f>
        <v>si</v>
      </c>
      <c r="H110" s="212"/>
      <c r="I110" s="212">
        <f>IFERROR(__xludf.DUMMYFUNCTION("""COMPUTED_VALUE"""),2.0)</f>
        <v>2</v>
      </c>
      <c r="J110" s="212"/>
      <c r="K110" s="212" t="str">
        <f>IFERROR(__xludf.DUMMYFUNCTION("""COMPUTED_VALUE"""),"Physics &amp; Chemistry")</f>
        <v>Physics &amp; Chemistry</v>
      </c>
      <c r="L110" s="212" t="str">
        <f>IFERROR(__xludf.DUMMYFUNCTION("""COMPUTED_VALUE"""),"Sabrina Adriana Ferrino")</f>
        <v>Sabrina Adriana Ferrino</v>
      </c>
      <c r="M110" s="212"/>
      <c r="N110" s="212"/>
      <c r="O110" s="215" t="str">
        <f>IFERROR(__xludf.DUMMYFUNCTION("""COMPUTED_VALUE""")," Verónica Desivo ")</f>
        <v>Verónica Desivo</v>
      </c>
      <c r="P110" s="216" t="str">
        <f>IFERROR(__xludf.DUMMYFUNCTION("""COMPUTED_VALUE"""),"Exactas")</f>
        <v>Exactas</v>
      </c>
      <c r="Q110" s="212" t="str">
        <f>IFERROR(__xludf.DUMMYFUNCTION("""COMPUTED_VALUE"""),"Nuevo x baja de profesor")</f>
        <v>Nuevo x baja de profesor</v>
      </c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</row>
    <row r="111">
      <c r="A111" s="214" t="str">
        <f t="shared" si="1"/>
        <v>Verónica Desivo</v>
      </c>
      <c r="B111" s="210">
        <f>IFERROR(__xludf.DUMMYFUNCTION("""COMPUTED_VALUE"""),15.0)</f>
        <v>15</v>
      </c>
      <c r="C111" s="211" t="str">
        <f>IFERROR(__xludf.DUMMYFUNCTION("""COMPUTED_VALUE"""),"2º B")</f>
        <v>2º B</v>
      </c>
      <c r="D111" s="212"/>
      <c r="E111" s="213"/>
      <c r="F111" s="212"/>
      <c r="G111" s="212" t="str">
        <f>IFERROR(__xludf.DUMMYFUNCTION("""COMPUTED_VALUE"""),"si")</f>
        <v>si</v>
      </c>
      <c r="H111" s="212"/>
      <c r="I111" s="212">
        <f>IFERROR(__xludf.DUMMYFUNCTION("""COMPUTED_VALUE"""),2.0)</f>
        <v>2</v>
      </c>
      <c r="J111" s="212"/>
      <c r="K111" s="212" t="str">
        <f>IFERROR(__xludf.DUMMYFUNCTION("""COMPUTED_VALUE"""),"Physics &amp; Chemistry")</f>
        <v>Physics &amp; Chemistry</v>
      </c>
      <c r="L111" s="212" t="str">
        <f>IFERROR(__xludf.DUMMYFUNCTION("""COMPUTED_VALUE"""),"Pablo Baeck")</f>
        <v>Pablo Baeck</v>
      </c>
      <c r="M111" s="212"/>
      <c r="N111" s="212"/>
      <c r="O111" s="215" t="str">
        <f>IFERROR(__xludf.DUMMYFUNCTION("""COMPUTED_VALUE""")," Verónica Desivo ")</f>
        <v>Verónica Desivo</v>
      </c>
      <c r="P111" s="216" t="str">
        <f>IFERROR(__xludf.DUMMYFUNCTION("""COMPUTED_VALUE"""),"Exactas")</f>
        <v>Exactas</v>
      </c>
      <c r="Q111" s="212" t="str">
        <f>IFERROR(__xludf.DUMMYFUNCTION("""COMPUTED_VALUE"""),"Nuevo x baja de profesor")</f>
        <v>Nuevo x baja de profesor</v>
      </c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</row>
    <row r="112">
      <c r="A112" s="210" t="str">
        <f t="shared" si="1"/>
        <v>Bentes</v>
      </c>
      <c r="B112" s="210">
        <f>IFERROR(__xludf.DUMMYFUNCTION("""COMPUTED_VALUE"""),16.0)</f>
        <v>16</v>
      </c>
      <c r="C112" s="211" t="str">
        <f>IFERROR(__xludf.DUMMYFUNCTION("""COMPUTED_VALUE"""),"2º A")</f>
        <v>2º A</v>
      </c>
      <c r="D112" s="212"/>
      <c r="E112" s="213"/>
      <c r="F112" s="212"/>
      <c r="G112" s="212"/>
      <c r="H112" s="212"/>
      <c r="I112" s="212">
        <f>IFERROR(__xludf.DUMMYFUNCTION("""COMPUTED_VALUE"""),2.0)</f>
        <v>2</v>
      </c>
      <c r="J112" s="212"/>
      <c r="K112" s="212" t="str">
        <f>IFERROR(__xludf.DUMMYFUNCTION("""COMPUTED_VALUE"""),"Portugués")</f>
        <v>Portugués</v>
      </c>
      <c r="L112" s="212" t="str">
        <f>IFERROR(__xludf.DUMMYFUNCTION("""COMPUTED_VALUE"""),"Norma Beatriz Kimmel")</f>
        <v>Norma Beatriz Kimmel</v>
      </c>
      <c r="M112" s="212"/>
      <c r="N112" s="212"/>
      <c r="O112" s="212" t="str">
        <f>IFERROR(__xludf.DUMMYFUNCTION("""COMPUTED_VALUE"""),"Bentes")</f>
        <v>Bentes</v>
      </c>
      <c r="P112" s="212" t="str">
        <f>IFERROR(__xludf.DUMMYFUNCTION("""COMPUTED_VALUE"""),"Expresion")</f>
        <v>Expresion</v>
      </c>
      <c r="Q112" s="212" t="str">
        <f>IFERROR(__xludf.DUMMYFUNCTION("""COMPUTED_VALUE"""),"Nuevo x baja de profesor")</f>
        <v>Nuevo x baja de profesor</v>
      </c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</row>
    <row r="113">
      <c r="A113" s="214" t="str">
        <f t="shared" si="1"/>
        <v>Bentes</v>
      </c>
      <c r="B113" s="210">
        <f>IFERROR(__xludf.DUMMYFUNCTION("""COMPUTED_VALUE"""),16.0)</f>
        <v>16</v>
      </c>
      <c r="C113" s="211" t="str">
        <f>IFERROR(__xludf.DUMMYFUNCTION("""COMPUTED_VALUE"""),"2º B")</f>
        <v>2º B</v>
      </c>
      <c r="D113" s="212"/>
      <c r="E113" s="213"/>
      <c r="F113" s="212"/>
      <c r="G113" s="212"/>
      <c r="H113" s="212"/>
      <c r="I113" s="212">
        <f>IFERROR(__xludf.DUMMYFUNCTION("""COMPUTED_VALUE"""),2.0)</f>
        <v>2</v>
      </c>
      <c r="J113" s="212"/>
      <c r="K113" s="212" t="str">
        <f>IFERROR(__xludf.DUMMYFUNCTION("""COMPUTED_VALUE"""),"Portugués")</f>
        <v>Portugués</v>
      </c>
      <c r="L113" s="212" t="str">
        <f>IFERROR(__xludf.DUMMYFUNCTION("""COMPUTED_VALUE"""),"Norma Beatriz Kimmel")</f>
        <v>Norma Beatriz Kimmel</v>
      </c>
      <c r="M113" s="212"/>
      <c r="N113" s="212"/>
      <c r="O113" s="215" t="str">
        <f>IFERROR(__xludf.DUMMYFUNCTION("""COMPUTED_VALUE""")," Bentes ")</f>
        <v>Bentes</v>
      </c>
      <c r="P113" s="216" t="str">
        <f>IFERROR(__xludf.DUMMYFUNCTION("""COMPUTED_VALUE"""),"Expresion")</f>
        <v>Expresion</v>
      </c>
      <c r="Q113" s="212" t="str">
        <f>IFERROR(__xludf.DUMMYFUNCTION("""COMPUTED_VALUE"""),"Nuevo x baja de profesor")</f>
        <v>Nuevo x baja de profesor</v>
      </c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</row>
    <row r="114">
      <c r="A114" s="210" t="str">
        <f t="shared" si="1"/>
        <v>Soledad Vilar</v>
      </c>
      <c r="B114" s="210">
        <f>IFERROR(__xludf.DUMMYFUNCTION("""COMPUTED_VALUE"""),17.0)</f>
        <v>17</v>
      </c>
      <c r="C114" s="211" t="str">
        <f>IFERROR(__xludf.DUMMYFUNCTION("""COMPUTED_VALUE"""),"2º A")</f>
        <v>2º A</v>
      </c>
      <c r="D114" s="212"/>
      <c r="E114" s="213"/>
      <c r="F114" s="212"/>
      <c r="G114" s="212" t="str">
        <f>IFERROR(__xludf.DUMMYFUNCTION("""COMPUTED_VALUE"""),"si")</f>
        <v>si</v>
      </c>
      <c r="H114" s="212"/>
      <c r="I114" s="212">
        <f>IFERROR(__xludf.DUMMYFUNCTION("""COMPUTED_VALUE"""),4.0)</f>
        <v>4</v>
      </c>
      <c r="J114" s="212"/>
      <c r="K114" s="212" t="str">
        <f>IFERROR(__xludf.DUMMYFUNCTION("""COMPUTED_VALUE"""),"Prácticas del Lenguaje")</f>
        <v>Prácticas del Lenguaje</v>
      </c>
      <c r="L114" s="212" t="str">
        <f>IFERROR(__xludf.DUMMYFUNCTION("""COMPUTED_VALUE"""),"Roberta Ludueña")</f>
        <v>Roberta Ludueña</v>
      </c>
      <c r="M114" s="212"/>
      <c r="N114" s="212"/>
      <c r="O114" s="212" t="str">
        <f>IFERROR(__xludf.DUMMYFUNCTION("""COMPUTED_VALUE"""),"Soledad Vilar")</f>
        <v>Soledad Vilar</v>
      </c>
      <c r="P114" s="212" t="str">
        <f>IFERROR(__xludf.DUMMYFUNCTION("""COMPUTED_VALUE"""),"Expresion")</f>
        <v>Expresion</v>
      </c>
      <c r="Q114" s="212" t="str">
        <f>IFERROR(__xludf.DUMMYFUNCTION("""COMPUTED_VALUE"""),"Nuevo")</f>
        <v>Nuevo</v>
      </c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</row>
    <row r="115">
      <c r="A115" s="214" t="str">
        <f t="shared" si="1"/>
        <v>Soledad Vilar</v>
      </c>
      <c r="B115" s="210">
        <f>IFERROR(__xludf.DUMMYFUNCTION("""COMPUTED_VALUE"""),17.0)</f>
        <v>17</v>
      </c>
      <c r="C115" s="211" t="str">
        <f>IFERROR(__xludf.DUMMYFUNCTION("""COMPUTED_VALUE"""),"2º B")</f>
        <v>2º B</v>
      </c>
      <c r="D115" s="212"/>
      <c r="E115" s="213"/>
      <c r="F115" s="212"/>
      <c r="G115" s="212" t="str">
        <f>IFERROR(__xludf.DUMMYFUNCTION("""COMPUTED_VALUE"""),"si")</f>
        <v>si</v>
      </c>
      <c r="H115" s="212"/>
      <c r="I115" s="212"/>
      <c r="J115" s="212"/>
      <c r="K115" s="212" t="str">
        <f>IFERROR(__xludf.DUMMYFUNCTION("""COMPUTED_VALUE"""),"Prácticas del Lenguaje")</f>
        <v>Prácticas del Lenguaje</v>
      </c>
      <c r="L115" s="212" t="str">
        <f>IFERROR(__xludf.DUMMYFUNCTION("""COMPUTED_VALUE"""),"Soledad Vilar")</f>
        <v>Soledad Vilar</v>
      </c>
      <c r="M115" s="212"/>
      <c r="N115" s="212"/>
      <c r="O115" s="215" t="str">
        <f>IFERROR(__xludf.DUMMYFUNCTION("""COMPUTED_VALUE""")," Soledad Vilar ")</f>
        <v>Soledad Vilar</v>
      </c>
      <c r="P115" s="216" t="str">
        <f>IFERROR(__xludf.DUMMYFUNCTION("""COMPUTED_VALUE"""),"Expresion")</f>
        <v>Expresion</v>
      </c>
      <c r="Q115" s="212" t="str">
        <f>IFERROR(__xludf.DUMMYFUNCTION("""COMPUTED_VALUE"""),"Mantiene")</f>
        <v>Mantiene</v>
      </c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</row>
    <row r="116">
      <c r="A116" s="210" t="str">
        <f t="shared" si="1"/>
        <v/>
      </c>
      <c r="B116" s="210">
        <f>IFERROR(__xludf.DUMMYFUNCTION("""COMPUTED_VALUE"""),18.0)</f>
        <v>18</v>
      </c>
      <c r="C116" s="211" t="str">
        <f>IFERROR(__xludf.DUMMYFUNCTION("""COMPUTED_VALUE"""),"2º A")</f>
        <v>2º A</v>
      </c>
      <c r="D116" s="212"/>
      <c r="E116" s="213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 t="str">
        <f>IFERROR(__xludf.DUMMYFUNCTION("""COMPUTED_VALUE"""),"")</f>
        <v/>
      </c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</row>
    <row r="117">
      <c r="A117" s="210" t="str">
        <f t="shared" si="1"/>
        <v/>
      </c>
      <c r="B117" s="210">
        <f>IFERROR(__xludf.DUMMYFUNCTION("""COMPUTED_VALUE"""),18.0)</f>
        <v>18</v>
      </c>
      <c r="C117" s="211" t="str">
        <f>IFERROR(__xludf.DUMMYFUNCTION("""COMPUTED_VALUE"""),"2º B")</f>
        <v>2º B</v>
      </c>
      <c r="D117" s="212"/>
      <c r="E117" s="213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 t="str">
        <f>IFERROR(__xludf.DUMMYFUNCTION("""COMPUTED_VALUE"""),"")</f>
        <v/>
      </c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</row>
    <row r="118">
      <c r="A118" s="214" t="str">
        <f t="shared" si="1"/>
        <v/>
      </c>
      <c r="B118" s="210">
        <f>IFERROR(__xludf.DUMMYFUNCTION("""COMPUTED_VALUE"""),19.0)</f>
        <v>19</v>
      </c>
      <c r="C118" s="211" t="str">
        <f>IFERROR(__xludf.DUMMYFUNCTION("""COMPUTED_VALUE"""),"2º A")</f>
        <v>2º A</v>
      </c>
      <c r="D118" s="212"/>
      <c r="E118" s="213"/>
      <c r="F118" s="212"/>
      <c r="G118" s="212"/>
      <c r="H118" s="212"/>
      <c r="I118" s="212"/>
      <c r="J118" s="212"/>
      <c r="K118" s="212"/>
      <c r="L118" s="212"/>
      <c r="M118" s="212"/>
      <c r="N118" s="212"/>
      <c r="O118" s="215"/>
      <c r="P118" s="216"/>
      <c r="Q118" s="212" t="str">
        <f>IFERROR(__xludf.DUMMYFUNCTION("""COMPUTED_VALUE"""),"")</f>
        <v/>
      </c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</row>
    <row r="119">
      <c r="A119" s="214" t="str">
        <f t="shared" si="1"/>
        <v/>
      </c>
      <c r="B119" s="210">
        <f>IFERROR(__xludf.DUMMYFUNCTION("""COMPUTED_VALUE"""),19.0)</f>
        <v>19</v>
      </c>
      <c r="C119" s="211" t="str">
        <f>IFERROR(__xludf.DUMMYFUNCTION("""COMPUTED_VALUE"""),"2º B")</f>
        <v>2º B</v>
      </c>
      <c r="D119" s="212"/>
      <c r="E119" s="213"/>
      <c r="F119" s="212"/>
      <c r="G119" s="212"/>
      <c r="H119" s="212"/>
      <c r="I119" s="212"/>
      <c r="J119" s="212"/>
      <c r="K119" s="212"/>
      <c r="L119" s="212"/>
      <c r="M119" s="212"/>
      <c r="N119" s="212"/>
      <c r="O119" s="215"/>
      <c r="P119" s="216"/>
      <c r="Q119" s="212" t="str">
        <f>IFERROR(__xludf.DUMMYFUNCTION("""COMPUTED_VALUE"""),"")</f>
        <v/>
      </c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</row>
    <row r="120">
      <c r="A120" s="214" t="str">
        <f t="shared" si="1"/>
        <v/>
      </c>
      <c r="B120" s="210">
        <f>IFERROR(__xludf.DUMMYFUNCTION("""COMPUTED_VALUE"""),20.0)</f>
        <v>20</v>
      </c>
      <c r="C120" s="211" t="str">
        <f>IFERROR(__xludf.DUMMYFUNCTION("""COMPUTED_VALUE"""),"2º A")</f>
        <v>2º A</v>
      </c>
      <c r="D120" s="212"/>
      <c r="E120" s="213"/>
      <c r="F120" s="212"/>
      <c r="G120" s="212"/>
      <c r="H120" s="212"/>
      <c r="I120" s="212"/>
      <c r="J120" s="212"/>
      <c r="K120" s="212"/>
      <c r="L120" s="212"/>
      <c r="M120" s="212"/>
      <c r="N120" s="212"/>
      <c r="O120" s="215"/>
      <c r="P120" s="216"/>
      <c r="Q120" s="212" t="str">
        <f>IFERROR(__xludf.DUMMYFUNCTION("""COMPUTED_VALUE"""),"")</f>
        <v/>
      </c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</row>
    <row r="121">
      <c r="A121" s="210" t="str">
        <f t="shared" si="1"/>
        <v/>
      </c>
      <c r="B121" s="210">
        <f>IFERROR(__xludf.DUMMYFUNCTION("""COMPUTED_VALUE"""),20.0)</f>
        <v>20</v>
      </c>
      <c r="C121" s="211" t="str">
        <f>IFERROR(__xludf.DUMMYFUNCTION("""COMPUTED_VALUE"""),"2º B")</f>
        <v>2º B</v>
      </c>
      <c r="D121" s="212"/>
      <c r="E121" s="213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 t="str">
        <f>IFERROR(__xludf.DUMMYFUNCTION("""COMPUTED_VALUE"""),"")</f>
        <v/>
      </c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</row>
    <row r="122">
      <c r="A122" s="210" t="str">
        <f t="shared" si="1"/>
        <v/>
      </c>
      <c r="B122" s="210">
        <f>IFERROR(__xludf.DUMMYFUNCTION("""COMPUTED_VALUE"""),21.0)</f>
        <v>21</v>
      </c>
      <c r="C122" s="211" t="str">
        <f>IFERROR(__xludf.DUMMYFUNCTION("""COMPUTED_VALUE"""),"2º A")</f>
        <v>2º A</v>
      </c>
      <c r="D122" s="212"/>
      <c r="E122" s="213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 t="str">
        <f>IFERROR(__xludf.DUMMYFUNCTION("""COMPUTED_VALUE"""),"")</f>
        <v/>
      </c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</row>
    <row r="123">
      <c r="A123" s="214" t="str">
        <f t="shared" si="1"/>
        <v/>
      </c>
      <c r="B123" s="210">
        <f>IFERROR(__xludf.DUMMYFUNCTION("""COMPUTED_VALUE"""),21.0)</f>
        <v>21</v>
      </c>
      <c r="C123" s="211" t="str">
        <f>IFERROR(__xludf.DUMMYFUNCTION("""COMPUTED_VALUE"""),"2º B")</f>
        <v>2º B</v>
      </c>
      <c r="D123" s="212"/>
      <c r="E123" s="213"/>
      <c r="F123" s="212"/>
      <c r="G123" s="212"/>
      <c r="H123" s="212"/>
      <c r="I123" s="212"/>
      <c r="J123" s="212"/>
      <c r="K123" s="212"/>
      <c r="L123" s="212"/>
      <c r="M123" s="212"/>
      <c r="N123" s="212"/>
      <c r="O123" s="215"/>
      <c r="P123" s="216"/>
      <c r="Q123" s="212" t="str">
        <f>IFERROR(__xludf.DUMMYFUNCTION("""COMPUTED_VALUE"""),"")</f>
        <v/>
      </c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</row>
    <row r="124">
      <c r="A124" s="210" t="str">
        <f t="shared" si="1"/>
        <v/>
      </c>
      <c r="B124" s="210">
        <f>IFERROR(__xludf.DUMMYFUNCTION("""COMPUTED_VALUE"""),22.0)</f>
        <v>22</v>
      </c>
      <c r="C124" s="211" t="str">
        <f>IFERROR(__xludf.DUMMYFUNCTION("""COMPUTED_VALUE"""),"2º A")</f>
        <v>2º A</v>
      </c>
      <c r="D124" s="212"/>
      <c r="E124" s="213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 t="str">
        <f>IFERROR(__xludf.DUMMYFUNCTION("""COMPUTED_VALUE"""),"")</f>
        <v/>
      </c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</row>
    <row r="125">
      <c r="A125" s="210" t="str">
        <f t="shared" si="1"/>
        <v/>
      </c>
      <c r="B125" s="210">
        <f>IFERROR(__xludf.DUMMYFUNCTION("""COMPUTED_VALUE"""),22.0)</f>
        <v>22</v>
      </c>
      <c r="C125" s="211" t="str">
        <f>IFERROR(__xludf.DUMMYFUNCTION("""COMPUTED_VALUE"""),"2º B")</f>
        <v>2º B</v>
      </c>
      <c r="D125" s="212"/>
      <c r="E125" s="213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 t="str">
        <f>IFERROR(__xludf.DUMMYFUNCTION("""COMPUTED_VALUE"""),"")</f>
        <v/>
      </c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</row>
    <row r="126">
      <c r="A126" s="214" t="str">
        <f t="shared" si="1"/>
        <v/>
      </c>
      <c r="B126" s="210">
        <f>IFERROR(__xludf.DUMMYFUNCTION("""COMPUTED_VALUE"""),23.0)</f>
        <v>23</v>
      </c>
      <c r="C126" s="211" t="str">
        <f>IFERROR(__xludf.DUMMYFUNCTION("""COMPUTED_VALUE"""),"2º A")</f>
        <v>2º A</v>
      </c>
      <c r="D126" s="212"/>
      <c r="E126" s="213"/>
      <c r="F126" s="212"/>
      <c r="G126" s="212"/>
      <c r="H126" s="212"/>
      <c r="I126" s="212"/>
      <c r="J126" s="212"/>
      <c r="K126" s="212"/>
      <c r="L126" s="212"/>
      <c r="M126" s="212"/>
      <c r="N126" s="212"/>
      <c r="O126" s="215"/>
      <c r="P126" s="216"/>
      <c r="Q126" s="212" t="str">
        <f>IFERROR(__xludf.DUMMYFUNCTION("""COMPUTED_VALUE"""),"")</f>
        <v/>
      </c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</row>
    <row r="127">
      <c r="A127" s="210" t="str">
        <f t="shared" si="1"/>
        <v/>
      </c>
      <c r="B127" s="210">
        <f>IFERROR(__xludf.DUMMYFUNCTION("""COMPUTED_VALUE"""),23.0)</f>
        <v>23</v>
      </c>
      <c r="C127" s="211" t="str">
        <f>IFERROR(__xludf.DUMMYFUNCTION("""COMPUTED_VALUE"""),"2º B")</f>
        <v>2º B</v>
      </c>
      <c r="D127" s="212"/>
      <c r="E127" s="213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 t="str">
        <f>IFERROR(__xludf.DUMMYFUNCTION("""COMPUTED_VALUE"""),"")</f>
        <v/>
      </c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</row>
    <row r="128">
      <c r="A128" s="214" t="str">
        <f t="shared" si="1"/>
        <v/>
      </c>
      <c r="B128" s="210">
        <f>IFERROR(__xludf.DUMMYFUNCTION("""COMPUTED_VALUE"""),24.0)</f>
        <v>24</v>
      </c>
      <c r="C128" s="211" t="str">
        <f>IFERROR(__xludf.DUMMYFUNCTION("""COMPUTED_VALUE"""),"2º A")</f>
        <v>2º A</v>
      </c>
      <c r="D128" s="212"/>
      <c r="E128" s="213"/>
      <c r="F128" s="212"/>
      <c r="G128" s="212"/>
      <c r="H128" s="212"/>
      <c r="I128" s="212"/>
      <c r="J128" s="212"/>
      <c r="K128" s="212"/>
      <c r="L128" s="212"/>
      <c r="M128" s="212"/>
      <c r="N128" s="212"/>
      <c r="O128" s="215"/>
      <c r="P128" s="216"/>
      <c r="Q128" s="212" t="str">
        <f>IFERROR(__xludf.DUMMYFUNCTION("""COMPUTED_VALUE"""),"")</f>
        <v/>
      </c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</row>
    <row r="129">
      <c r="A129" s="210" t="str">
        <f t="shared" si="1"/>
        <v/>
      </c>
      <c r="B129" s="210">
        <f>IFERROR(__xludf.DUMMYFUNCTION("""COMPUTED_VALUE"""),24.0)</f>
        <v>24</v>
      </c>
      <c r="C129" s="211" t="str">
        <f>IFERROR(__xludf.DUMMYFUNCTION("""COMPUTED_VALUE"""),"2º B")</f>
        <v>2º B</v>
      </c>
      <c r="D129" s="212"/>
      <c r="E129" s="213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 t="str">
        <f>IFERROR(__xludf.DUMMYFUNCTION("""COMPUTED_VALUE"""),"")</f>
        <v/>
      </c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</row>
    <row r="130">
      <c r="A130" s="210" t="str">
        <f t="shared" si="1"/>
        <v/>
      </c>
      <c r="B130" s="210">
        <f>IFERROR(__xludf.DUMMYFUNCTION("""COMPUTED_VALUE"""),25.0)</f>
        <v>25</v>
      </c>
      <c r="C130" s="211" t="str">
        <f>IFERROR(__xludf.DUMMYFUNCTION("""COMPUTED_VALUE"""),"2º A")</f>
        <v>2º A</v>
      </c>
      <c r="D130" s="212"/>
      <c r="E130" s="213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 t="str">
        <f>IFERROR(__xludf.DUMMYFUNCTION("""COMPUTED_VALUE"""),"")</f>
        <v/>
      </c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</row>
    <row r="131">
      <c r="A131" s="214" t="str">
        <f t="shared" si="1"/>
        <v/>
      </c>
      <c r="B131" s="210">
        <f>IFERROR(__xludf.DUMMYFUNCTION("""COMPUTED_VALUE"""),25.0)</f>
        <v>25</v>
      </c>
      <c r="C131" s="211" t="str">
        <f>IFERROR(__xludf.DUMMYFUNCTION("""COMPUTED_VALUE"""),"2º B")</f>
        <v>2º B</v>
      </c>
      <c r="D131" s="212"/>
      <c r="E131" s="213"/>
      <c r="F131" s="212"/>
      <c r="G131" s="212"/>
      <c r="H131" s="212"/>
      <c r="I131" s="212"/>
      <c r="J131" s="212"/>
      <c r="K131" s="212"/>
      <c r="L131" s="212"/>
      <c r="M131" s="212"/>
      <c r="N131" s="212"/>
      <c r="O131" s="215"/>
      <c r="P131" s="216"/>
      <c r="Q131" s="212" t="str">
        <f>IFERROR(__xludf.DUMMYFUNCTION("""COMPUTED_VALUE"""),"")</f>
        <v/>
      </c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</row>
    <row r="132">
      <c r="A132" s="210" t="str">
        <f t="shared" si="1"/>
        <v/>
      </c>
      <c r="B132" s="210">
        <f>IFERROR(__xludf.DUMMYFUNCTION("""COMPUTED_VALUE"""),26.0)</f>
        <v>26</v>
      </c>
      <c r="C132" s="211" t="str">
        <f>IFERROR(__xludf.DUMMYFUNCTION("""COMPUTED_VALUE"""),"2º A")</f>
        <v>2º A</v>
      </c>
      <c r="D132" s="212"/>
      <c r="E132" s="213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 t="str">
        <f>IFERROR(__xludf.DUMMYFUNCTION("""COMPUTED_VALUE"""),"")</f>
        <v/>
      </c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</row>
    <row r="133">
      <c r="A133" s="210" t="str">
        <f t="shared" si="1"/>
        <v/>
      </c>
      <c r="B133" s="210">
        <f>IFERROR(__xludf.DUMMYFUNCTION("""COMPUTED_VALUE"""),26.0)</f>
        <v>26</v>
      </c>
      <c r="C133" s="211" t="str">
        <f>IFERROR(__xludf.DUMMYFUNCTION("""COMPUTED_VALUE"""),"2º B")</f>
        <v>2º B</v>
      </c>
      <c r="D133" s="212"/>
      <c r="E133" s="213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 t="str">
        <f>IFERROR(__xludf.DUMMYFUNCTION("""COMPUTED_VALUE"""),"")</f>
        <v/>
      </c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</row>
    <row r="134">
      <c r="A134" s="210" t="str">
        <f t="shared" si="1"/>
        <v/>
      </c>
      <c r="B134" s="210">
        <f>IFERROR(__xludf.DUMMYFUNCTION("""COMPUTED_VALUE"""),27.0)</f>
        <v>27</v>
      </c>
      <c r="C134" s="211" t="str">
        <f>IFERROR(__xludf.DUMMYFUNCTION("""COMPUTED_VALUE"""),"2º A")</f>
        <v>2º A</v>
      </c>
      <c r="D134" s="212"/>
      <c r="E134" s="213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6"/>
      <c r="Q134" s="212" t="str">
        <f>IFERROR(__xludf.DUMMYFUNCTION("""COMPUTED_VALUE"""),"")</f>
        <v/>
      </c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</row>
    <row r="135">
      <c r="A135" s="214" t="str">
        <f t="shared" si="1"/>
        <v/>
      </c>
      <c r="B135" s="210">
        <f>IFERROR(__xludf.DUMMYFUNCTION("""COMPUTED_VALUE"""),27.0)</f>
        <v>27</v>
      </c>
      <c r="C135" s="211" t="str">
        <f>IFERROR(__xludf.DUMMYFUNCTION("""COMPUTED_VALUE"""),"2º B")</f>
        <v>2º B</v>
      </c>
      <c r="D135" s="212"/>
      <c r="E135" s="213"/>
      <c r="F135" s="212"/>
      <c r="G135" s="212"/>
      <c r="H135" s="212"/>
      <c r="I135" s="212"/>
      <c r="J135" s="212"/>
      <c r="K135" s="212"/>
      <c r="L135" s="212"/>
      <c r="M135" s="212"/>
      <c r="N135" s="212"/>
      <c r="O135" s="215"/>
      <c r="P135" s="216"/>
      <c r="Q135" s="212" t="str">
        <f>IFERROR(__xludf.DUMMYFUNCTION("""COMPUTED_VALUE"""),"")</f>
        <v/>
      </c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</row>
    <row r="136">
      <c r="A136" s="214" t="str">
        <f t="shared" si="1"/>
        <v/>
      </c>
      <c r="B136" s="210">
        <f>IFERROR(__xludf.DUMMYFUNCTION("""COMPUTED_VALUE"""),28.0)</f>
        <v>28</v>
      </c>
      <c r="C136" s="211" t="str">
        <f>IFERROR(__xludf.DUMMYFUNCTION("""COMPUTED_VALUE"""),"2º A")</f>
        <v>2º A</v>
      </c>
      <c r="D136" s="212"/>
      <c r="E136" s="213"/>
      <c r="F136" s="212"/>
      <c r="G136" s="212"/>
      <c r="H136" s="212"/>
      <c r="I136" s="212"/>
      <c r="J136" s="212"/>
      <c r="K136" s="212"/>
      <c r="L136" s="212"/>
      <c r="M136" s="212"/>
      <c r="N136" s="212"/>
      <c r="O136" s="215"/>
      <c r="P136" s="216"/>
      <c r="Q136" s="212" t="str">
        <f>IFERROR(__xludf.DUMMYFUNCTION("""COMPUTED_VALUE"""),"")</f>
        <v/>
      </c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</row>
    <row r="137">
      <c r="A137" s="214" t="str">
        <f t="shared" si="1"/>
        <v/>
      </c>
      <c r="B137" s="210">
        <f>IFERROR(__xludf.DUMMYFUNCTION("""COMPUTED_VALUE"""),28.0)</f>
        <v>28</v>
      </c>
      <c r="C137" s="211" t="str">
        <f>IFERROR(__xludf.DUMMYFUNCTION("""COMPUTED_VALUE"""),"2º B")</f>
        <v>2º B</v>
      </c>
      <c r="D137" s="212"/>
      <c r="E137" s="213"/>
      <c r="F137" s="212"/>
      <c r="G137" s="212"/>
      <c r="H137" s="212"/>
      <c r="I137" s="212"/>
      <c r="J137" s="212"/>
      <c r="K137" s="212"/>
      <c r="L137" s="212"/>
      <c r="M137" s="212"/>
      <c r="N137" s="212"/>
      <c r="O137" s="215"/>
      <c r="P137" s="216"/>
      <c r="Q137" s="212" t="str">
        <f>IFERROR(__xludf.DUMMYFUNCTION("""COMPUTED_VALUE"""),"")</f>
        <v/>
      </c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</row>
    <row r="138">
      <c r="A138" s="214" t="str">
        <f t="shared" si="1"/>
        <v/>
      </c>
      <c r="B138" s="210">
        <f>IFERROR(__xludf.DUMMYFUNCTION("""COMPUTED_VALUE"""),29.0)</f>
        <v>29</v>
      </c>
      <c r="C138" s="211" t="str">
        <f>IFERROR(__xludf.DUMMYFUNCTION("""COMPUTED_VALUE"""),"2º A")</f>
        <v>2º A</v>
      </c>
      <c r="D138" s="212"/>
      <c r="E138" s="213"/>
      <c r="F138" s="212"/>
      <c r="G138" s="212"/>
      <c r="H138" s="212"/>
      <c r="I138" s="212"/>
      <c r="J138" s="212"/>
      <c r="K138" s="212"/>
      <c r="L138" s="212"/>
      <c r="M138" s="212"/>
      <c r="N138" s="212"/>
      <c r="O138" s="215"/>
      <c r="P138" s="216"/>
      <c r="Q138" s="212" t="str">
        <f>IFERROR(__xludf.DUMMYFUNCTION("""COMPUTED_VALUE"""),"")</f>
        <v/>
      </c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</row>
    <row r="139">
      <c r="A139" s="214" t="str">
        <f t="shared" si="1"/>
        <v/>
      </c>
      <c r="B139" s="210">
        <f>IFERROR(__xludf.DUMMYFUNCTION("""COMPUTED_VALUE"""),29.0)</f>
        <v>29</v>
      </c>
      <c r="C139" s="211" t="str">
        <f>IFERROR(__xludf.DUMMYFUNCTION("""COMPUTED_VALUE"""),"2º B")</f>
        <v>2º B</v>
      </c>
      <c r="D139" s="212"/>
      <c r="E139" s="213"/>
      <c r="F139" s="212"/>
      <c r="G139" s="212"/>
      <c r="H139" s="212"/>
      <c r="I139" s="212"/>
      <c r="J139" s="212"/>
      <c r="K139" s="212"/>
      <c r="L139" s="212"/>
      <c r="M139" s="212"/>
      <c r="N139" s="212"/>
      <c r="O139" s="215"/>
      <c r="P139" s="216"/>
      <c r="Q139" s="212" t="str">
        <f>IFERROR(__xludf.DUMMYFUNCTION("""COMPUTED_VALUE"""),"")</f>
        <v/>
      </c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</row>
    <row r="140">
      <c r="A140" s="214" t="str">
        <f t="shared" si="1"/>
        <v/>
      </c>
      <c r="B140" s="210">
        <f>IFERROR(__xludf.DUMMYFUNCTION("""COMPUTED_VALUE"""),30.0)</f>
        <v>30</v>
      </c>
      <c r="C140" s="211" t="str">
        <f>IFERROR(__xludf.DUMMYFUNCTION("""COMPUTED_VALUE"""),"2º A")</f>
        <v>2º A</v>
      </c>
      <c r="D140" s="212"/>
      <c r="E140" s="213"/>
      <c r="F140" s="212"/>
      <c r="G140" s="212"/>
      <c r="H140" s="212"/>
      <c r="I140" s="212"/>
      <c r="J140" s="212"/>
      <c r="K140" s="212"/>
      <c r="L140" s="212"/>
      <c r="M140" s="212"/>
      <c r="N140" s="212"/>
      <c r="O140" s="215"/>
      <c r="P140" s="216"/>
      <c r="Q140" s="212" t="str">
        <f>IFERROR(__xludf.DUMMYFUNCTION("""COMPUTED_VALUE"""),"")</f>
        <v/>
      </c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</row>
    <row r="141">
      <c r="A141" s="214" t="str">
        <f t="shared" si="1"/>
        <v/>
      </c>
      <c r="B141" s="210">
        <f>IFERROR(__xludf.DUMMYFUNCTION("""COMPUTED_VALUE"""),30.0)</f>
        <v>30</v>
      </c>
      <c r="C141" s="211" t="str">
        <f>IFERROR(__xludf.DUMMYFUNCTION("""COMPUTED_VALUE"""),"2º B")</f>
        <v>2º B</v>
      </c>
      <c r="D141" s="212"/>
      <c r="E141" s="213"/>
      <c r="F141" s="212"/>
      <c r="G141" s="212"/>
      <c r="H141" s="212"/>
      <c r="I141" s="212"/>
      <c r="J141" s="212"/>
      <c r="K141" s="212"/>
      <c r="L141" s="212"/>
      <c r="M141" s="212"/>
      <c r="N141" s="212"/>
      <c r="O141" s="215"/>
      <c r="P141" s="216"/>
      <c r="Q141" s="212" t="str">
        <f>IFERROR(__xludf.DUMMYFUNCTION("""COMPUTED_VALUE"""),"")</f>
        <v/>
      </c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</row>
    <row r="142">
      <c r="A142" s="214" t="str">
        <f t="shared" si="1"/>
        <v/>
      </c>
      <c r="B142" s="210">
        <f>IFERROR(__xludf.DUMMYFUNCTION("""COMPUTED_VALUE"""),31.0)</f>
        <v>31</v>
      </c>
      <c r="C142" s="211" t="str">
        <f>IFERROR(__xludf.DUMMYFUNCTION("""COMPUTED_VALUE"""),"2º A")</f>
        <v>2º A</v>
      </c>
      <c r="D142" s="212"/>
      <c r="E142" s="213"/>
      <c r="F142" s="212"/>
      <c r="G142" s="212"/>
      <c r="H142" s="212"/>
      <c r="I142" s="212"/>
      <c r="J142" s="212"/>
      <c r="K142" s="212"/>
      <c r="L142" s="212"/>
      <c r="M142" s="212"/>
      <c r="N142" s="212"/>
      <c r="O142" s="215"/>
      <c r="P142" s="216"/>
      <c r="Q142" s="212" t="str">
        <f>IFERROR(__xludf.DUMMYFUNCTION("""COMPUTED_VALUE"""),"")</f>
        <v/>
      </c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</row>
    <row r="143">
      <c r="A143" s="214" t="str">
        <f t="shared" si="1"/>
        <v/>
      </c>
      <c r="B143" s="210">
        <f>IFERROR(__xludf.DUMMYFUNCTION("""COMPUTED_VALUE"""),31.0)</f>
        <v>31</v>
      </c>
      <c r="C143" s="211" t="str">
        <f>IFERROR(__xludf.DUMMYFUNCTION("""COMPUTED_VALUE"""),"2º B")</f>
        <v>2º B</v>
      </c>
      <c r="D143" s="212"/>
      <c r="E143" s="213"/>
      <c r="F143" s="212"/>
      <c r="G143" s="212"/>
      <c r="H143" s="212"/>
      <c r="I143" s="212"/>
      <c r="J143" s="212"/>
      <c r="K143" s="212"/>
      <c r="L143" s="212"/>
      <c r="M143" s="212"/>
      <c r="N143" s="212"/>
      <c r="O143" s="215"/>
      <c r="P143" s="216"/>
      <c r="Q143" s="212" t="str">
        <f>IFERROR(__xludf.DUMMYFUNCTION("""COMPUTED_VALUE"""),"")</f>
        <v/>
      </c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</row>
    <row r="144">
      <c r="A144" s="214" t="str">
        <f t="shared" si="1"/>
        <v/>
      </c>
      <c r="B144" s="210">
        <f>IFERROR(__xludf.DUMMYFUNCTION("""COMPUTED_VALUE"""),32.0)</f>
        <v>32</v>
      </c>
      <c r="C144" s="211" t="str">
        <f>IFERROR(__xludf.DUMMYFUNCTION("""COMPUTED_VALUE"""),"2º A")</f>
        <v>2º A</v>
      </c>
      <c r="D144" s="212"/>
      <c r="E144" s="213"/>
      <c r="F144" s="212"/>
      <c r="G144" s="212"/>
      <c r="H144" s="212"/>
      <c r="I144" s="212"/>
      <c r="J144" s="212"/>
      <c r="K144" s="212"/>
      <c r="L144" s="212"/>
      <c r="M144" s="212"/>
      <c r="N144" s="212"/>
      <c r="O144" s="215"/>
      <c r="P144" s="216"/>
      <c r="Q144" s="212" t="str">
        <f>IFERROR(__xludf.DUMMYFUNCTION("""COMPUTED_VALUE"""),"")</f>
        <v/>
      </c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</row>
    <row r="145">
      <c r="A145" s="210" t="str">
        <f t="shared" si="1"/>
        <v/>
      </c>
      <c r="B145" s="210">
        <f>IFERROR(__xludf.DUMMYFUNCTION("""COMPUTED_VALUE"""),32.0)</f>
        <v>32</v>
      </c>
      <c r="C145" s="211" t="str">
        <f>IFERROR(__xludf.DUMMYFUNCTION("""COMPUTED_VALUE"""),"2º B")</f>
        <v>2º B</v>
      </c>
      <c r="D145" s="212"/>
      <c r="E145" s="213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 t="str">
        <f>IFERROR(__xludf.DUMMYFUNCTION("""COMPUTED_VALUE"""),"")</f>
        <v/>
      </c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</row>
    <row r="146">
      <c r="A146" s="214" t="str">
        <f t="shared" si="1"/>
        <v/>
      </c>
      <c r="B146" s="210">
        <f>IFERROR(__xludf.DUMMYFUNCTION("""COMPUTED_VALUE"""),33.0)</f>
        <v>33</v>
      </c>
      <c r="C146" s="211" t="str">
        <f>IFERROR(__xludf.DUMMYFUNCTION("""COMPUTED_VALUE"""),"2º A")</f>
        <v>2º A</v>
      </c>
      <c r="D146" s="212"/>
      <c r="E146" s="213"/>
      <c r="F146" s="212"/>
      <c r="G146" s="212"/>
      <c r="H146" s="212"/>
      <c r="I146" s="212"/>
      <c r="J146" s="212"/>
      <c r="K146" s="212"/>
      <c r="L146" s="212"/>
      <c r="M146" s="212"/>
      <c r="N146" s="212"/>
      <c r="O146" s="215"/>
      <c r="P146" s="216"/>
      <c r="Q146" s="212" t="str">
        <f>IFERROR(__xludf.DUMMYFUNCTION("""COMPUTED_VALUE"""),"")</f>
        <v/>
      </c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</row>
    <row r="147">
      <c r="A147" s="210" t="str">
        <f t="shared" si="1"/>
        <v/>
      </c>
      <c r="B147" s="210">
        <f>IFERROR(__xludf.DUMMYFUNCTION("""COMPUTED_VALUE"""),33.0)</f>
        <v>33</v>
      </c>
      <c r="C147" s="211" t="str">
        <f>IFERROR(__xludf.DUMMYFUNCTION("""COMPUTED_VALUE"""),"2º B")</f>
        <v>2º B</v>
      </c>
      <c r="D147" s="212"/>
      <c r="E147" s="213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 t="str">
        <f>IFERROR(__xludf.DUMMYFUNCTION("""COMPUTED_VALUE"""),"")</f>
        <v/>
      </c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</row>
    <row r="148">
      <c r="A148" s="214" t="str">
        <f t="shared" si="1"/>
        <v/>
      </c>
      <c r="B148" s="210">
        <f>IFERROR(__xludf.DUMMYFUNCTION("""COMPUTED_VALUE"""),34.0)</f>
        <v>34</v>
      </c>
      <c r="C148" s="211" t="str">
        <f>IFERROR(__xludf.DUMMYFUNCTION("""COMPUTED_VALUE"""),"2º A")</f>
        <v>2º A</v>
      </c>
      <c r="D148" s="212"/>
      <c r="E148" s="213"/>
      <c r="F148" s="212"/>
      <c r="G148" s="212"/>
      <c r="H148" s="212"/>
      <c r="I148" s="212"/>
      <c r="J148" s="212"/>
      <c r="K148" s="212"/>
      <c r="L148" s="212"/>
      <c r="M148" s="212"/>
      <c r="N148" s="212"/>
      <c r="O148" s="215"/>
      <c r="P148" s="216"/>
      <c r="Q148" s="212" t="str">
        <f>IFERROR(__xludf.DUMMYFUNCTION("""COMPUTED_VALUE"""),"")</f>
        <v/>
      </c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</row>
    <row r="149">
      <c r="A149" s="214" t="str">
        <f t="shared" si="1"/>
        <v/>
      </c>
      <c r="B149" s="210">
        <f>IFERROR(__xludf.DUMMYFUNCTION("""COMPUTED_VALUE"""),34.0)</f>
        <v>34</v>
      </c>
      <c r="C149" s="211" t="str">
        <f>IFERROR(__xludf.DUMMYFUNCTION("""COMPUTED_VALUE"""),"2º B")</f>
        <v>2º B</v>
      </c>
      <c r="D149" s="212"/>
      <c r="E149" s="213"/>
      <c r="F149" s="212"/>
      <c r="G149" s="212"/>
      <c r="H149" s="212"/>
      <c r="I149" s="212"/>
      <c r="J149" s="212"/>
      <c r="K149" s="212"/>
      <c r="L149" s="212"/>
      <c r="M149" s="212"/>
      <c r="N149" s="212"/>
      <c r="O149" s="215"/>
      <c r="P149" s="216"/>
      <c r="Q149" s="212" t="str">
        <f>IFERROR(__xludf.DUMMYFUNCTION("""COMPUTED_VALUE"""),"")</f>
        <v/>
      </c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</row>
    <row r="150">
      <c r="A150" s="210" t="str">
        <f t="shared" si="1"/>
        <v/>
      </c>
      <c r="B150" s="210">
        <f>IFERROR(__xludf.DUMMYFUNCTION("""COMPUTED_VALUE"""),35.0)</f>
        <v>35</v>
      </c>
      <c r="C150" s="211" t="str">
        <f>IFERROR(__xludf.DUMMYFUNCTION("""COMPUTED_VALUE"""),"2º A")</f>
        <v>2º A</v>
      </c>
      <c r="D150" s="212"/>
      <c r="E150" s="213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 t="str">
        <f>IFERROR(__xludf.DUMMYFUNCTION("""COMPUTED_VALUE"""),"")</f>
        <v/>
      </c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</row>
    <row r="151">
      <c r="A151" s="214" t="str">
        <f t="shared" si="1"/>
        <v/>
      </c>
      <c r="B151" s="210">
        <f>IFERROR(__xludf.DUMMYFUNCTION("""COMPUTED_VALUE"""),35.0)</f>
        <v>35</v>
      </c>
      <c r="C151" s="211" t="str">
        <f>IFERROR(__xludf.DUMMYFUNCTION("""COMPUTED_VALUE"""),"2º B")</f>
        <v>2º B</v>
      </c>
      <c r="D151" s="212"/>
      <c r="E151" s="213"/>
      <c r="F151" s="212"/>
      <c r="G151" s="212"/>
      <c r="H151" s="212"/>
      <c r="I151" s="212"/>
      <c r="J151" s="212"/>
      <c r="K151" s="212"/>
      <c r="L151" s="212"/>
      <c r="M151" s="212"/>
      <c r="N151" s="212"/>
      <c r="O151" s="215"/>
      <c r="P151" s="216"/>
      <c r="Q151" s="212" t="str">
        <f>IFERROR(__xludf.DUMMYFUNCTION("""COMPUTED_VALUE"""),"")</f>
        <v/>
      </c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</row>
    <row r="152">
      <c r="A152" s="210" t="str">
        <f t="shared" si="1"/>
        <v/>
      </c>
      <c r="B152" s="210">
        <f>IFERROR(__xludf.DUMMYFUNCTION("""COMPUTED_VALUE"""),36.0)</f>
        <v>36</v>
      </c>
      <c r="C152" s="211" t="str">
        <f>IFERROR(__xludf.DUMMYFUNCTION("""COMPUTED_VALUE"""),"2º A")</f>
        <v>2º A</v>
      </c>
      <c r="D152" s="212"/>
      <c r="E152" s="213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 t="str">
        <f>IFERROR(__xludf.DUMMYFUNCTION("""COMPUTED_VALUE"""),"")</f>
        <v/>
      </c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</row>
    <row r="153">
      <c r="A153" s="210" t="str">
        <f t="shared" si="1"/>
        <v/>
      </c>
      <c r="B153" s="210">
        <f>IFERROR(__xludf.DUMMYFUNCTION("""COMPUTED_VALUE"""),36.0)</f>
        <v>36</v>
      </c>
      <c r="C153" s="211" t="str">
        <f>IFERROR(__xludf.DUMMYFUNCTION("""COMPUTED_VALUE"""),"2º B")</f>
        <v>2º B</v>
      </c>
      <c r="D153" s="212"/>
      <c r="E153" s="213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 t="str">
        <f>IFERROR(__xludf.DUMMYFUNCTION("""COMPUTED_VALUE"""),"")</f>
        <v/>
      </c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</row>
    <row r="154">
      <c r="A154" s="214" t="str">
        <f t="shared" si="1"/>
        <v/>
      </c>
      <c r="B154" s="210">
        <f>IFERROR(__xludf.DUMMYFUNCTION("""COMPUTED_VALUE"""),37.0)</f>
        <v>37</v>
      </c>
      <c r="C154" s="211" t="str">
        <f>IFERROR(__xludf.DUMMYFUNCTION("""COMPUTED_VALUE"""),"2º A")</f>
        <v>2º A</v>
      </c>
      <c r="D154" s="212"/>
      <c r="E154" s="213"/>
      <c r="F154" s="212"/>
      <c r="G154" s="212"/>
      <c r="H154" s="212"/>
      <c r="I154" s="212"/>
      <c r="J154" s="212"/>
      <c r="K154" s="212"/>
      <c r="L154" s="212"/>
      <c r="M154" s="212"/>
      <c r="N154" s="212"/>
      <c r="O154" s="215"/>
      <c r="P154" s="216"/>
      <c r="Q154" s="212" t="str">
        <f>IFERROR(__xludf.DUMMYFUNCTION("""COMPUTED_VALUE"""),"")</f>
        <v/>
      </c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</row>
    <row r="155">
      <c r="A155" s="214" t="str">
        <f t="shared" si="1"/>
        <v/>
      </c>
      <c r="B155" s="210">
        <f>IFERROR(__xludf.DUMMYFUNCTION("""COMPUTED_VALUE"""),37.0)</f>
        <v>37</v>
      </c>
      <c r="C155" s="211" t="str">
        <f>IFERROR(__xludf.DUMMYFUNCTION("""COMPUTED_VALUE"""),"2º B")</f>
        <v>2º B</v>
      </c>
      <c r="D155" s="212"/>
      <c r="E155" s="213"/>
      <c r="F155" s="212"/>
      <c r="G155" s="212"/>
      <c r="H155" s="212"/>
      <c r="I155" s="212"/>
      <c r="J155" s="212"/>
      <c r="K155" s="212"/>
      <c r="L155" s="212"/>
      <c r="M155" s="212"/>
      <c r="N155" s="212"/>
      <c r="O155" s="215"/>
      <c r="P155" s="216"/>
      <c r="Q155" s="212" t="str">
        <f>IFERROR(__xludf.DUMMYFUNCTION("""COMPUTED_VALUE"""),"")</f>
        <v/>
      </c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</row>
    <row r="156">
      <c r="A156" s="210" t="str">
        <f t="shared" si="1"/>
        <v/>
      </c>
      <c r="B156" s="210">
        <f>IFERROR(__xludf.DUMMYFUNCTION("""COMPUTED_VALUE"""),38.0)</f>
        <v>38</v>
      </c>
      <c r="C156" s="211" t="str">
        <f>IFERROR(__xludf.DUMMYFUNCTION("""COMPUTED_VALUE"""),"2º A")</f>
        <v>2º A</v>
      </c>
      <c r="D156" s="212"/>
      <c r="E156" s="213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 t="str">
        <f>IFERROR(__xludf.DUMMYFUNCTION("""COMPUTED_VALUE"""),"")</f>
        <v/>
      </c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</row>
    <row r="157">
      <c r="A157" s="210" t="str">
        <f t="shared" si="1"/>
        <v/>
      </c>
      <c r="B157" s="210">
        <f>IFERROR(__xludf.DUMMYFUNCTION("""COMPUTED_VALUE"""),38.0)</f>
        <v>38</v>
      </c>
      <c r="C157" s="211" t="str">
        <f>IFERROR(__xludf.DUMMYFUNCTION("""COMPUTED_VALUE"""),"2º B")</f>
        <v>2º B</v>
      </c>
      <c r="D157" s="212"/>
      <c r="E157" s="213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 t="str">
        <f>IFERROR(__xludf.DUMMYFUNCTION("""COMPUTED_VALUE"""),"")</f>
        <v/>
      </c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</row>
    <row r="158">
      <c r="A158" s="210" t="str">
        <f t="shared" si="1"/>
        <v/>
      </c>
      <c r="B158" s="210">
        <f>IFERROR(__xludf.DUMMYFUNCTION("""COMPUTED_VALUE"""),39.0)</f>
        <v>39</v>
      </c>
      <c r="C158" s="211" t="str">
        <f>IFERROR(__xludf.DUMMYFUNCTION("""COMPUTED_VALUE"""),"2º A")</f>
        <v>2º A</v>
      </c>
      <c r="D158" s="212"/>
      <c r="E158" s="213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 t="str">
        <f>IFERROR(__xludf.DUMMYFUNCTION("""COMPUTED_VALUE"""),"")</f>
        <v/>
      </c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</row>
    <row r="159">
      <c r="A159" s="214" t="str">
        <f t="shared" si="1"/>
        <v/>
      </c>
      <c r="B159" s="210">
        <f>IFERROR(__xludf.DUMMYFUNCTION("""COMPUTED_VALUE"""),39.0)</f>
        <v>39</v>
      </c>
      <c r="C159" s="211" t="str">
        <f>IFERROR(__xludf.DUMMYFUNCTION("""COMPUTED_VALUE"""),"2º B")</f>
        <v>2º B</v>
      </c>
      <c r="D159" s="212"/>
      <c r="E159" s="213"/>
      <c r="F159" s="212"/>
      <c r="G159" s="212"/>
      <c r="H159" s="212"/>
      <c r="I159" s="212"/>
      <c r="J159" s="212"/>
      <c r="K159" s="212"/>
      <c r="L159" s="212"/>
      <c r="M159" s="212"/>
      <c r="N159" s="212"/>
      <c r="O159" s="215"/>
      <c r="P159" s="216"/>
      <c r="Q159" s="212" t="str">
        <f>IFERROR(__xludf.DUMMYFUNCTION("""COMPUTED_VALUE"""),"")</f>
        <v/>
      </c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</row>
    <row r="160">
      <c r="A160" s="210" t="str">
        <f t="shared" si="1"/>
        <v/>
      </c>
      <c r="B160" s="210">
        <f>IFERROR(__xludf.DUMMYFUNCTION("""COMPUTED_VALUE"""),40.0)</f>
        <v>40</v>
      </c>
      <c r="C160" s="211" t="str">
        <f>IFERROR(__xludf.DUMMYFUNCTION("""COMPUTED_VALUE"""),"2º A")</f>
        <v>2º A</v>
      </c>
      <c r="D160" s="212"/>
      <c r="E160" s="213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 t="str">
        <f>IFERROR(__xludf.DUMMYFUNCTION("""COMPUTED_VALUE"""),"")</f>
        <v/>
      </c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</row>
    <row r="161">
      <c r="A161" s="214" t="str">
        <f t="shared" si="1"/>
        <v/>
      </c>
      <c r="B161" s="210">
        <f>IFERROR(__xludf.DUMMYFUNCTION("""COMPUTED_VALUE"""),40.0)</f>
        <v>40</v>
      </c>
      <c r="C161" s="211" t="str">
        <f>IFERROR(__xludf.DUMMYFUNCTION("""COMPUTED_VALUE"""),"2º B")</f>
        <v>2º B</v>
      </c>
      <c r="D161" s="212"/>
      <c r="E161" s="213"/>
      <c r="F161" s="212"/>
      <c r="G161" s="212"/>
      <c r="H161" s="212"/>
      <c r="I161" s="212"/>
      <c r="J161" s="212"/>
      <c r="K161" s="212"/>
      <c r="L161" s="212"/>
      <c r="M161" s="212"/>
      <c r="N161" s="212"/>
      <c r="O161" s="215"/>
      <c r="P161" s="216"/>
      <c r="Q161" s="212" t="str">
        <f>IFERROR(__xludf.DUMMYFUNCTION("""COMPUTED_VALUE"""),"")</f>
        <v/>
      </c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</row>
    <row r="162">
      <c r="A162" s="210" t="str">
        <f t="shared" si="1"/>
        <v>Bárbara Cornejo</v>
      </c>
      <c r="B162" s="210">
        <f>IFERROR(__xludf.DUMMYFUNCTION("""COMPUTED_VALUE"""),1.0)</f>
        <v>1</v>
      </c>
      <c r="C162" s="211" t="str">
        <f>IFERROR(__xludf.DUMMYFUNCTION("""COMPUTED_VALUE"""),"3º A")</f>
        <v>3º A</v>
      </c>
      <c r="D162" s="212"/>
      <c r="E162" s="213"/>
      <c r="F162" s="212"/>
      <c r="G162" s="212" t="str">
        <f>IFERROR(__xludf.DUMMYFUNCTION("""COMPUTED_VALUE"""),"si")</f>
        <v>si</v>
      </c>
      <c r="H162" s="212"/>
      <c r="I162" s="212">
        <f>IFERROR(__xludf.DUMMYFUNCTION("""COMPUTED_VALUE"""),2.0)</f>
        <v>2</v>
      </c>
      <c r="J162" s="212"/>
      <c r="K162" s="212" t="str">
        <f>IFERROR(__xludf.DUMMYFUNCTION("""COMPUTED_VALUE"""),"Arte")</f>
        <v>Arte</v>
      </c>
      <c r="L162" s="212" t="str">
        <f>IFERROR(__xludf.DUMMYFUNCTION("""COMPUTED_VALUE"""),"Bárbara Cornejo")</f>
        <v>Bárbara Cornejo</v>
      </c>
      <c r="M162" s="212"/>
      <c r="N162" s="212"/>
      <c r="O162" s="212" t="str">
        <f>IFERROR(__xludf.DUMMYFUNCTION("""COMPUTED_VALUE"""),"Bárbara Cornejo")</f>
        <v>Bárbara Cornejo</v>
      </c>
      <c r="P162" s="212" t="str">
        <f>IFERROR(__xludf.DUMMYFUNCTION("""COMPUTED_VALUE"""),"Expresion")</f>
        <v>Expresion</v>
      </c>
      <c r="Q162" s="212" t="str">
        <f>IFERROR(__xludf.DUMMYFUNCTION("""COMPUTED_VALUE"""),"Mantiene")</f>
        <v>Mantiene</v>
      </c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</row>
    <row r="163">
      <c r="A163" s="210" t="str">
        <f t="shared" si="1"/>
        <v>Gabriel Aluzzo</v>
      </c>
      <c r="B163" s="210">
        <f>IFERROR(__xludf.DUMMYFUNCTION("""COMPUTED_VALUE"""),1.0)</f>
        <v>1</v>
      </c>
      <c r="C163" s="211" t="str">
        <f>IFERROR(__xludf.DUMMYFUNCTION("""COMPUTED_VALUE"""),"3º B")</f>
        <v>3º B</v>
      </c>
      <c r="D163" s="212"/>
      <c r="E163" s="213"/>
      <c r="F163" s="212"/>
      <c r="G163" s="212" t="str">
        <f>IFERROR(__xludf.DUMMYFUNCTION("""COMPUTED_VALUE"""),"si")</f>
        <v>si</v>
      </c>
      <c r="H163" s="212"/>
      <c r="I163" s="212">
        <f>IFERROR(__xludf.DUMMYFUNCTION("""COMPUTED_VALUE"""),2.0)</f>
        <v>2</v>
      </c>
      <c r="J163" s="212"/>
      <c r="K163" s="212" t="str">
        <f>IFERROR(__xludf.DUMMYFUNCTION("""COMPUTED_VALUE"""),"Arte")</f>
        <v>Arte</v>
      </c>
      <c r="L163" s="212" t="str">
        <f>IFERROR(__xludf.DUMMYFUNCTION("""COMPUTED_VALUE"""),"Gabriel Aluzzo")</f>
        <v>Gabriel Aluzzo</v>
      </c>
      <c r="M163" s="212"/>
      <c r="N163" s="212"/>
      <c r="O163" s="212" t="str">
        <f>IFERROR(__xludf.DUMMYFUNCTION("""COMPUTED_VALUE"""),"Gabriel Aluzzo")</f>
        <v>Gabriel Aluzzo</v>
      </c>
      <c r="P163" s="212" t="str">
        <f>IFERROR(__xludf.DUMMYFUNCTION("""COMPUTED_VALUE"""),"Expresion")</f>
        <v>Expresion</v>
      </c>
      <c r="Q163" s="212" t="str">
        <f>IFERROR(__xludf.DUMMYFUNCTION("""COMPUTED_VALUE"""),"Mantiene")</f>
        <v>Mantiene</v>
      </c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</row>
    <row r="164">
      <c r="A164" s="210" t="str">
        <f t="shared" si="1"/>
        <v>Cecilia Lund Petersen</v>
      </c>
      <c r="B164" s="210">
        <f>IFERROR(__xludf.DUMMYFUNCTION("""COMPUTED_VALUE"""),2.0)</f>
        <v>2</v>
      </c>
      <c r="C164" s="211" t="str">
        <f>IFERROR(__xludf.DUMMYFUNCTION("""COMPUTED_VALUE"""),"3º A")</f>
        <v>3º A</v>
      </c>
      <c r="D164" s="212"/>
      <c r="E164" s="213"/>
      <c r="F164" s="212" t="str">
        <f>IFERROR(__xludf.DUMMYFUNCTION("""COMPUTED_VALUE"""),"Biology")</f>
        <v>Biology</v>
      </c>
      <c r="G164" s="212" t="str">
        <f>IFERROR(__xludf.DUMMYFUNCTION("""COMPUTED_VALUE"""),"si")</f>
        <v>si</v>
      </c>
      <c r="H164" s="212"/>
      <c r="I164" s="212">
        <f>IFERROR(__xludf.DUMMYFUNCTION("""COMPUTED_VALUE"""),2.0)</f>
        <v>2</v>
      </c>
      <c r="J164" s="212"/>
      <c r="K164" s="212" t="str">
        <f>IFERROR(__xludf.DUMMYFUNCTION("""COMPUTED_VALUE"""),"Biology")</f>
        <v>Biology</v>
      </c>
      <c r="L164" s="212" t="str">
        <f>IFERROR(__xludf.DUMMYFUNCTION("""COMPUTED_VALUE"""),"Cecilia Garcia Reinoso")</f>
        <v>Cecilia Garcia Reinoso</v>
      </c>
      <c r="M164" s="212"/>
      <c r="N164" s="212"/>
      <c r="O164" s="212" t="str">
        <f>IFERROR(__xludf.DUMMYFUNCTION("""COMPUTED_VALUE"""),"Cecilia Lund Petersen")</f>
        <v>Cecilia Lund Petersen</v>
      </c>
      <c r="P164" s="212" t="str">
        <f>IFERROR(__xludf.DUMMYFUNCTION("""COMPUTED_VALUE"""),"Exactas")</f>
        <v>Exactas</v>
      </c>
      <c r="Q164" s="212" t="str">
        <f>IFERROR(__xludf.DUMMYFUNCTION("""COMPUTED_VALUE"""),"Nuevo x baja de profesor")</f>
        <v>Nuevo x baja de profesor</v>
      </c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</row>
    <row r="165">
      <c r="A165" s="210" t="str">
        <f t="shared" si="1"/>
        <v>Cecilia Garcia Reinoso</v>
      </c>
      <c r="B165" s="210">
        <f>IFERROR(__xludf.DUMMYFUNCTION("""COMPUTED_VALUE"""),2.0)</f>
        <v>2</v>
      </c>
      <c r="C165" s="211" t="str">
        <f>IFERROR(__xludf.DUMMYFUNCTION("""COMPUTED_VALUE"""),"3º B")</f>
        <v>3º B</v>
      </c>
      <c r="D165" s="212"/>
      <c r="E165" s="213"/>
      <c r="F165" s="212" t="str">
        <f>IFERROR(__xludf.DUMMYFUNCTION("""COMPUTED_VALUE"""),"Biology")</f>
        <v>Biology</v>
      </c>
      <c r="G165" s="212" t="str">
        <f>IFERROR(__xludf.DUMMYFUNCTION("""COMPUTED_VALUE"""),"si")</f>
        <v>si</v>
      </c>
      <c r="H165" s="212"/>
      <c r="I165" s="212">
        <f>IFERROR(__xludf.DUMMYFUNCTION("""COMPUTED_VALUE"""),2.0)</f>
        <v>2</v>
      </c>
      <c r="J165" s="212"/>
      <c r="K165" s="212" t="str">
        <f>IFERROR(__xludf.DUMMYFUNCTION("""COMPUTED_VALUE"""),"Biology")</f>
        <v>Biology</v>
      </c>
      <c r="L165" s="212" t="str">
        <f>IFERROR(__xludf.DUMMYFUNCTION("""COMPUTED_VALUE"""),"Cecilia Garcia Reinoso")</f>
        <v>Cecilia Garcia Reinoso</v>
      </c>
      <c r="M165" s="212"/>
      <c r="N165" s="212"/>
      <c r="O165" s="212" t="str">
        <f>IFERROR(__xludf.DUMMYFUNCTION("""COMPUTED_VALUE"""),"Cecilia Garcia Reinoso")</f>
        <v>Cecilia Garcia Reinoso</v>
      </c>
      <c r="P165" s="212" t="str">
        <f>IFERROR(__xludf.DUMMYFUNCTION("""COMPUTED_VALUE"""),"Exactas")</f>
        <v>Exactas</v>
      </c>
      <c r="Q165" s="212" t="str">
        <f>IFERROR(__xludf.DUMMYFUNCTION("""COMPUTED_VALUE"""),"Mantiene")</f>
        <v>Mantiene</v>
      </c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</row>
    <row r="166">
      <c r="A166" s="210" t="str">
        <f t="shared" si="1"/>
        <v>Eduardo Gabriel Rougier</v>
      </c>
      <c r="B166" s="210">
        <f>IFERROR(__xludf.DUMMYFUNCTION("""COMPUTED_VALUE"""),3.0)</f>
        <v>3</v>
      </c>
      <c r="C166" s="211" t="str">
        <f>IFERROR(__xludf.DUMMYFUNCTION("""COMPUTED_VALUE"""),"3º A")</f>
        <v>3º A</v>
      </c>
      <c r="D166" s="212"/>
      <c r="E166" s="213"/>
      <c r="F166" s="212"/>
      <c r="G166" s="212"/>
      <c r="H166" s="212"/>
      <c r="I166" s="212">
        <f>IFERROR(__xludf.DUMMYFUNCTION("""COMPUTED_VALUE"""),1.0)</f>
        <v>1</v>
      </c>
      <c r="J166" s="212"/>
      <c r="K166" s="212" t="str">
        <f>IFERROR(__xludf.DUMMYFUNCTION("""COMPUTED_VALUE"""),"Design")</f>
        <v>Design</v>
      </c>
      <c r="L166" s="212" t="str">
        <f>IFERROR(__xludf.DUMMYFUNCTION("""COMPUTED_VALUE"""),"Bárbara Cornejo")</f>
        <v>Bárbara Cornejo</v>
      </c>
      <c r="M166" s="212"/>
      <c r="N166" s="212"/>
      <c r="O166" s="212" t="str">
        <f>IFERROR(__xludf.DUMMYFUNCTION("""COMPUTED_VALUE"""),"Eduardo Gabriel Rougier")</f>
        <v>Eduardo Gabriel Rougier</v>
      </c>
      <c r="P166" s="212" t="str">
        <f>IFERROR(__xludf.DUMMYFUNCTION("""COMPUTED_VALUE"""),"Expresion")</f>
        <v>Expresion</v>
      </c>
      <c r="Q166" s="212" t="str">
        <f>IFERROR(__xludf.DUMMYFUNCTION("""COMPUTED_VALUE"""),"Nuevo")</f>
        <v>Nuevo</v>
      </c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</row>
    <row r="167">
      <c r="A167" s="210" t="str">
        <f t="shared" si="1"/>
        <v>Verónica María Bonadeo</v>
      </c>
      <c r="B167" s="210">
        <f>IFERROR(__xludf.DUMMYFUNCTION("""COMPUTED_VALUE"""),3.0)</f>
        <v>3</v>
      </c>
      <c r="C167" s="211" t="str">
        <f>IFERROR(__xludf.DUMMYFUNCTION("""COMPUTED_VALUE"""),"3º B")</f>
        <v>3º B</v>
      </c>
      <c r="D167" s="212"/>
      <c r="E167" s="213"/>
      <c r="F167" s="212"/>
      <c r="G167" s="212"/>
      <c r="H167" s="212"/>
      <c r="I167" s="212">
        <f>IFERROR(__xludf.DUMMYFUNCTION("""COMPUTED_VALUE"""),1.0)</f>
        <v>1</v>
      </c>
      <c r="J167" s="212"/>
      <c r="K167" s="212" t="str">
        <f>IFERROR(__xludf.DUMMYFUNCTION("""COMPUTED_VALUE"""),"Design")</f>
        <v>Design</v>
      </c>
      <c r="L167" s="212" t="str">
        <f>IFERROR(__xludf.DUMMYFUNCTION("""COMPUTED_VALUE"""),"Gabriel Aluzzo")</f>
        <v>Gabriel Aluzzo</v>
      </c>
      <c r="M167" s="212"/>
      <c r="N167" s="212"/>
      <c r="O167" s="212" t="str">
        <f>IFERROR(__xludf.DUMMYFUNCTION("""COMPUTED_VALUE"""),"Verónica María Bonadeo")</f>
        <v>Verónica María Bonadeo</v>
      </c>
      <c r="P167" s="212" t="str">
        <f>IFERROR(__xludf.DUMMYFUNCTION("""COMPUTED_VALUE"""),"Expresion")</f>
        <v>Expresion</v>
      </c>
      <c r="Q167" s="212" t="str">
        <f>IFERROR(__xludf.DUMMYFUNCTION("""COMPUTED_VALUE"""),"Nuevo")</f>
        <v>Nuevo</v>
      </c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</row>
    <row r="168">
      <c r="A168" s="210" t="str">
        <f t="shared" si="1"/>
        <v>Florencia Piolanti</v>
      </c>
      <c r="B168" s="210">
        <f>IFERROR(__xludf.DUMMYFUNCTION("""COMPUTED_VALUE"""),4.0)</f>
        <v>4</v>
      </c>
      <c r="C168" s="211" t="str">
        <f>IFERROR(__xludf.DUMMYFUNCTION("""COMPUTED_VALUE"""),"3º A")</f>
        <v>3º A</v>
      </c>
      <c r="D168" s="212"/>
      <c r="E168" s="213"/>
      <c r="F168" s="212"/>
      <c r="G168" s="212" t="str">
        <f>IFERROR(__xludf.DUMMYFUNCTION("""COMPUTED_VALUE"""),"si")</f>
        <v>si</v>
      </c>
      <c r="H168" s="212"/>
      <c r="I168" s="212">
        <f>IFERROR(__xludf.DUMMYFUNCTION("""COMPUTED_VALUE"""),4.0)</f>
        <v>4</v>
      </c>
      <c r="J168" s="212"/>
      <c r="K168" s="212" t="str">
        <f>IFERROR(__xludf.DUMMYFUNCTION("""COMPUTED_VALUE"""),"Educación Física")</f>
        <v>Educación Física</v>
      </c>
      <c r="L168" s="212" t="str">
        <f>IFERROR(__xludf.DUMMYFUNCTION("""COMPUTED_VALUE"""),"Florencia Piolanti")</f>
        <v>Florencia Piolanti</v>
      </c>
      <c r="M168" s="212" t="str">
        <f>IFERROR(__xludf.DUMMYFUNCTION("""COMPUTED_VALUE"""),"Marcos Galván")</f>
        <v>Marcos Galván</v>
      </c>
      <c r="N168" s="212"/>
      <c r="O168" s="212" t="str">
        <f>IFERROR(__xludf.DUMMYFUNCTION("""COMPUTED_VALUE"""),"Florencia Piolanti")</f>
        <v>Florencia Piolanti</v>
      </c>
      <c r="P168" s="212" t="str">
        <f>IFERROR(__xludf.DUMMYFUNCTION("""COMPUTED_VALUE"""),"Educación Física")</f>
        <v>Educación Física</v>
      </c>
      <c r="Q168" s="212" t="str">
        <f>IFERROR(__xludf.DUMMYFUNCTION("""COMPUTED_VALUE"""),"Mantiene")</f>
        <v>Mantiene</v>
      </c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</row>
    <row r="169">
      <c r="A169" s="210" t="str">
        <f t="shared" si="1"/>
        <v>Iván Mauro Pasini</v>
      </c>
      <c r="B169" s="210">
        <f>IFERROR(__xludf.DUMMYFUNCTION("""COMPUTED_VALUE"""),4.0)</f>
        <v>4</v>
      </c>
      <c r="C169" s="211" t="str">
        <f>IFERROR(__xludf.DUMMYFUNCTION("""COMPUTED_VALUE"""),"3º B")</f>
        <v>3º B</v>
      </c>
      <c r="D169" s="212"/>
      <c r="E169" s="213"/>
      <c r="F169" s="212"/>
      <c r="G169" s="212" t="str">
        <f>IFERROR(__xludf.DUMMYFUNCTION("""COMPUTED_VALUE"""),"si")</f>
        <v>si</v>
      </c>
      <c r="H169" s="212"/>
      <c r="I169" s="212">
        <f>IFERROR(__xludf.DUMMYFUNCTION("""COMPUTED_VALUE"""),4.0)</f>
        <v>4</v>
      </c>
      <c r="J169" s="212"/>
      <c r="K169" s="212" t="str">
        <f>IFERROR(__xludf.DUMMYFUNCTION("""COMPUTED_VALUE"""),"Educación Física")</f>
        <v>Educación Física</v>
      </c>
      <c r="L169" s="212" t="str">
        <f>IFERROR(__xludf.DUMMYFUNCTION("""COMPUTED_VALUE"""),"Ivan Pasini")</f>
        <v>Ivan Pasini</v>
      </c>
      <c r="M169" s="212" t="str">
        <f>IFERROR(__xludf.DUMMYFUNCTION("""COMPUTED_VALUE"""),"Marcos Galván")</f>
        <v>Marcos Galván</v>
      </c>
      <c r="N169" s="212"/>
      <c r="O169" s="212" t="str">
        <f>IFERROR(__xludf.DUMMYFUNCTION("""COMPUTED_VALUE"""),"Iván Mauro Pasini")</f>
        <v>Iván Mauro Pasini</v>
      </c>
      <c r="P169" s="212" t="str">
        <f>IFERROR(__xludf.DUMMYFUNCTION("""COMPUTED_VALUE"""),"Educación Física")</f>
        <v>Educación Física</v>
      </c>
      <c r="Q169" s="212" t="str">
        <f>IFERROR(__xludf.DUMMYFUNCTION("""COMPUTED_VALUE"""),"Nuevo")</f>
        <v>Nuevo</v>
      </c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</row>
    <row r="170">
      <c r="A170" s="210" t="str">
        <f t="shared" si="1"/>
        <v>Rocio Rey Metzler</v>
      </c>
      <c r="B170" s="210">
        <f>IFERROR(__xludf.DUMMYFUNCTION("""COMPUTED_VALUE"""),5.0)</f>
        <v>5</v>
      </c>
      <c r="C170" s="211" t="str">
        <f>IFERROR(__xludf.DUMMYFUNCTION("""COMPUTED_VALUE"""),"3º A")</f>
        <v>3º A</v>
      </c>
      <c r="D170" s="212"/>
      <c r="E170" s="213"/>
      <c r="F170" s="212"/>
      <c r="G170" s="212" t="str">
        <f>IFERROR(__xludf.DUMMYFUNCTION("""COMPUTED_VALUE"""),"si")</f>
        <v>si</v>
      </c>
      <c r="H170" s="212"/>
      <c r="I170" s="212">
        <f>IFERROR(__xludf.DUMMYFUNCTION("""COMPUTED_VALUE"""),6.0)</f>
        <v>6</v>
      </c>
      <c r="J170" s="212"/>
      <c r="K170" s="212" t="str">
        <f>IFERROR(__xludf.DUMMYFUNCTION("""COMPUTED_VALUE"""),"English")</f>
        <v>English</v>
      </c>
      <c r="L170" s="212" t="str">
        <f>IFERROR(__xludf.DUMMYFUNCTION("""COMPUTED_VALUE"""),"Rocio Rey Metzler")</f>
        <v>Rocio Rey Metzler</v>
      </c>
      <c r="M170" s="212"/>
      <c r="N170" s="212"/>
      <c r="O170" s="212" t="str">
        <f>IFERROR(__xludf.DUMMYFUNCTION("""COMPUTED_VALUE"""),"Rocio Rey Metzler")</f>
        <v>Rocio Rey Metzler</v>
      </c>
      <c r="P170" s="212" t="str">
        <f>IFERROR(__xludf.DUMMYFUNCTION("""COMPUTED_VALUE"""),"Expresion")</f>
        <v>Expresion</v>
      </c>
      <c r="Q170" s="212" t="str">
        <f>IFERROR(__xludf.DUMMYFUNCTION("""COMPUTED_VALUE"""),"Mantiene")</f>
        <v>Mantiene</v>
      </c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</row>
    <row r="171">
      <c r="A171" s="210" t="str">
        <f t="shared" si="1"/>
        <v>Rocio Rey Metzler</v>
      </c>
      <c r="B171" s="210">
        <f>IFERROR(__xludf.DUMMYFUNCTION("""COMPUTED_VALUE"""),5.0)</f>
        <v>5</v>
      </c>
      <c r="C171" s="211" t="str">
        <f>IFERROR(__xludf.DUMMYFUNCTION("""COMPUTED_VALUE"""),"3º B")</f>
        <v>3º B</v>
      </c>
      <c r="D171" s="212"/>
      <c r="E171" s="213"/>
      <c r="F171" s="212"/>
      <c r="G171" s="212" t="str">
        <f>IFERROR(__xludf.DUMMYFUNCTION("""COMPUTED_VALUE"""),"si")</f>
        <v>si</v>
      </c>
      <c r="H171" s="212"/>
      <c r="I171" s="212">
        <f>IFERROR(__xludf.DUMMYFUNCTION("""COMPUTED_VALUE"""),6.0)</f>
        <v>6</v>
      </c>
      <c r="J171" s="212"/>
      <c r="K171" s="212" t="str">
        <f>IFERROR(__xludf.DUMMYFUNCTION("""COMPUTED_VALUE"""),"English")</f>
        <v>English</v>
      </c>
      <c r="L171" s="212" t="str">
        <f>IFERROR(__xludf.DUMMYFUNCTION("""COMPUTED_VALUE"""),"Rocio Rey Metzler")</f>
        <v>Rocio Rey Metzler</v>
      </c>
      <c r="M171" s="212"/>
      <c r="N171" s="212"/>
      <c r="O171" s="212" t="str">
        <f>IFERROR(__xludf.DUMMYFUNCTION("""COMPUTED_VALUE"""),"Rocio Rey Metzler")</f>
        <v>Rocio Rey Metzler</v>
      </c>
      <c r="P171" s="212" t="str">
        <f>IFERROR(__xludf.DUMMYFUNCTION("""COMPUTED_VALUE"""),"Expresion")</f>
        <v>Expresion</v>
      </c>
      <c r="Q171" s="212" t="str">
        <f>IFERROR(__xludf.DUMMYFUNCTION("""COMPUTED_VALUE"""),"Mantiene")</f>
        <v>Mantiene</v>
      </c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</row>
    <row r="172">
      <c r="A172" s="210" t="str">
        <f t="shared" si="1"/>
        <v>Agustina Bieule</v>
      </c>
      <c r="B172" s="210">
        <f>IFERROR(__xludf.DUMMYFUNCTION("""COMPUTED_VALUE"""),6.0)</f>
        <v>6</v>
      </c>
      <c r="C172" s="211" t="str">
        <f>IFERROR(__xludf.DUMMYFUNCTION("""COMPUTED_VALUE"""),"3º A")</f>
        <v>3º A</v>
      </c>
      <c r="D172" s="212"/>
      <c r="E172" s="213"/>
      <c r="F172" s="212"/>
      <c r="G172" s="212"/>
      <c r="H172" s="212"/>
      <c r="I172" s="212"/>
      <c r="J172" s="212"/>
      <c r="K172" s="212" t="str">
        <f>IFERROR(__xludf.DUMMYFUNCTION("""COMPUTED_VALUE"""),"Formación Católica")</f>
        <v>Formación Católica</v>
      </c>
      <c r="L172" s="212" t="str">
        <f>IFERROR(__xludf.DUMMYFUNCTION("""COMPUTED_VALUE"""),"Agustina Bieule")</f>
        <v>Agustina Bieule</v>
      </c>
      <c r="M172" s="212"/>
      <c r="N172" s="212"/>
      <c r="O172" s="212" t="str">
        <f>IFERROR(__xludf.DUMMYFUNCTION("""COMPUTED_VALUE"""),"Agustina Bieule")</f>
        <v>Agustina Bieule</v>
      </c>
      <c r="P172" s="212" t="str">
        <f>IFERROR(__xludf.DUMMYFUNCTION("""COMPUTED_VALUE"""),"Formación Católica")</f>
        <v>Formación Católica</v>
      </c>
      <c r="Q172" s="212" t="str">
        <f>IFERROR(__xludf.DUMMYFUNCTION("""COMPUTED_VALUE"""),"Mantiene")</f>
        <v>Mantiene</v>
      </c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</row>
    <row r="173">
      <c r="A173" s="210" t="str">
        <f t="shared" si="1"/>
        <v>Ezequiel Beccar Varela</v>
      </c>
      <c r="B173" s="210">
        <f>IFERROR(__xludf.DUMMYFUNCTION("""COMPUTED_VALUE"""),6.0)</f>
        <v>6</v>
      </c>
      <c r="C173" s="211" t="str">
        <f>IFERROR(__xludf.DUMMYFUNCTION("""COMPUTED_VALUE"""),"3º B")</f>
        <v>3º B</v>
      </c>
      <c r="D173" s="212"/>
      <c r="E173" s="213"/>
      <c r="F173" s="212"/>
      <c r="G173" s="212"/>
      <c r="H173" s="212"/>
      <c r="I173" s="212"/>
      <c r="J173" s="212"/>
      <c r="K173" s="212" t="str">
        <f>IFERROR(__xludf.DUMMYFUNCTION("""COMPUTED_VALUE"""),"Formación Católica")</f>
        <v>Formación Católica</v>
      </c>
      <c r="L173" s="212" t="str">
        <f>IFERROR(__xludf.DUMMYFUNCTION("""COMPUTED_VALUE"""),"Juan Ignacio Pietrodarca")</f>
        <v>Juan Ignacio Pietrodarca</v>
      </c>
      <c r="M173" s="212"/>
      <c r="N173" s="212"/>
      <c r="O173" s="212" t="str">
        <f>IFERROR(__xludf.DUMMYFUNCTION("""COMPUTED_VALUE"""),"Ezequiel Beccar Varela")</f>
        <v>Ezequiel Beccar Varela</v>
      </c>
      <c r="P173" s="212" t="str">
        <f>IFERROR(__xludf.DUMMYFUNCTION("""COMPUTED_VALUE"""),"Formación Católica")</f>
        <v>Formación Católica</v>
      </c>
      <c r="Q173" s="212" t="str">
        <f>IFERROR(__xludf.DUMMYFUNCTION("""COMPUTED_VALUE"""),"Nuevo x baja de profesor")</f>
        <v>Nuevo x baja de profesor</v>
      </c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</row>
    <row r="174">
      <c r="A174" s="210" t="str">
        <f t="shared" si="1"/>
        <v>Luciana Natalia Cabrera</v>
      </c>
      <c r="B174" s="210">
        <f>IFERROR(__xludf.DUMMYFUNCTION("""COMPUTED_VALUE"""),7.0)</f>
        <v>7</v>
      </c>
      <c r="C174" s="211" t="str">
        <f>IFERROR(__xludf.DUMMYFUNCTION("""COMPUTED_VALUE"""),"3º A")</f>
        <v>3º A</v>
      </c>
      <c r="D174" s="212"/>
      <c r="E174" s="213"/>
      <c r="F174" s="212"/>
      <c r="G174" s="212" t="str">
        <f>IFERROR(__xludf.DUMMYFUNCTION("""COMPUTED_VALUE"""),"si")</f>
        <v>si</v>
      </c>
      <c r="H174" s="212"/>
      <c r="I174" s="212">
        <f>IFERROR(__xludf.DUMMYFUNCTION("""COMPUTED_VALUE"""),2.0)</f>
        <v>2</v>
      </c>
      <c r="J174" s="212"/>
      <c r="K174" s="212" t="str">
        <f>IFERROR(__xludf.DUMMYFUNCTION("""COMPUTED_VALUE"""),"Geografía")</f>
        <v>Geografía</v>
      </c>
      <c r="L174" s="212" t="str">
        <f>IFERROR(__xludf.DUMMYFUNCTION("""COMPUTED_VALUE"""),"Luciana Natalia Cabrera")</f>
        <v>Luciana Natalia Cabrera</v>
      </c>
      <c r="M174" s="212"/>
      <c r="N174" s="212"/>
      <c r="O174" s="212" t="str">
        <f>IFERROR(__xludf.DUMMYFUNCTION("""COMPUTED_VALUE"""),"Luciana Natalia Cabrera")</f>
        <v>Luciana Natalia Cabrera</v>
      </c>
      <c r="P174" s="212" t="str">
        <f>IFERROR(__xludf.DUMMYFUNCTION("""COMPUTED_VALUE"""),"Humanas")</f>
        <v>Humanas</v>
      </c>
      <c r="Q174" s="212" t="str">
        <f>IFERROR(__xludf.DUMMYFUNCTION("""COMPUTED_VALUE"""),"Mantiene")</f>
        <v>Mantiene</v>
      </c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</row>
    <row r="175">
      <c r="A175" s="210" t="str">
        <f t="shared" si="1"/>
        <v>Luciana Natalia Cabrera</v>
      </c>
      <c r="B175" s="210">
        <f>IFERROR(__xludf.DUMMYFUNCTION("""COMPUTED_VALUE"""),7.0)</f>
        <v>7</v>
      </c>
      <c r="C175" s="211" t="str">
        <f>IFERROR(__xludf.DUMMYFUNCTION("""COMPUTED_VALUE"""),"3º B")</f>
        <v>3º B</v>
      </c>
      <c r="D175" s="212"/>
      <c r="E175" s="213"/>
      <c r="F175" s="212"/>
      <c r="G175" s="212" t="str">
        <f>IFERROR(__xludf.DUMMYFUNCTION("""COMPUTED_VALUE"""),"si")</f>
        <v>si</v>
      </c>
      <c r="H175" s="212"/>
      <c r="I175" s="212">
        <f>IFERROR(__xludf.DUMMYFUNCTION("""COMPUTED_VALUE"""),2.0)</f>
        <v>2</v>
      </c>
      <c r="J175" s="212"/>
      <c r="K175" s="212" t="str">
        <f>IFERROR(__xludf.DUMMYFUNCTION("""COMPUTED_VALUE"""),"Geografía")</f>
        <v>Geografía</v>
      </c>
      <c r="L175" s="212" t="str">
        <f>IFERROR(__xludf.DUMMYFUNCTION("""COMPUTED_VALUE"""),"Luciana Natalia Cabrera")</f>
        <v>Luciana Natalia Cabrera</v>
      </c>
      <c r="M175" s="212"/>
      <c r="N175" s="212"/>
      <c r="O175" s="212" t="str">
        <f>IFERROR(__xludf.DUMMYFUNCTION("""COMPUTED_VALUE"""),"Luciana Natalia Cabrera")</f>
        <v>Luciana Natalia Cabrera</v>
      </c>
      <c r="P175" s="212" t="str">
        <f>IFERROR(__xludf.DUMMYFUNCTION("""COMPUTED_VALUE"""),"Humanas")</f>
        <v>Humanas</v>
      </c>
      <c r="Q175" s="212" t="str">
        <f>IFERROR(__xludf.DUMMYFUNCTION("""COMPUTED_VALUE"""),"Mantiene")</f>
        <v>Mantiene</v>
      </c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</row>
    <row r="176">
      <c r="A176" s="210" t="str">
        <f t="shared" si="1"/>
        <v>María Candelaria Roca González Del Solar</v>
      </c>
      <c r="B176" s="210">
        <f>IFERROR(__xludf.DUMMYFUNCTION("""COMPUTED_VALUE"""),8.0)</f>
        <v>8</v>
      </c>
      <c r="C176" s="211" t="str">
        <f>IFERROR(__xludf.DUMMYFUNCTION("""COMPUTED_VALUE"""),"3º A")</f>
        <v>3º A</v>
      </c>
      <c r="D176" s="212"/>
      <c r="E176" s="213"/>
      <c r="F176" s="212"/>
      <c r="G176" s="212" t="str">
        <f>IFERROR(__xludf.DUMMYFUNCTION("""COMPUTED_VALUE"""),"si")</f>
        <v>si</v>
      </c>
      <c r="H176" s="212"/>
      <c r="I176" s="212">
        <f>IFERROR(__xludf.DUMMYFUNCTION("""COMPUTED_VALUE"""),3.0)</f>
        <v>3</v>
      </c>
      <c r="J176" s="212"/>
      <c r="K176" s="212" t="str">
        <f>IFERROR(__xludf.DUMMYFUNCTION("""COMPUTED_VALUE"""),"History")</f>
        <v>History</v>
      </c>
      <c r="L176" s="212" t="str">
        <f>IFERROR(__xludf.DUMMYFUNCTION("""COMPUTED_VALUE"""),"María Candelaria Roca González Del Solar")</f>
        <v>María Candelaria Roca González Del Solar</v>
      </c>
      <c r="M176" s="212"/>
      <c r="N176" s="212"/>
      <c r="O176" s="212" t="str">
        <f>IFERROR(__xludf.DUMMYFUNCTION("""COMPUTED_VALUE"""),"María Candelaria Roca González Del Solar")</f>
        <v>María Candelaria Roca González Del Solar</v>
      </c>
      <c r="P176" s="212" t="str">
        <f>IFERROR(__xludf.DUMMYFUNCTION("""COMPUTED_VALUE"""),"Humanas")</f>
        <v>Humanas</v>
      </c>
      <c r="Q176" s="212" t="str">
        <f>IFERROR(__xludf.DUMMYFUNCTION("""COMPUTED_VALUE"""),"Mantiene")</f>
        <v>Mantiene</v>
      </c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</row>
    <row r="177">
      <c r="A177" s="210" t="str">
        <f t="shared" si="1"/>
        <v>María Candelaria Roca González Del Solar</v>
      </c>
      <c r="B177" s="210">
        <f>IFERROR(__xludf.DUMMYFUNCTION("""COMPUTED_VALUE"""),8.0)</f>
        <v>8</v>
      </c>
      <c r="C177" s="211" t="str">
        <f>IFERROR(__xludf.DUMMYFUNCTION("""COMPUTED_VALUE"""),"3º B")</f>
        <v>3º B</v>
      </c>
      <c r="D177" s="212"/>
      <c r="E177" s="213"/>
      <c r="F177" s="212"/>
      <c r="G177" s="212" t="str">
        <f>IFERROR(__xludf.DUMMYFUNCTION("""COMPUTED_VALUE"""),"si")</f>
        <v>si</v>
      </c>
      <c r="H177" s="212"/>
      <c r="I177" s="212">
        <f>IFERROR(__xludf.DUMMYFUNCTION("""COMPUTED_VALUE"""),3.0)</f>
        <v>3</v>
      </c>
      <c r="J177" s="212"/>
      <c r="K177" s="212" t="str">
        <f>IFERROR(__xludf.DUMMYFUNCTION("""COMPUTED_VALUE"""),"History")</f>
        <v>History</v>
      </c>
      <c r="L177" s="212" t="str">
        <f>IFERROR(__xludf.DUMMYFUNCTION("""COMPUTED_VALUE"""),"María Candelaria Roca González Del Solar")</f>
        <v>María Candelaria Roca González Del Solar</v>
      </c>
      <c r="M177" s="212"/>
      <c r="N177" s="212"/>
      <c r="O177" s="212" t="str">
        <f>IFERROR(__xludf.DUMMYFUNCTION("""COMPUTED_VALUE"""),"María Candelaria Roca González Del Solar")</f>
        <v>María Candelaria Roca González Del Solar</v>
      </c>
      <c r="P177" s="212" t="str">
        <f>IFERROR(__xludf.DUMMYFUNCTION("""COMPUTED_VALUE"""),"Humanas")</f>
        <v>Humanas</v>
      </c>
      <c r="Q177" s="212" t="str">
        <f>IFERROR(__xludf.DUMMYFUNCTION("""COMPUTED_VALUE"""),"Mantiene")</f>
        <v>Mantiene</v>
      </c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</row>
    <row r="178">
      <c r="A178" s="210" t="str">
        <f t="shared" si="1"/>
        <v>Eduardo Gabriel Rougier</v>
      </c>
      <c r="B178" s="210">
        <f>IFERROR(__xludf.DUMMYFUNCTION("""COMPUTED_VALUE"""),9.0)</f>
        <v>9</v>
      </c>
      <c r="C178" s="211" t="str">
        <f>IFERROR(__xludf.DUMMYFUNCTION("""COMPUTED_VALUE"""),"3º A")</f>
        <v>3º A</v>
      </c>
      <c r="D178" s="212"/>
      <c r="E178" s="213"/>
      <c r="F178" s="212"/>
      <c r="G178" s="212"/>
      <c r="H178" s="212"/>
      <c r="I178" s="212">
        <f>IFERROR(__xludf.DUMMYFUNCTION("""COMPUTED_VALUE"""),1.0)</f>
        <v>1</v>
      </c>
      <c r="J178" s="212"/>
      <c r="K178" s="212" t="str">
        <f>IFERROR(__xludf.DUMMYFUNCTION("""COMPUTED_VALUE"""),"Information Technology")</f>
        <v>Information Technology</v>
      </c>
      <c r="L178" s="212" t="str">
        <f>IFERROR(__xludf.DUMMYFUNCTION("""COMPUTED_VALUE"""),"Eduardo Gabriel Rougier")</f>
        <v>Eduardo Gabriel Rougier</v>
      </c>
      <c r="M178" s="212" t="str">
        <f>IFERROR(__xludf.DUMMYFUNCTION("""COMPUTED_VALUE"""),"Verónica María Bonadeo")</f>
        <v>Verónica María Bonadeo</v>
      </c>
      <c r="N178" s="212"/>
      <c r="O178" s="212" t="str">
        <f>IFERROR(__xludf.DUMMYFUNCTION("""COMPUTED_VALUE"""),"Eduardo Gabriel Rougier")</f>
        <v>Eduardo Gabriel Rougier</v>
      </c>
      <c r="P178" s="212" t="str">
        <f>IFERROR(__xludf.DUMMYFUNCTION("""COMPUTED_VALUE"""),"Tecnologia")</f>
        <v>Tecnologia</v>
      </c>
      <c r="Q178" s="212" t="str">
        <f>IFERROR(__xludf.DUMMYFUNCTION("""COMPUTED_VALUE"""),"Mantiene")</f>
        <v>Mantiene</v>
      </c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</row>
    <row r="179">
      <c r="A179" s="210" t="str">
        <f t="shared" si="1"/>
        <v>Verónica María Bonadeo</v>
      </c>
      <c r="B179" s="210">
        <f>IFERROR(__xludf.DUMMYFUNCTION("""COMPUTED_VALUE"""),9.0)</f>
        <v>9</v>
      </c>
      <c r="C179" s="211" t="str">
        <f>IFERROR(__xludf.DUMMYFUNCTION("""COMPUTED_VALUE"""),"3º B")</f>
        <v>3º B</v>
      </c>
      <c r="D179" s="212"/>
      <c r="E179" s="213"/>
      <c r="F179" s="212"/>
      <c r="G179" s="212"/>
      <c r="H179" s="212"/>
      <c r="I179" s="212">
        <f>IFERROR(__xludf.DUMMYFUNCTION("""COMPUTED_VALUE"""),1.0)</f>
        <v>1</v>
      </c>
      <c r="J179" s="212"/>
      <c r="K179" s="212" t="str">
        <f>IFERROR(__xludf.DUMMYFUNCTION("""COMPUTED_VALUE"""),"Information Technology")</f>
        <v>Information Technology</v>
      </c>
      <c r="L179" s="212" t="str">
        <f>IFERROR(__xludf.DUMMYFUNCTION("""COMPUTED_VALUE"""),"Verónica María Bonadeo")</f>
        <v>Verónica María Bonadeo</v>
      </c>
      <c r="M179" s="212"/>
      <c r="N179" s="212"/>
      <c r="O179" s="212" t="str">
        <f>IFERROR(__xludf.DUMMYFUNCTION("""COMPUTED_VALUE"""),"Verónica María Bonadeo")</f>
        <v>Verónica María Bonadeo</v>
      </c>
      <c r="P179" s="212" t="str">
        <f>IFERROR(__xludf.DUMMYFUNCTION("""COMPUTED_VALUE"""),"Tecnologia")</f>
        <v>Tecnologia</v>
      </c>
      <c r="Q179" s="212" t="str">
        <f>IFERROR(__xludf.DUMMYFUNCTION("""COMPUTED_VALUE"""),"Mantiene")</f>
        <v>Mantiene</v>
      </c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</row>
    <row r="180">
      <c r="A180" s="210" t="str">
        <f t="shared" si="1"/>
        <v>Catalina Novo</v>
      </c>
      <c r="B180" s="210">
        <f>IFERROR(__xludf.DUMMYFUNCTION("""COMPUTED_VALUE"""),10.0)</f>
        <v>10</v>
      </c>
      <c r="C180" s="211" t="str">
        <f>IFERROR(__xludf.DUMMYFUNCTION("""COMPUTED_VALUE"""),"3º A")</f>
        <v>3º A</v>
      </c>
      <c r="D180" s="212"/>
      <c r="E180" s="213"/>
      <c r="F180" s="212"/>
      <c r="G180" s="212" t="str">
        <f>IFERROR(__xludf.DUMMYFUNCTION("""COMPUTED_VALUE"""),"si")</f>
        <v>si</v>
      </c>
      <c r="H180" s="212"/>
      <c r="I180" s="212">
        <f>IFERROR(__xludf.DUMMYFUNCTION("""COMPUTED_VALUE"""),2.0)</f>
        <v>2</v>
      </c>
      <c r="J180" s="212"/>
      <c r="K180" s="212" t="str">
        <f>IFERROR(__xludf.DUMMYFUNCTION("""COMPUTED_VALUE"""),"Liderazgo al Servicio")</f>
        <v>Liderazgo al Servicio</v>
      </c>
      <c r="L180" s="212" t="str">
        <f>IFERROR(__xludf.DUMMYFUNCTION("""COMPUTED_VALUE"""),"Carolina Ferrari Aldaz")</f>
        <v>Carolina Ferrari Aldaz</v>
      </c>
      <c r="M180" s="212"/>
      <c r="N180" s="212"/>
      <c r="O180" s="212" t="str">
        <f>IFERROR(__xludf.DUMMYFUNCTION("""COMPUTED_VALUE"""),"Catalina Novo")</f>
        <v>Catalina Novo</v>
      </c>
      <c r="P180" s="212" t="str">
        <f>IFERROR(__xludf.DUMMYFUNCTION("""COMPUTED_VALUE"""),"Formación Católica")</f>
        <v>Formación Católica</v>
      </c>
      <c r="Q180" s="212" t="str">
        <f>IFERROR(__xludf.DUMMYFUNCTION("""COMPUTED_VALUE"""),"Nuevo x baja de profesor?????")</f>
        <v>Nuevo x baja de profesor?????</v>
      </c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</row>
    <row r="181">
      <c r="A181" s="210" t="str">
        <f t="shared" si="1"/>
        <v>Manuela Freire</v>
      </c>
      <c r="B181" s="210">
        <f>IFERROR(__xludf.DUMMYFUNCTION("""COMPUTED_VALUE"""),10.0)</f>
        <v>10</v>
      </c>
      <c r="C181" s="211" t="str">
        <f>IFERROR(__xludf.DUMMYFUNCTION("""COMPUTED_VALUE"""),"3º B")</f>
        <v>3º B</v>
      </c>
      <c r="D181" s="212"/>
      <c r="E181" s="213"/>
      <c r="F181" s="212"/>
      <c r="G181" s="212" t="str">
        <f>IFERROR(__xludf.DUMMYFUNCTION("""COMPUTED_VALUE"""),"si")</f>
        <v>si</v>
      </c>
      <c r="H181" s="212"/>
      <c r="I181" s="212">
        <f>IFERROR(__xludf.DUMMYFUNCTION("""COMPUTED_VALUE"""),2.0)</f>
        <v>2</v>
      </c>
      <c r="J181" s="212"/>
      <c r="K181" s="212" t="str">
        <f>IFERROR(__xludf.DUMMYFUNCTION("""COMPUTED_VALUE"""),"Liderazgo al Servicio")</f>
        <v>Liderazgo al Servicio</v>
      </c>
      <c r="L181" s="212" t="str">
        <f>IFERROR(__xludf.DUMMYFUNCTION("""COMPUTED_VALUE"""),"Carolina Ferrari Aldaz")</f>
        <v>Carolina Ferrari Aldaz</v>
      </c>
      <c r="M181" s="212"/>
      <c r="N181" s="212"/>
      <c r="O181" s="212" t="str">
        <f>IFERROR(__xludf.DUMMYFUNCTION("""COMPUTED_VALUE"""),"Manuela Freire")</f>
        <v>Manuela Freire</v>
      </c>
      <c r="P181" s="212" t="str">
        <f>IFERROR(__xludf.DUMMYFUNCTION("""COMPUTED_VALUE"""),"Formación Católica")</f>
        <v>Formación Católica</v>
      </c>
      <c r="Q181" s="212" t="str">
        <f>IFERROR(__xludf.DUMMYFUNCTION("""COMPUTED_VALUE"""),"Nuevo x baja de profesor?????")</f>
        <v>Nuevo x baja de profesor?????</v>
      </c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</row>
    <row r="182">
      <c r="A182" s="210" t="str">
        <f t="shared" si="1"/>
        <v>Astrid Vanina Santa Maria</v>
      </c>
      <c r="B182" s="210">
        <f>IFERROR(__xludf.DUMMYFUNCTION("""COMPUTED_VALUE"""),11.0)</f>
        <v>11</v>
      </c>
      <c r="C182" s="211" t="str">
        <f>IFERROR(__xludf.DUMMYFUNCTION("""COMPUTED_VALUE"""),"3º A")</f>
        <v>3º A</v>
      </c>
      <c r="D182" s="212"/>
      <c r="E182" s="213"/>
      <c r="F182" s="212"/>
      <c r="G182" s="212"/>
      <c r="H182" s="212"/>
      <c r="I182" s="212">
        <f>IFERROR(__xludf.DUMMYFUNCTION("""COMPUTED_VALUE"""),2.0)</f>
        <v>2</v>
      </c>
      <c r="J182" s="212"/>
      <c r="K182" s="212" t="str">
        <f>IFERROR(__xludf.DUMMYFUNCTION("""COMPUTED_VALUE"""),"Literature")</f>
        <v>Literature</v>
      </c>
      <c r="L182" s="212" t="str">
        <f>IFERROR(__xludf.DUMMYFUNCTION("""COMPUTED_VALUE"""),"María Martha D'Adamo")</f>
        <v>María Martha D'Adamo</v>
      </c>
      <c r="M182" s="212"/>
      <c r="N182" s="212"/>
      <c r="O182" s="212" t="str">
        <f>IFERROR(__xludf.DUMMYFUNCTION("""COMPUTED_VALUE"""),"Astrid Vanina Santa Maria")</f>
        <v>Astrid Vanina Santa Maria</v>
      </c>
      <c r="P182" s="212" t="str">
        <f>IFERROR(__xludf.DUMMYFUNCTION("""COMPUTED_VALUE"""),"Expresion")</f>
        <v>Expresion</v>
      </c>
      <c r="Q182" s="212" t="str">
        <f>IFERROR(__xludf.DUMMYFUNCTION("""COMPUTED_VALUE"""),"Nuevo x baja de profesor")</f>
        <v>Nuevo x baja de profesor</v>
      </c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</row>
    <row r="183">
      <c r="A183" s="210" t="str">
        <f t="shared" si="1"/>
        <v>Astrid Vanina Santa Maria</v>
      </c>
      <c r="B183" s="210">
        <f>IFERROR(__xludf.DUMMYFUNCTION("""COMPUTED_VALUE"""),11.0)</f>
        <v>11</v>
      </c>
      <c r="C183" s="211" t="str">
        <f>IFERROR(__xludf.DUMMYFUNCTION("""COMPUTED_VALUE"""),"3º B")</f>
        <v>3º B</v>
      </c>
      <c r="D183" s="212"/>
      <c r="E183" s="213"/>
      <c r="F183" s="212"/>
      <c r="G183" s="212"/>
      <c r="H183" s="212"/>
      <c r="I183" s="212">
        <f>IFERROR(__xludf.DUMMYFUNCTION("""COMPUTED_VALUE"""),2.0)</f>
        <v>2</v>
      </c>
      <c r="J183" s="212"/>
      <c r="K183" s="212" t="str">
        <f>IFERROR(__xludf.DUMMYFUNCTION("""COMPUTED_VALUE"""),"Literature")</f>
        <v>Literature</v>
      </c>
      <c r="L183" s="212" t="str">
        <f>IFERROR(__xludf.DUMMYFUNCTION("""COMPUTED_VALUE"""),"Carla Rocio Ibarra")</f>
        <v>Carla Rocio Ibarra</v>
      </c>
      <c r="M183" s="212"/>
      <c r="N183" s="212"/>
      <c r="O183" s="212" t="str">
        <f>IFERROR(__xludf.DUMMYFUNCTION("""COMPUTED_VALUE"""),"Astrid Vanina Santa Maria")</f>
        <v>Astrid Vanina Santa Maria</v>
      </c>
      <c r="P183" s="212" t="str">
        <f>IFERROR(__xludf.DUMMYFUNCTION("""COMPUTED_VALUE"""),"Expresion")</f>
        <v>Expresion</v>
      </c>
      <c r="Q183" s="212" t="str">
        <f>IFERROR(__xludf.DUMMYFUNCTION("""COMPUTED_VALUE"""),"Nuevo x baja de profesor")</f>
        <v>Nuevo x baja de profesor</v>
      </c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</row>
    <row r="184">
      <c r="A184" s="210" t="str">
        <f t="shared" si="1"/>
        <v>Facundo Terrana</v>
      </c>
      <c r="B184" s="210">
        <f>IFERROR(__xludf.DUMMYFUNCTION("""COMPUTED_VALUE"""),12.0)</f>
        <v>12</v>
      </c>
      <c r="C184" s="211" t="str">
        <f>IFERROR(__xludf.DUMMYFUNCTION("""COMPUTED_VALUE"""),"3º A")</f>
        <v>3º A</v>
      </c>
      <c r="D184" s="212"/>
      <c r="E184" s="213"/>
      <c r="F184" s="212"/>
      <c r="G184" s="212" t="str">
        <f>IFERROR(__xludf.DUMMYFUNCTION("""COMPUTED_VALUE"""),"si")</f>
        <v>si</v>
      </c>
      <c r="H184" s="212"/>
      <c r="I184" s="212">
        <f>IFERROR(__xludf.DUMMYFUNCTION("""COMPUTED_VALUE"""),4.0)</f>
        <v>4</v>
      </c>
      <c r="J184" s="212"/>
      <c r="K184" s="212" t="str">
        <f>IFERROR(__xludf.DUMMYFUNCTION("""COMPUTED_VALUE"""),"Maths")</f>
        <v>Maths</v>
      </c>
      <c r="L184" s="212" t="str">
        <f>IFERROR(__xludf.DUMMYFUNCTION("""COMPUTED_VALUE"""),"Maria Guadalupe Reyes")</f>
        <v>Maria Guadalupe Reyes</v>
      </c>
      <c r="M184" s="212"/>
      <c r="N184" s="212"/>
      <c r="O184" s="212" t="str">
        <f>IFERROR(__xludf.DUMMYFUNCTION("""COMPUTED_VALUE"""),"Facundo Terrana")</f>
        <v>Facundo Terrana</v>
      </c>
      <c r="P184" s="212" t="str">
        <f>IFERROR(__xludf.DUMMYFUNCTION("""COMPUTED_VALUE"""),"Exactas")</f>
        <v>Exactas</v>
      </c>
      <c r="Q184" s="212" t="str">
        <f>IFERROR(__xludf.DUMMYFUNCTION("""COMPUTED_VALUE"""),"Mantiene")</f>
        <v>Mantiene</v>
      </c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</row>
    <row r="185">
      <c r="A185" s="210" t="str">
        <f t="shared" si="1"/>
        <v>Maria Guadalupe Reyes</v>
      </c>
      <c r="B185" s="210">
        <f>IFERROR(__xludf.DUMMYFUNCTION("""COMPUTED_VALUE"""),12.0)</f>
        <v>12</v>
      </c>
      <c r="C185" s="211" t="str">
        <f>IFERROR(__xludf.DUMMYFUNCTION("""COMPUTED_VALUE"""),"3º B")</f>
        <v>3º B</v>
      </c>
      <c r="D185" s="212"/>
      <c r="E185" s="213"/>
      <c r="F185" s="212"/>
      <c r="G185" s="212" t="str">
        <f>IFERROR(__xludf.DUMMYFUNCTION("""COMPUTED_VALUE"""),"si")</f>
        <v>si</v>
      </c>
      <c r="H185" s="212"/>
      <c r="I185" s="212">
        <f>IFERROR(__xludf.DUMMYFUNCTION("""COMPUTED_VALUE"""),4.0)</f>
        <v>4</v>
      </c>
      <c r="J185" s="212"/>
      <c r="K185" s="212" t="str">
        <f>IFERROR(__xludf.DUMMYFUNCTION("""COMPUTED_VALUE"""),"Maths")</f>
        <v>Maths</v>
      </c>
      <c r="L185" s="212" t="str">
        <f>IFERROR(__xludf.DUMMYFUNCTION("""COMPUTED_VALUE"""),"María Gabriela Redolfi")</f>
        <v>María Gabriela Redolfi</v>
      </c>
      <c r="M185" s="212"/>
      <c r="N185" s="212"/>
      <c r="O185" s="212" t="str">
        <f>IFERROR(__xludf.DUMMYFUNCTION("""COMPUTED_VALUE"""),"Maria Guadalupe Reyes")</f>
        <v>Maria Guadalupe Reyes</v>
      </c>
      <c r="P185" s="212" t="str">
        <f>IFERROR(__xludf.DUMMYFUNCTION("""COMPUTED_VALUE"""),"Exactas")</f>
        <v>Exactas</v>
      </c>
      <c r="Q185" s="212" t="str">
        <f>IFERROR(__xludf.DUMMYFUNCTION("""COMPUTED_VALUE"""),"Nuevo x baja de profesor")</f>
        <v>Nuevo x baja de profesor</v>
      </c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</row>
    <row r="186">
      <c r="A186" s="210" t="str">
        <f t="shared" si="1"/>
        <v>Aylén Junquet</v>
      </c>
      <c r="B186" s="210">
        <f>IFERROR(__xludf.DUMMYFUNCTION("""COMPUTED_VALUE"""),13.0)</f>
        <v>13</v>
      </c>
      <c r="C186" s="211" t="str">
        <f>IFERROR(__xludf.DUMMYFUNCTION("""COMPUTED_VALUE"""),"3º A")</f>
        <v>3º A</v>
      </c>
      <c r="D186" s="212"/>
      <c r="E186" s="213"/>
      <c r="F186" s="212"/>
      <c r="G186" s="212"/>
      <c r="H186" s="212"/>
      <c r="I186" s="212">
        <f>IFERROR(__xludf.DUMMYFUNCTION("""COMPUTED_VALUE"""),1.0)</f>
        <v>1</v>
      </c>
      <c r="J186" s="212"/>
      <c r="K186" s="212" t="str">
        <f>IFERROR(__xludf.DUMMYFUNCTION("""COMPUTED_VALUE"""),"Orientación")</f>
        <v>Orientación</v>
      </c>
      <c r="L186" s="212" t="str">
        <f>IFERROR(__xludf.DUMMYFUNCTION("""COMPUTED_VALUE"""),"Pilar Azqueta")</f>
        <v>Pilar Azqueta</v>
      </c>
      <c r="M186" s="212"/>
      <c r="N186" s="212"/>
      <c r="O186" s="212" t="str">
        <f>IFERROR(__xludf.DUMMYFUNCTION("""COMPUTED_VALUE"""),"Aylén Junquet")</f>
        <v>Aylén Junquet</v>
      </c>
      <c r="P186" s="212" t="str">
        <f>IFERROR(__xludf.DUMMYFUNCTION("""COMPUTED_VALUE"""),"Orientacion")</f>
        <v>Orientacion</v>
      </c>
      <c r="Q186" s="212" t="str">
        <f>IFERROR(__xludf.DUMMYFUNCTION("""COMPUTED_VALUE"""),"Nuevo x baja de profesor")</f>
        <v>Nuevo x baja de profesor</v>
      </c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</row>
    <row r="187">
      <c r="A187" s="210" t="str">
        <f t="shared" si="1"/>
        <v>Juan Ignacio Cacciamano</v>
      </c>
      <c r="B187" s="210">
        <f>IFERROR(__xludf.DUMMYFUNCTION("""COMPUTED_VALUE"""),13.0)</f>
        <v>13</v>
      </c>
      <c r="C187" s="211" t="str">
        <f>IFERROR(__xludf.DUMMYFUNCTION("""COMPUTED_VALUE"""),"3º B")</f>
        <v>3º B</v>
      </c>
      <c r="D187" s="212"/>
      <c r="E187" s="213"/>
      <c r="F187" s="212"/>
      <c r="G187" s="212"/>
      <c r="H187" s="212"/>
      <c r="I187" s="212">
        <f>IFERROR(__xludf.DUMMYFUNCTION("""COMPUTED_VALUE"""),1.0)</f>
        <v>1</v>
      </c>
      <c r="J187" s="212"/>
      <c r="K187" s="212" t="str">
        <f>IFERROR(__xludf.DUMMYFUNCTION("""COMPUTED_VALUE"""),"Orientación")</f>
        <v>Orientación</v>
      </c>
      <c r="L187" s="212" t="str">
        <f>IFERROR(__xludf.DUMMYFUNCTION("""COMPUTED_VALUE"""),"Nicolás Leonel Mai")</f>
        <v>Nicolás Leonel Mai</v>
      </c>
      <c r="M187" s="212" t="str">
        <f>IFERROR(__xludf.DUMMYFUNCTION("""COMPUTED_VALUE"""),"Nelson Aquino")</f>
        <v>Nelson Aquino</v>
      </c>
      <c r="N187" s="212"/>
      <c r="O187" s="212" t="str">
        <f>IFERROR(__xludf.DUMMYFUNCTION("""COMPUTED_VALUE"""),"Juan Ignacio Cacciamano")</f>
        <v>Juan Ignacio Cacciamano</v>
      </c>
      <c r="P187" s="212" t="str">
        <f>IFERROR(__xludf.DUMMYFUNCTION("""COMPUTED_VALUE"""),"Orientacion")</f>
        <v>Orientacion</v>
      </c>
      <c r="Q187" s="212" t="str">
        <f>IFERROR(__xludf.DUMMYFUNCTION("""COMPUTED_VALUE"""),"Nuevo x baja de profesor")</f>
        <v>Nuevo x baja de profesor</v>
      </c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</row>
    <row r="188">
      <c r="A188" s="210" t="str">
        <f t="shared" si="1"/>
        <v>Verónica Desivo</v>
      </c>
      <c r="B188" s="210">
        <f>IFERROR(__xludf.DUMMYFUNCTION("""COMPUTED_VALUE"""),14.0)</f>
        <v>14</v>
      </c>
      <c r="C188" s="211" t="str">
        <f>IFERROR(__xludf.DUMMYFUNCTION("""COMPUTED_VALUE"""),"3º A")</f>
        <v>3º A</v>
      </c>
      <c r="D188" s="212"/>
      <c r="E188" s="213"/>
      <c r="F188" s="212"/>
      <c r="G188" s="212" t="str">
        <f>IFERROR(__xludf.DUMMYFUNCTION("""COMPUTED_VALUE"""),"si")</f>
        <v>si</v>
      </c>
      <c r="H188" s="212"/>
      <c r="I188" s="212">
        <f>IFERROR(__xludf.DUMMYFUNCTION("""COMPUTED_VALUE"""),2.0)</f>
        <v>2</v>
      </c>
      <c r="J188" s="212"/>
      <c r="K188" s="212" t="str">
        <f>IFERROR(__xludf.DUMMYFUNCTION("""COMPUTED_VALUE"""),"Physics &amp; Chemistry")</f>
        <v>Physics &amp; Chemistry</v>
      </c>
      <c r="L188" s="212" t="str">
        <f>IFERROR(__xludf.DUMMYFUNCTION("""COMPUTED_VALUE"""),"Sabrina Adriana Ferrino")</f>
        <v>Sabrina Adriana Ferrino</v>
      </c>
      <c r="M188" s="212"/>
      <c r="N188" s="212"/>
      <c r="O188" s="212" t="str">
        <f>IFERROR(__xludf.DUMMYFUNCTION("""COMPUTED_VALUE"""),"Verónica Desivo")</f>
        <v>Verónica Desivo</v>
      </c>
      <c r="P188" s="212" t="str">
        <f>IFERROR(__xludf.DUMMYFUNCTION("""COMPUTED_VALUE"""),"Exactas")</f>
        <v>Exactas</v>
      </c>
      <c r="Q188" s="212" t="str">
        <f>IFERROR(__xludf.DUMMYFUNCTION("""COMPUTED_VALUE"""),"Nuevo x baja de profesor")</f>
        <v>Nuevo x baja de profesor</v>
      </c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</row>
    <row r="189">
      <c r="A189" s="210" t="str">
        <f t="shared" si="1"/>
        <v>Valeria Cerruti</v>
      </c>
      <c r="B189" s="210">
        <f>IFERROR(__xludf.DUMMYFUNCTION("""COMPUTED_VALUE"""),14.0)</f>
        <v>14</v>
      </c>
      <c r="C189" s="211" t="str">
        <f>IFERROR(__xludf.DUMMYFUNCTION("""COMPUTED_VALUE"""),"3º B")</f>
        <v>3º B</v>
      </c>
      <c r="D189" s="212"/>
      <c r="E189" s="213"/>
      <c r="F189" s="212"/>
      <c r="G189" s="212" t="str">
        <f>IFERROR(__xludf.DUMMYFUNCTION("""COMPUTED_VALUE"""),"si")</f>
        <v>si</v>
      </c>
      <c r="H189" s="212"/>
      <c r="I189" s="212">
        <f>IFERROR(__xludf.DUMMYFUNCTION("""COMPUTED_VALUE"""),2.0)</f>
        <v>2</v>
      </c>
      <c r="J189" s="212"/>
      <c r="K189" s="212" t="str">
        <f>IFERROR(__xludf.DUMMYFUNCTION("""COMPUTED_VALUE"""),"Physics &amp; Chemistry")</f>
        <v>Physics &amp; Chemistry</v>
      </c>
      <c r="L189" s="212" t="str">
        <f>IFERROR(__xludf.DUMMYFUNCTION("""COMPUTED_VALUE"""),"Pablo Baeck")</f>
        <v>Pablo Baeck</v>
      </c>
      <c r="M189" s="212"/>
      <c r="N189" s="212"/>
      <c r="O189" s="212" t="str">
        <f>IFERROR(__xludf.DUMMYFUNCTION("""COMPUTED_VALUE"""),"Valeria Cerruti")</f>
        <v>Valeria Cerruti</v>
      </c>
      <c r="P189" s="212" t="str">
        <f>IFERROR(__xludf.DUMMYFUNCTION("""COMPUTED_VALUE"""),"Exactas")</f>
        <v>Exactas</v>
      </c>
      <c r="Q189" s="212" t="str">
        <f>IFERROR(__xludf.DUMMYFUNCTION("""COMPUTED_VALUE"""),"Nuevo x baja de profesor")</f>
        <v>Nuevo x baja de profesor</v>
      </c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</row>
    <row r="190">
      <c r="A190" s="210" t="str">
        <f t="shared" si="1"/>
        <v>Valeria Denise Carmona</v>
      </c>
      <c r="B190" s="210">
        <f>IFERROR(__xludf.DUMMYFUNCTION("""COMPUTED_VALUE"""),15.0)</f>
        <v>15</v>
      </c>
      <c r="C190" s="211" t="str">
        <f>IFERROR(__xludf.DUMMYFUNCTION("""COMPUTED_VALUE"""),"3º A")</f>
        <v>3º A</v>
      </c>
      <c r="D190" s="212"/>
      <c r="E190" s="213"/>
      <c r="F190" s="212"/>
      <c r="G190" s="212"/>
      <c r="H190" s="212"/>
      <c r="I190" s="212">
        <f>IFERROR(__xludf.DUMMYFUNCTION("""COMPUTED_VALUE"""),2.0)</f>
        <v>2</v>
      </c>
      <c r="J190" s="212"/>
      <c r="K190" s="212" t="str">
        <f>IFERROR(__xludf.DUMMYFUNCTION("""COMPUTED_VALUE"""),"Portugués")</f>
        <v>Portugués</v>
      </c>
      <c r="L190" s="212" t="str">
        <f>IFERROR(__xludf.DUMMYFUNCTION("""COMPUTED_VALUE"""),"Christiane Bentes")</f>
        <v>Christiane Bentes</v>
      </c>
      <c r="M190" s="212"/>
      <c r="N190" s="212"/>
      <c r="O190" s="212" t="str">
        <f>IFERROR(__xludf.DUMMYFUNCTION("""COMPUTED_VALUE"""),"Valeria Denise Carmona")</f>
        <v>Valeria Denise Carmona</v>
      </c>
      <c r="P190" s="212" t="str">
        <f>IFERROR(__xludf.DUMMYFUNCTION("""COMPUTED_VALUE"""),"Expresion")</f>
        <v>Expresion</v>
      </c>
      <c r="Q190" s="212" t="str">
        <f>IFERROR(__xludf.DUMMYFUNCTION("""COMPUTED_VALUE"""),"Nuevo")</f>
        <v>Nuevo</v>
      </c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</row>
    <row r="191">
      <c r="A191" s="210" t="str">
        <f t="shared" si="1"/>
        <v>Valeria Denise Carmona</v>
      </c>
      <c r="B191" s="210">
        <f>IFERROR(__xludf.DUMMYFUNCTION("""COMPUTED_VALUE"""),15.0)</f>
        <v>15</v>
      </c>
      <c r="C191" s="211" t="str">
        <f>IFERROR(__xludf.DUMMYFUNCTION("""COMPUTED_VALUE"""),"3º B")</f>
        <v>3º B</v>
      </c>
      <c r="D191" s="212"/>
      <c r="E191" s="213"/>
      <c r="F191" s="212"/>
      <c r="G191" s="212"/>
      <c r="H191" s="212"/>
      <c r="I191" s="212">
        <f>IFERROR(__xludf.DUMMYFUNCTION("""COMPUTED_VALUE"""),2.0)</f>
        <v>2</v>
      </c>
      <c r="J191" s="212"/>
      <c r="K191" s="212" t="str">
        <f>IFERROR(__xludf.DUMMYFUNCTION("""COMPUTED_VALUE"""),"Portugués")</f>
        <v>Portugués</v>
      </c>
      <c r="L191" s="212" t="str">
        <f>IFERROR(__xludf.DUMMYFUNCTION("""COMPUTED_VALUE"""),"Valeria Denise Carmona")</f>
        <v>Valeria Denise Carmona</v>
      </c>
      <c r="M191" s="212"/>
      <c r="N191" s="212"/>
      <c r="O191" s="212" t="str">
        <f>IFERROR(__xludf.DUMMYFUNCTION("""COMPUTED_VALUE"""),"Valeria Denise Carmona")</f>
        <v>Valeria Denise Carmona</v>
      </c>
      <c r="P191" s="212" t="str">
        <f>IFERROR(__xludf.DUMMYFUNCTION("""COMPUTED_VALUE"""),"Expresion")</f>
        <v>Expresion</v>
      </c>
      <c r="Q191" s="212" t="str">
        <f>IFERROR(__xludf.DUMMYFUNCTION("""COMPUTED_VALUE"""),"Mantiene")</f>
        <v>Mantiene</v>
      </c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</row>
    <row r="192">
      <c r="A192" s="210" t="str">
        <f t="shared" si="1"/>
        <v>Roberta Ludueña</v>
      </c>
      <c r="B192" s="210">
        <f>IFERROR(__xludf.DUMMYFUNCTION("""COMPUTED_VALUE"""),16.0)</f>
        <v>16</v>
      </c>
      <c r="C192" s="211" t="str">
        <f>IFERROR(__xludf.DUMMYFUNCTION("""COMPUTED_VALUE"""),"3º A")</f>
        <v>3º A</v>
      </c>
      <c r="D192" s="212"/>
      <c r="E192" s="213"/>
      <c r="F192" s="212"/>
      <c r="G192" s="212" t="str">
        <f>IFERROR(__xludf.DUMMYFUNCTION("""COMPUTED_VALUE"""),"si")</f>
        <v>si</v>
      </c>
      <c r="H192" s="212"/>
      <c r="I192" s="212">
        <f>IFERROR(__xludf.DUMMYFUNCTION("""COMPUTED_VALUE"""),4.0)</f>
        <v>4</v>
      </c>
      <c r="J192" s="212"/>
      <c r="K192" s="212" t="str">
        <f>IFERROR(__xludf.DUMMYFUNCTION("""COMPUTED_VALUE"""),"Prácticas del Lenguaje")</f>
        <v>Prácticas del Lenguaje</v>
      </c>
      <c r="L192" s="212" t="str">
        <f>IFERROR(__xludf.DUMMYFUNCTION("""COMPUTED_VALUE"""),"Soledad Vilar")</f>
        <v>Soledad Vilar</v>
      </c>
      <c r="M192" s="212"/>
      <c r="N192" s="212"/>
      <c r="O192" s="212" t="str">
        <f>IFERROR(__xludf.DUMMYFUNCTION("""COMPUTED_VALUE"""),"Roberta Ludueña")</f>
        <v>Roberta Ludueña</v>
      </c>
      <c r="P192" s="212" t="str">
        <f>IFERROR(__xludf.DUMMYFUNCTION("""COMPUTED_VALUE"""),"Expresion")</f>
        <v>Expresion</v>
      </c>
      <c r="Q192" s="212" t="str">
        <f>IFERROR(__xludf.DUMMYFUNCTION("""COMPUTED_VALUE"""),"Nuevo")</f>
        <v>Nuevo</v>
      </c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</row>
    <row r="193">
      <c r="A193" s="210" t="str">
        <f t="shared" si="1"/>
        <v>Roberta Ludueña</v>
      </c>
      <c r="B193" s="210">
        <f>IFERROR(__xludf.DUMMYFUNCTION("""COMPUTED_VALUE"""),16.0)</f>
        <v>16</v>
      </c>
      <c r="C193" s="211" t="str">
        <f>IFERROR(__xludf.DUMMYFUNCTION("""COMPUTED_VALUE"""),"3º B")</f>
        <v>3º B</v>
      </c>
      <c r="D193" s="212"/>
      <c r="E193" s="213"/>
      <c r="F193" s="212"/>
      <c r="G193" s="212" t="str">
        <f>IFERROR(__xludf.DUMMYFUNCTION("""COMPUTED_VALUE"""),"si")</f>
        <v>si</v>
      </c>
      <c r="H193" s="212"/>
      <c r="I193" s="212">
        <f>IFERROR(__xludf.DUMMYFUNCTION("""COMPUTED_VALUE"""),4.0)</f>
        <v>4</v>
      </c>
      <c r="J193" s="212"/>
      <c r="K193" s="212" t="str">
        <f>IFERROR(__xludf.DUMMYFUNCTION("""COMPUTED_VALUE"""),"Prácticas del Lenguaje")</f>
        <v>Prácticas del Lenguaje</v>
      </c>
      <c r="L193" s="212" t="str">
        <f>IFERROR(__xludf.DUMMYFUNCTION("""COMPUTED_VALUE"""),"Roberta Ludueña")</f>
        <v>Roberta Ludueña</v>
      </c>
      <c r="M193" s="212"/>
      <c r="N193" s="212"/>
      <c r="O193" s="212" t="str">
        <f>IFERROR(__xludf.DUMMYFUNCTION("""COMPUTED_VALUE"""),"Roberta Ludueña")</f>
        <v>Roberta Ludueña</v>
      </c>
      <c r="P193" s="212" t="str">
        <f>IFERROR(__xludf.DUMMYFUNCTION("""COMPUTED_VALUE"""),"Expresion")</f>
        <v>Expresion</v>
      </c>
      <c r="Q193" s="212" t="str">
        <f>IFERROR(__xludf.DUMMYFUNCTION("""COMPUTED_VALUE"""),"Mantiene")</f>
        <v>Mantiene</v>
      </c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</row>
    <row r="194">
      <c r="A194" s="210" t="str">
        <f t="shared" si="1"/>
        <v/>
      </c>
      <c r="B194" s="210">
        <f>IFERROR(__xludf.DUMMYFUNCTION("""COMPUTED_VALUE"""),17.0)</f>
        <v>17</v>
      </c>
      <c r="C194" s="211" t="str">
        <f>IFERROR(__xludf.DUMMYFUNCTION("""COMPUTED_VALUE"""),"3º A")</f>
        <v>3º A</v>
      </c>
      <c r="D194" s="212"/>
      <c r="E194" s="213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 t="str">
        <f>IFERROR(__xludf.DUMMYFUNCTION("""COMPUTED_VALUE"""),"")</f>
        <v/>
      </c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</row>
    <row r="195">
      <c r="A195" s="210" t="str">
        <f t="shared" si="1"/>
        <v/>
      </c>
      <c r="B195" s="210">
        <f>IFERROR(__xludf.DUMMYFUNCTION("""COMPUTED_VALUE"""),17.0)</f>
        <v>17</v>
      </c>
      <c r="C195" s="211" t="str">
        <f>IFERROR(__xludf.DUMMYFUNCTION("""COMPUTED_VALUE"""),"3º B")</f>
        <v>3º B</v>
      </c>
      <c r="D195" s="212"/>
      <c r="E195" s="213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 t="str">
        <f>IFERROR(__xludf.DUMMYFUNCTION("""COMPUTED_VALUE"""),"")</f>
        <v/>
      </c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</row>
    <row r="196">
      <c r="A196" s="210" t="str">
        <f t="shared" si="1"/>
        <v/>
      </c>
      <c r="B196" s="210">
        <f>IFERROR(__xludf.DUMMYFUNCTION("""COMPUTED_VALUE"""),18.0)</f>
        <v>18</v>
      </c>
      <c r="C196" s="211" t="str">
        <f>IFERROR(__xludf.DUMMYFUNCTION("""COMPUTED_VALUE"""),"3º A")</f>
        <v>3º A</v>
      </c>
      <c r="D196" s="212"/>
      <c r="E196" s="213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 t="str">
        <f>IFERROR(__xludf.DUMMYFUNCTION("""COMPUTED_VALUE"""),"")</f>
        <v/>
      </c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</row>
    <row r="197">
      <c r="A197" s="210" t="str">
        <f t="shared" si="1"/>
        <v/>
      </c>
      <c r="B197" s="210">
        <f>IFERROR(__xludf.DUMMYFUNCTION("""COMPUTED_VALUE"""),18.0)</f>
        <v>18</v>
      </c>
      <c r="C197" s="211" t="str">
        <f>IFERROR(__xludf.DUMMYFUNCTION("""COMPUTED_VALUE"""),"3º B")</f>
        <v>3º B</v>
      </c>
      <c r="D197" s="212"/>
      <c r="E197" s="213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 t="str">
        <f>IFERROR(__xludf.DUMMYFUNCTION("""COMPUTED_VALUE"""),"")</f>
        <v/>
      </c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</row>
    <row r="198">
      <c r="A198" s="210" t="str">
        <f t="shared" si="1"/>
        <v/>
      </c>
      <c r="B198" s="210">
        <f>IFERROR(__xludf.DUMMYFUNCTION("""COMPUTED_VALUE"""),19.0)</f>
        <v>19</v>
      </c>
      <c r="C198" s="211" t="str">
        <f>IFERROR(__xludf.DUMMYFUNCTION("""COMPUTED_VALUE"""),"3º A")</f>
        <v>3º A</v>
      </c>
      <c r="D198" s="212"/>
      <c r="E198" s="213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 t="str">
        <f>IFERROR(__xludf.DUMMYFUNCTION("""COMPUTED_VALUE"""),"")</f>
        <v/>
      </c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</row>
    <row r="199">
      <c r="A199" s="210" t="str">
        <f t="shared" si="1"/>
        <v/>
      </c>
      <c r="B199" s="210">
        <f>IFERROR(__xludf.DUMMYFUNCTION("""COMPUTED_VALUE"""),19.0)</f>
        <v>19</v>
      </c>
      <c r="C199" s="211" t="str">
        <f>IFERROR(__xludf.DUMMYFUNCTION("""COMPUTED_VALUE"""),"3º B")</f>
        <v>3º B</v>
      </c>
      <c r="D199" s="212"/>
      <c r="E199" s="213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 t="str">
        <f>IFERROR(__xludf.DUMMYFUNCTION("""COMPUTED_VALUE"""),"")</f>
        <v/>
      </c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</row>
    <row r="200">
      <c r="A200" s="210" t="str">
        <f t="shared" si="1"/>
        <v/>
      </c>
      <c r="B200" s="210">
        <f>IFERROR(__xludf.DUMMYFUNCTION("""COMPUTED_VALUE"""),20.0)</f>
        <v>20</v>
      </c>
      <c r="C200" s="211" t="str">
        <f>IFERROR(__xludf.DUMMYFUNCTION("""COMPUTED_VALUE"""),"3º A")</f>
        <v>3º A</v>
      </c>
      <c r="D200" s="212"/>
      <c r="E200" s="213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 t="str">
        <f>IFERROR(__xludf.DUMMYFUNCTION("""COMPUTED_VALUE"""),"")</f>
        <v/>
      </c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</row>
    <row r="201">
      <c r="A201" s="210" t="str">
        <f t="shared" si="1"/>
        <v/>
      </c>
      <c r="B201" s="210">
        <f>IFERROR(__xludf.DUMMYFUNCTION("""COMPUTED_VALUE"""),20.0)</f>
        <v>20</v>
      </c>
      <c r="C201" s="211" t="str">
        <f>IFERROR(__xludf.DUMMYFUNCTION("""COMPUTED_VALUE"""),"3º B")</f>
        <v>3º B</v>
      </c>
      <c r="D201" s="212"/>
      <c r="E201" s="213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 t="str">
        <f>IFERROR(__xludf.DUMMYFUNCTION("""COMPUTED_VALUE"""),"")</f>
        <v/>
      </c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</row>
    <row r="202">
      <c r="A202" s="210" t="str">
        <f t="shared" si="1"/>
        <v/>
      </c>
      <c r="B202" s="210">
        <f>IFERROR(__xludf.DUMMYFUNCTION("""COMPUTED_VALUE"""),21.0)</f>
        <v>21</v>
      </c>
      <c r="C202" s="211" t="str">
        <f>IFERROR(__xludf.DUMMYFUNCTION("""COMPUTED_VALUE"""),"3º A")</f>
        <v>3º A</v>
      </c>
      <c r="D202" s="212"/>
      <c r="E202" s="213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 t="str">
        <f>IFERROR(__xludf.DUMMYFUNCTION("""COMPUTED_VALUE"""),"")</f>
        <v/>
      </c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</row>
    <row r="203">
      <c r="A203" s="210" t="str">
        <f t="shared" si="1"/>
        <v/>
      </c>
      <c r="B203" s="210">
        <f>IFERROR(__xludf.DUMMYFUNCTION("""COMPUTED_VALUE"""),21.0)</f>
        <v>21</v>
      </c>
      <c r="C203" s="211" t="str">
        <f>IFERROR(__xludf.DUMMYFUNCTION("""COMPUTED_VALUE"""),"3º B")</f>
        <v>3º B</v>
      </c>
      <c r="D203" s="212"/>
      <c r="E203" s="213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 t="str">
        <f>IFERROR(__xludf.DUMMYFUNCTION("""COMPUTED_VALUE"""),"")</f>
        <v/>
      </c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</row>
    <row r="204">
      <c r="A204" s="210" t="str">
        <f t="shared" si="1"/>
        <v/>
      </c>
      <c r="B204" s="210">
        <f>IFERROR(__xludf.DUMMYFUNCTION("""COMPUTED_VALUE"""),22.0)</f>
        <v>22</v>
      </c>
      <c r="C204" s="211" t="str">
        <f>IFERROR(__xludf.DUMMYFUNCTION("""COMPUTED_VALUE"""),"3º A")</f>
        <v>3º A</v>
      </c>
      <c r="D204" s="212"/>
      <c r="E204" s="213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 t="str">
        <f>IFERROR(__xludf.DUMMYFUNCTION("""COMPUTED_VALUE"""),"")</f>
        <v/>
      </c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</row>
    <row r="205">
      <c r="A205" s="210" t="str">
        <f t="shared" si="1"/>
        <v/>
      </c>
      <c r="B205" s="210">
        <f>IFERROR(__xludf.DUMMYFUNCTION("""COMPUTED_VALUE"""),22.0)</f>
        <v>22</v>
      </c>
      <c r="C205" s="211" t="str">
        <f>IFERROR(__xludf.DUMMYFUNCTION("""COMPUTED_VALUE"""),"3º B")</f>
        <v>3º B</v>
      </c>
      <c r="D205" s="212"/>
      <c r="E205" s="213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 t="str">
        <f>IFERROR(__xludf.DUMMYFUNCTION("""COMPUTED_VALUE"""),"")</f>
        <v/>
      </c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</row>
    <row r="206">
      <c r="A206" s="210" t="str">
        <f t="shared" si="1"/>
        <v/>
      </c>
      <c r="B206" s="210">
        <f>IFERROR(__xludf.DUMMYFUNCTION("""COMPUTED_VALUE"""),23.0)</f>
        <v>23</v>
      </c>
      <c r="C206" s="211" t="str">
        <f>IFERROR(__xludf.DUMMYFUNCTION("""COMPUTED_VALUE"""),"3º A")</f>
        <v>3º A</v>
      </c>
      <c r="D206" s="212"/>
      <c r="E206" s="213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 t="str">
        <f>IFERROR(__xludf.DUMMYFUNCTION("""COMPUTED_VALUE"""),"")</f>
        <v/>
      </c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</row>
    <row r="207">
      <c r="A207" s="210" t="str">
        <f t="shared" si="1"/>
        <v/>
      </c>
      <c r="B207" s="210">
        <f>IFERROR(__xludf.DUMMYFUNCTION("""COMPUTED_VALUE"""),23.0)</f>
        <v>23</v>
      </c>
      <c r="C207" s="211" t="str">
        <f>IFERROR(__xludf.DUMMYFUNCTION("""COMPUTED_VALUE"""),"3º B")</f>
        <v>3º B</v>
      </c>
      <c r="D207" s="212"/>
      <c r="E207" s="213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 t="str">
        <f>IFERROR(__xludf.DUMMYFUNCTION("""COMPUTED_VALUE"""),"")</f>
        <v/>
      </c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</row>
    <row r="208">
      <c r="A208" s="210" t="str">
        <f t="shared" si="1"/>
        <v/>
      </c>
      <c r="B208" s="210">
        <f>IFERROR(__xludf.DUMMYFUNCTION("""COMPUTED_VALUE"""),24.0)</f>
        <v>24</v>
      </c>
      <c r="C208" s="211" t="str">
        <f>IFERROR(__xludf.DUMMYFUNCTION("""COMPUTED_VALUE"""),"3º A")</f>
        <v>3º A</v>
      </c>
      <c r="D208" s="212"/>
      <c r="E208" s="213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 t="str">
        <f>IFERROR(__xludf.DUMMYFUNCTION("""COMPUTED_VALUE"""),"")</f>
        <v/>
      </c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</row>
    <row r="209">
      <c r="A209" s="210" t="str">
        <f t="shared" si="1"/>
        <v/>
      </c>
      <c r="B209" s="210">
        <f>IFERROR(__xludf.DUMMYFUNCTION("""COMPUTED_VALUE"""),24.0)</f>
        <v>24</v>
      </c>
      <c r="C209" s="211" t="str">
        <f>IFERROR(__xludf.DUMMYFUNCTION("""COMPUTED_VALUE"""),"3º B")</f>
        <v>3º B</v>
      </c>
      <c r="D209" s="212"/>
      <c r="E209" s="213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 t="str">
        <f>IFERROR(__xludf.DUMMYFUNCTION("""COMPUTED_VALUE"""),"")</f>
        <v/>
      </c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</row>
    <row r="210">
      <c r="A210" s="210" t="str">
        <f t="shared" si="1"/>
        <v/>
      </c>
      <c r="B210" s="210">
        <f>IFERROR(__xludf.DUMMYFUNCTION("""COMPUTED_VALUE"""),25.0)</f>
        <v>25</v>
      </c>
      <c r="C210" s="211" t="str">
        <f>IFERROR(__xludf.DUMMYFUNCTION("""COMPUTED_VALUE"""),"3º A")</f>
        <v>3º A</v>
      </c>
      <c r="D210" s="212"/>
      <c r="E210" s="213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 t="str">
        <f>IFERROR(__xludf.DUMMYFUNCTION("""COMPUTED_VALUE"""),"")</f>
        <v/>
      </c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</row>
    <row r="211">
      <c r="A211" s="210" t="str">
        <f t="shared" si="1"/>
        <v/>
      </c>
      <c r="B211" s="210">
        <f>IFERROR(__xludf.DUMMYFUNCTION("""COMPUTED_VALUE"""),25.0)</f>
        <v>25</v>
      </c>
      <c r="C211" s="211" t="str">
        <f>IFERROR(__xludf.DUMMYFUNCTION("""COMPUTED_VALUE"""),"3º B")</f>
        <v>3º B</v>
      </c>
      <c r="D211" s="212"/>
      <c r="E211" s="213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 t="str">
        <f>IFERROR(__xludf.DUMMYFUNCTION("""COMPUTED_VALUE"""),"")</f>
        <v/>
      </c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</row>
    <row r="212">
      <c r="A212" s="210" t="str">
        <f t="shared" si="1"/>
        <v/>
      </c>
      <c r="B212" s="210">
        <f>IFERROR(__xludf.DUMMYFUNCTION("""COMPUTED_VALUE"""),26.0)</f>
        <v>26</v>
      </c>
      <c r="C212" s="211" t="str">
        <f>IFERROR(__xludf.DUMMYFUNCTION("""COMPUTED_VALUE"""),"3º A")</f>
        <v>3º A</v>
      </c>
      <c r="D212" s="212"/>
      <c r="E212" s="213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 t="str">
        <f>IFERROR(__xludf.DUMMYFUNCTION("""COMPUTED_VALUE"""),"")</f>
        <v/>
      </c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</row>
    <row r="213">
      <c r="A213" s="210" t="str">
        <f t="shared" si="1"/>
        <v/>
      </c>
      <c r="B213" s="210">
        <f>IFERROR(__xludf.DUMMYFUNCTION("""COMPUTED_VALUE"""),26.0)</f>
        <v>26</v>
      </c>
      <c r="C213" s="211" t="str">
        <f>IFERROR(__xludf.DUMMYFUNCTION("""COMPUTED_VALUE"""),"3º B")</f>
        <v>3º B</v>
      </c>
      <c r="D213" s="212"/>
      <c r="E213" s="213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 t="str">
        <f>IFERROR(__xludf.DUMMYFUNCTION("""COMPUTED_VALUE"""),"")</f>
        <v/>
      </c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</row>
    <row r="214">
      <c r="A214" s="210" t="str">
        <f t="shared" si="1"/>
        <v/>
      </c>
      <c r="B214" s="210">
        <f>IFERROR(__xludf.DUMMYFUNCTION("""COMPUTED_VALUE"""),27.0)</f>
        <v>27</v>
      </c>
      <c r="C214" s="211" t="str">
        <f>IFERROR(__xludf.DUMMYFUNCTION("""COMPUTED_VALUE"""),"3º A")</f>
        <v>3º A</v>
      </c>
      <c r="D214" s="212"/>
      <c r="E214" s="213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 t="str">
        <f>IFERROR(__xludf.DUMMYFUNCTION("""COMPUTED_VALUE"""),"")</f>
        <v/>
      </c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</row>
    <row r="215">
      <c r="A215" s="210" t="str">
        <f t="shared" si="1"/>
        <v/>
      </c>
      <c r="B215" s="210">
        <f>IFERROR(__xludf.DUMMYFUNCTION("""COMPUTED_VALUE"""),27.0)</f>
        <v>27</v>
      </c>
      <c r="C215" s="211" t="str">
        <f>IFERROR(__xludf.DUMMYFUNCTION("""COMPUTED_VALUE"""),"3º B")</f>
        <v>3º B</v>
      </c>
      <c r="D215" s="212"/>
      <c r="E215" s="213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 t="str">
        <f>IFERROR(__xludf.DUMMYFUNCTION("""COMPUTED_VALUE"""),"")</f>
        <v/>
      </c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</row>
    <row r="216">
      <c r="A216" s="210" t="str">
        <f t="shared" si="1"/>
        <v/>
      </c>
      <c r="B216" s="210">
        <f>IFERROR(__xludf.DUMMYFUNCTION("""COMPUTED_VALUE"""),28.0)</f>
        <v>28</v>
      </c>
      <c r="C216" s="211" t="str">
        <f>IFERROR(__xludf.DUMMYFUNCTION("""COMPUTED_VALUE"""),"3º A")</f>
        <v>3º A</v>
      </c>
      <c r="D216" s="212"/>
      <c r="E216" s="213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 t="str">
        <f>IFERROR(__xludf.DUMMYFUNCTION("""COMPUTED_VALUE"""),"")</f>
        <v/>
      </c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</row>
    <row r="217">
      <c r="A217" s="210" t="str">
        <f t="shared" si="1"/>
        <v/>
      </c>
      <c r="B217" s="210">
        <f>IFERROR(__xludf.DUMMYFUNCTION("""COMPUTED_VALUE"""),28.0)</f>
        <v>28</v>
      </c>
      <c r="C217" s="211" t="str">
        <f>IFERROR(__xludf.DUMMYFUNCTION("""COMPUTED_VALUE"""),"3º B")</f>
        <v>3º B</v>
      </c>
      <c r="D217" s="212"/>
      <c r="E217" s="213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 t="str">
        <f>IFERROR(__xludf.DUMMYFUNCTION("""COMPUTED_VALUE"""),"")</f>
        <v/>
      </c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</row>
    <row r="218">
      <c r="A218" s="210" t="str">
        <f t="shared" si="1"/>
        <v/>
      </c>
      <c r="B218" s="210">
        <f>IFERROR(__xludf.DUMMYFUNCTION("""COMPUTED_VALUE"""),29.0)</f>
        <v>29</v>
      </c>
      <c r="C218" s="211" t="str">
        <f>IFERROR(__xludf.DUMMYFUNCTION("""COMPUTED_VALUE"""),"3º A")</f>
        <v>3º A</v>
      </c>
      <c r="D218" s="212"/>
      <c r="E218" s="213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 t="str">
        <f>IFERROR(__xludf.DUMMYFUNCTION("""COMPUTED_VALUE"""),"")</f>
        <v/>
      </c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</row>
    <row r="219">
      <c r="A219" s="210" t="str">
        <f t="shared" si="1"/>
        <v/>
      </c>
      <c r="B219" s="210">
        <f>IFERROR(__xludf.DUMMYFUNCTION("""COMPUTED_VALUE"""),29.0)</f>
        <v>29</v>
      </c>
      <c r="C219" s="211" t="str">
        <f>IFERROR(__xludf.DUMMYFUNCTION("""COMPUTED_VALUE"""),"3º B")</f>
        <v>3º B</v>
      </c>
      <c r="D219" s="212"/>
      <c r="E219" s="213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 t="str">
        <f>IFERROR(__xludf.DUMMYFUNCTION("""COMPUTED_VALUE"""),"")</f>
        <v/>
      </c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</row>
    <row r="220">
      <c r="A220" s="210" t="str">
        <f t="shared" si="1"/>
        <v/>
      </c>
      <c r="B220" s="210">
        <f>IFERROR(__xludf.DUMMYFUNCTION("""COMPUTED_VALUE"""),30.0)</f>
        <v>30</v>
      </c>
      <c r="C220" s="211" t="str">
        <f>IFERROR(__xludf.DUMMYFUNCTION("""COMPUTED_VALUE"""),"3º A")</f>
        <v>3º A</v>
      </c>
      <c r="D220" s="212"/>
      <c r="E220" s="213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 t="str">
        <f>IFERROR(__xludf.DUMMYFUNCTION("""COMPUTED_VALUE"""),"")</f>
        <v/>
      </c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</row>
    <row r="221">
      <c r="A221" s="210" t="str">
        <f t="shared" si="1"/>
        <v/>
      </c>
      <c r="B221" s="210">
        <f>IFERROR(__xludf.DUMMYFUNCTION("""COMPUTED_VALUE"""),30.0)</f>
        <v>30</v>
      </c>
      <c r="C221" s="211" t="str">
        <f>IFERROR(__xludf.DUMMYFUNCTION("""COMPUTED_VALUE"""),"3º B")</f>
        <v>3º B</v>
      </c>
      <c r="D221" s="212"/>
      <c r="E221" s="213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 t="str">
        <f>IFERROR(__xludf.DUMMYFUNCTION("""COMPUTED_VALUE"""),"")</f>
        <v/>
      </c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</row>
    <row r="222">
      <c r="A222" s="210" t="str">
        <f t="shared" si="1"/>
        <v/>
      </c>
      <c r="B222" s="210">
        <f>IFERROR(__xludf.DUMMYFUNCTION("""COMPUTED_VALUE"""),31.0)</f>
        <v>31</v>
      </c>
      <c r="C222" s="211" t="str">
        <f>IFERROR(__xludf.DUMMYFUNCTION("""COMPUTED_VALUE"""),"3º A")</f>
        <v>3º A</v>
      </c>
      <c r="D222" s="212"/>
      <c r="E222" s="213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 t="str">
        <f>IFERROR(__xludf.DUMMYFUNCTION("""COMPUTED_VALUE"""),"")</f>
        <v/>
      </c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</row>
    <row r="223">
      <c r="A223" s="210" t="str">
        <f t="shared" si="1"/>
        <v/>
      </c>
      <c r="B223" s="210">
        <f>IFERROR(__xludf.DUMMYFUNCTION("""COMPUTED_VALUE"""),31.0)</f>
        <v>31</v>
      </c>
      <c r="C223" s="211" t="str">
        <f>IFERROR(__xludf.DUMMYFUNCTION("""COMPUTED_VALUE"""),"3º B")</f>
        <v>3º B</v>
      </c>
      <c r="D223" s="212"/>
      <c r="E223" s="213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 t="str">
        <f>IFERROR(__xludf.DUMMYFUNCTION("""COMPUTED_VALUE"""),"")</f>
        <v/>
      </c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</row>
    <row r="224">
      <c r="A224" s="210" t="str">
        <f t="shared" si="1"/>
        <v/>
      </c>
      <c r="B224" s="210">
        <f>IFERROR(__xludf.DUMMYFUNCTION("""COMPUTED_VALUE"""),32.0)</f>
        <v>32</v>
      </c>
      <c r="C224" s="211" t="str">
        <f>IFERROR(__xludf.DUMMYFUNCTION("""COMPUTED_VALUE"""),"3º A")</f>
        <v>3º A</v>
      </c>
      <c r="D224" s="212"/>
      <c r="E224" s="213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 t="str">
        <f>IFERROR(__xludf.DUMMYFUNCTION("""COMPUTED_VALUE"""),"")</f>
        <v/>
      </c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</row>
    <row r="225">
      <c r="A225" s="210" t="str">
        <f t="shared" si="1"/>
        <v/>
      </c>
      <c r="B225" s="210">
        <f>IFERROR(__xludf.DUMMYFUNCTION("""COMPUTED_VALUE"""),32.0)</f>
        <v>32</v>
      </c>
      <c r="C225" s="211" t="str">
        <f>IFERROR(__xludf.DUMMYFUNCTION("""COMPUTED_VALUE"""),"3º B")</f>
        <v>3º B</v>
      </c>
      <c r="D225" s="212"/>
      <c r="E225" s="213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 t="str">
        <f>IFERROR(__xludf.DUMMYFUNCTION("""COMPUTED_VALUE"""),"")</f>
        <v/>
      </c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</row>
    <row r="226">
      <c r="A226" s="210" t="str">
        <f t="shared" si="1"/>
        <v/>
      </c>
      <c r="B226" s="210">
        <f>IFERROR(__xludf.DUMMYFUNCTION("""COMPUTED_VALUE"""),33.0)</f>
        <v>33</v>
      </c>
      <c r="C226" s="211" t="str">
        <f>IFERROR(__xludf.DUMMYFUNCTION("""COMPUTED_VALUE"""),"3º A")</f>
        <v>3º A</v>
      </c>
      <c r="D226" s="212"/>
      <c r="E226" s="213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 t="str">
        <f>IFERROR(__xludf.DUMMYFUNCTION("""COMPUTED_VALUE"""),"")</f>
        <v/>
      </c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</row>
    <row r="227">
      <c r="A227" s="210" t="str">
        <f t="shared" si="1"/>
        <v/>
      </c>
      <c r="B227" s="210">
        <f>IFERROR(__xludf.DUMMYFUNCTION("""COMPUTED_VALUE"""),33.0)</f>
        <v>33</v>
      </c>
      <c r="C227" s="211" t="str">
        <f>IFERROR(__xludf.DUMMYFUNCTION("""COMPUTED_VALUE"""),"3º B")</f>
        <v>3º B</v>
      </c>
      <c r="D227" s="212"/>
      <c r="E227" s="213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 t="str">
        <f>IFERROR(__xludf.DUMMYFUNCTION("""COMPUTED_VALUE"""),"")</f>
        <v/>
      </c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</row>
    <row r="228">
      <c r="A228" s="210" t="str">
        <f t="shared" si="1"/>
        <v/>
      </c>
      <c r="B228" s="210">
        <f>IFERROR(__xludf.DUMMYFUNCTION("""COMPUTED_VALUE"""),34.0)</f>
        <v>34</v>
      </c>
      <c r="C228" s="211" t="str">
        <f>IFERROR(__xludf.DUMMYFUNCTION("""COMPUTED_VALUE"""),"3º A")</f>
        <v>3º A</v>
      </c>
      <c r="D228" s="212"/>
      <c r="E228" s="213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 t="str">
        <f>IFERROR(__xludf.DUMMYFUNCTION("""COMPUTED_VALUE"""),"")</f>
        <v/>
      </c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</row>
    <row r="229">
      <c r="A229" s="210" t="str">
        <f t="shared" si="1"/>
        <v/>
      </c>
      <c r="B229" s="210">
        <f>IFERROR(__xludf.DUMMYFUNCTION("""COMPUTED_VALUE"""),34.0)</f>
        <v>34</v>
      </c>
      <c r="C229" s="211" t="str">
        <f>IFERROR(__xludf.DUMMYFUNCTION("""COMPUTED_VALUE"""),"3º B")</f>
        <v>3º B</v>
      </c>
      <c r="D229" s="212"/>
      <c r="E229" s="213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 t="str">
        <f>IFERROR(__xludf.DUMMYFUNCTION("""COMPUTED_VALUE"""),"")</f>
        <v/>
      </c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</row>
    <row r="230">
      <c r="A230" s="210" t="str">
        <f t="shared" si="1"/>
        <v/>
      </c>
      <c r="B230" s="210">
        <f>IFERROR(__xludf.DUMMYFUNCTION("""COMPUTED_VALUE"""),35.0)</f>
        <v>35</v>
      </c>
      <c r="C230" s="211" t="str">
        <f>IFERROR(__xludf.DUMMYFUNCTION("""COMPUTED_VALUE"""),"3º A")</f>
        <v>3º A</v>
      </c>
      <c r="D230" s="212"/>
      <c r="E230" s="213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 t="str">
        <f>IFERROR(__xludf.DUMMYFUNCTION("""COMPUTED_VALUE"""),"")</f>
        <v/>
      </c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</row>
    <row r="231">
      <c r="A231" s="210" t="str">
        <f t="shared" si="1"/>
        <v/>
      </c>
      <c r="B231" s="210">
        <f>IFERROR(__xludf.DUMMYFUNCTION("""COMPUTED_VALUE"""),35.0)</f>
        <v>35</v>
      </c>
      <c r="C231" s="211" t="str">
        <f>IFERROR(__xludf.DUMMYFUNCTION("""COMPUTED_VALUE"""),"3º B")</f>
        <v>3º B</v>
      </c>
      <c r="D231" s="212"/>
      <c r="E231" s="213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 t="str">
        <f>IFERROR(__xludf.DUMMYFUNCTION("""COMPUTED_VALUE"""),"")</f>
        <v/>
      </c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</row>
    <row r="232">
      <c r="A232" s="210" t="str">
        <f t="shared" si="1"/>
        <v/>
      </c>
      <c r="B232" s="210">
        <f>IFERROR(__xludf.DUMMYFUNCTION("""COMPUTED_VALUE"""),36.0)</f>
        <v>36</v>
      </c>
      <c r="C232" s="211" t="str">
        <f>IFERROR(__xludf.DUMMYFUNCTION("""COMPUTED_VALUE"""),"3º A")</f>
        <v>3º A</v>
      </c>
      <c r="D232" s="212"/>
      <c r="E232" s="213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 t="str">
        <f>IFERROR(__xludf.DUMMYFUNCTION("""COMPUTED_VALUE"""),"")</f>
        <v/>
      </c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</row>
    <row r="233">
      <c r="A233" s="210" t="str">
        <f t="shared" si="1"/>
        <v/>
      </c>
      <c r="B233" s="210">
        <f>IFERROR(__xludf.DUMMYFUNCTION("""COMPUTED_VALUE"""),36.0)</f>
        <v>36</v>
      </c>
      <c r="C233" s="211" t="str">
        <f>IFERROR(__xludf.DUMMYFUNCTION("""COMPUTED_VALUE"""),"3º B")</f>
        <v>3º B</v>
      </c>
      <c r="D233" s="212"/>
      <c r="E233" s="213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 t="str">
        <f>IFERROR(__xludf.DUMMYFUNCTION("""COMPUTED_VALUE"""),"")</f>
        <v/>
      </c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</row>
    <row r="234">
      <c r="A234" s="210" t="str">
        <f t="shared" si="1"/>
        <v/>
      </c>
      <c r="B234" s="210">
        <f>IFERROR(__xludf.DUMMYFUNCTION("""COMPUTED_VALUE"""),37.0)</f>
        <v>37</v>
      </c>
      <c r="C234" s="211" t="str">
        <f>IFERROR(__xludf.DUMMYFUNCTION("""COMPUTED_VALUE"""),"3º A")</f>
        <v>3º A</v>
      </c>
      <c r="D234" s="212"/>
      <c r="E234" s="213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 t="str">
        <f>IFERROR(__xludf.DUMMYFUNCTION("""COMPUTED_VALUE"""),"")</f>
        <v/>
      </c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</row>
    <row r="235">
      <c r="A235" s="210" t="str">
        <f t="shared" si="1"/>
        <v/>
      </c>
      <c r="B235" s="210">
        <f>IFERROR(__xludf.DUMMYFUNCTION("""COMPUTED_VALUE"""),37.0)</f>
        <v>37</v>
      </c>
      <c r="C235" s="211" t="str">
        <f>IFERROR(__xludf.DUMMYFUNCTION("""COMPUTED_VALUE"""),"3º B")</f>
        <v>3º B</v>
      </c>
      <c r="D235" s="212"/>
      <c r="E235" s="213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 t="str">
        <f>IFERROR(__xludf.DUMMYFUNCTION("""COMPUTED_VALUE"""),"")</f>
        <v/>
      </c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</row>
    <row r="236">
      <c r="A236" s="210" t="str">
        <f t="shared" si="1"/>
        <v/>
      </c>
      <c r="B236" s="210">
        <f>IFERROR(__xludf.DUMMYFUNCTION("""COMPUTED_VALUE"""),38.0)</f>
        <v>38</v>
      </c>
      <c r="C236" s="211" t="str">
        <f>IFERROR(__xludf.DUMMYFUNCTION("""COMPUTED_VALUE"""),"3º A")</f>
        <v>3º A</v>
      </c>
      <c r="D236" s="212"/>
      <c r="E236" s="213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 t="str">
        <f>IFERROR(__xludf.DUMMYFUNCTION("""COMPUTED_VALUE"""),"")</f>
        <v/>
      </c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</row>
    <row r="237">
      <c r="A237" s="210" t="str">
        <f t="shared" si="1"/>
        <v/>
      </c>
      <c r="B237" s="210">
        <f>IFERROR(__xludf.DUMMYFUNCTION("""COMPUTED_VALUE"""),38.0)</f>
        <v>38</v>
      </c>
      <c r="C237" s="211" t="str">
        <f>IFERROR(__xludf.DUMMYFUNCTION("""COMPUTED_VALUE"""),"3º B")</f>
        <v>3º B</v>
      </c>
      <c r="D237" s="212"/>
      <c r="E237" s="213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 t="str">
        <f>IFERROR(__xludf.DUMMYFUNCTION("""COMPUTED_VALUE"""),"")</f>
        <v/>
      </c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</row>
    <row r="238">
      <c r="A238" s="210" t="str">
        <f t="shared" si="1"/>
        <v/>
      </c>
      <c r="B238" s="210">
        <f>IFERROR(__xludf.DUMMYFUNCTION("""COMPUTED_VALUE"""),39.0)</f>
        <v>39</v>
      </c>
      <c r="C238" s="211" t="str">
        <f>IFERROR(__xludf.DUMMYFUNCTION("""COMPUTED_VALUE"""),"3º A")</f>
        <v>3º A</v>
      </c>
      <c r="D238" s="212"/>
      <c r="E238" s="213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 t="str">
        <f>IFERROR(__xludf.DUMMYFUNCTION("""COMPUTED_VALUE"""),"")</f>
        <v/>
      </c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</row>
    <row r="239">
      <c r="A239" s="210" t="str">
        <f t="shared" si="1"/>
        <v/>
      </c>
      <c r="B239" s="210">
        <f>IFERROR(__xludf.DUMMYFUNCTION("""COMPUTED_VALUE"""),39.0)</f>
        <v>39</v>
      </c>
      <c r="C239" s="211" t="str">
        <f>IFERROR(__xludf.DUMMYFUNCTION("""COMPUTED_VALUE"""),"3º B")</f>
        <v>3º B</v>
      </c>
      <c r="D239" s="212"/>
      <c r="E239" s="213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 t="str">
        <f>IFERROR(__xludf.DUMMYFUNCTION("""COMPUTED_VALUE"""),"")</f>
        <v/>
      </c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</row>
    <row r="240">
      <c r="A240" s="210" t="str">
        <f t="shared" si="1"/>
        <v/>
      </c>
      <c r="B240" s="210">
        <f>IFERROR(__xludf.DUMMYFUNCTION("""COMPUTED_VALUE"""),40.0)</f>
        <v>40</v>
      </c>
      <c r="C240" s="211" t="str">
        <f>IFERROR(__xludf.DUMMYFUNCTION("""COMPUTED_VALUE"""),"3º A")</f>
        <v>3º A</v>
      </c>
      <c r="D240" s="212"/>
      <c r="E240" s="213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 t="str">
        <f>IFERROR(__xludf.DUMMYFUNCTION("""COMPUTED_VALUE"""),"")</f>
        <v/>
      </c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</row>
    <row r="241">
      <c r="A241" s="210" t="str">
        <f t="shared" si="1"/>
        <v/>
      </c>
      <c r="B241" s="210">
        <f>IFERROR(__xludf.DUMMYFUNCTION("""COMPUTED_VALUE"""),40.0)</f>
        <v>40</v>
      </c>
      <c r="C241" s="211" t="str">
        <f>IFERROR(__xludf.DUMMYFUNCTION("""COMPUTED_VALUE"""),"3º B")</f>
        <v>3º B</v>
      </c>
      <c r="D241" s="212"/>
      <c r="E241" s="213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 t="str">
        <f>IFERROR(__xludf.DUMMYFUNCTION("""COMPUTED_VALUE"""),"")</f>
        <v/>
      </c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</row>
    <row r="242">
      <c r="A242" s="210" t="str">
        <f t="shared" si="1"/>
        <v>Bárbara Cornejo</v>
      </c>
      <c r="B242" s="210">
        <f>IFERROR(__xludf.DUMMYFUNCTION("""COMPUTED_VALUE"""),1.0)</f>
        <v>1</v>
      </c>
      <c r="C242" s="211" t="str">
        <f>IFERROR(__xludf.DUMMYFUNCTION("""COMPUTED_VALUE"""),"4º A")</f>
        <v>4º A</v>
      </c>
      <c r="D242" s="212"/>
      <c r="E242" s="213"/>
      <c r="F242" s="212" t="str">
        <f>IFERROR(__xludf.DUMMYFUNCTION("""COMPUTED_VALUE"""),"Art")</f>
        <v>Art</v>
      </c>
      <c r="G242" s="212"/>
      <c r="H242" s="212"/>
      <c r="I242" s="212">
        <f>IFERROR(__xludf.DUMMYFUNCTION("""COMPUTED_VALUE"""),3.0)</f>
        <v>3</v>
      </c>
      <c r="J242" s="212"/>
      <c r="K242" s="212" t="str">
        <f>IFERROR(__xludf.DUMMYFUNCTION("""COMPUTED_VALUE"""),"Art")</f>
        <v>Art</v>
      </c>
      <c r="L242" s="212" t="str">
        <f>IFERROR(__xludf.DUMMYFUNCTION("""COMPUTED_VALUE"""),"Bárbara Cornejo")</f>
        <v>Bárbara Cornejo</v>
      </c>
      <c r="M242" s="212"/>
      <c r="N242" s="212"/>
      <c r="O242" s="212" t="str">
        <f>IFERROR(__xludf.DUMMYFUNCTION("""COMPUTED_VALUE"""),"Bárbara Cornejo")</f>
        <v>Bárbara Cornejo</v>
      </c>
      <c r="P242" s="212" t="str">
        <f>IFERROR(__xludf.DUMMYFUNCTION("""COMPUTED_VALUE"""),"Expresion")</f>
        <v>Expresion</v>
      </c>
      <c r="Q242" s="212" t="str">
        <f>IFERROR(__xludf.DUMMYFUNCTION("""COMPUTED_VALUE"""),"Mantiene")</f>
        <v>Mantiene</v>
      </c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</row>
    <row r="243">
      <c r="A243" s="210" t="str">
        <f t="shared" si="1"/>
        <v>Bárbara Cornejo</v>
      </c>
      <c r="B243" s="210">
        <f>IFERROR(__xludf.DUMMYFUNCTION("""COMPUTED_VALUE"""),1.0)</f>
        <v>1</v>
      </c>
      <c r="C243" s="211" t="str">
        <f>IFERROR(__xludf.DUMMYFUNCTION("""COMPUTED_VALUE"""),"4º B")</f>
        <v>4º B</v>
      </c>
      <c r="D243" s="212"/>
      <c r="E243" s="213"/>
      <c r="F243" s="212" t="str">
        <f>IFERROR(__xludf.DUMMYFUNCTION("""COMPUTED_VALUE"""),"Art")</f>
        <v>Art</v>
      </c>
      <c r="G243" s="212"/>
      <c r="H243" s="212"/>
      <c r="I243" s="212">
        <f>IFERROR(__xludf.DUMMYFUNCTION("""COMPUTED_VALUE"""),3.0)</f>
        <v>3</v>
      </c>
      <c r="J243" s="212"/>
      <c r="K243" s="212" t="str">
        <f>IFERROR(__xludf.DUMMYFUNCTION("""COMPUTED_VALUE"""),"Art")</f>
        <v>Art</v>
      </c>
      <c r="L243" s="212" t="str">
        <f>IFERROR(__xludf.DUMMYFUNCTION("""COMPUTED_VALUE"""),"Bárbara Cornejo")</f>
        <v>Bárbara Cornejo</v>
      </c>
      <c r="M243" s="212"/>
      <c r="N243" s="212"/>
      <c r="O243" s="212" t="str">
        <f>IFERROR(__xludf.DUMMYFUNCTION("""COMPUTED_VALUE"""),"Bárbara Cornejo")</f>
        <v>Bárbara Cornejo</v>
      </c>
      <c r="P243" s="212" t="str">
        <f>IFERROR(__xludf.DUMMYFUNCTION("""COMPUTED_VALUE"""),"Expresion")</f>
        <v>Expresion</v>
      </c>
      <c r="Q243" s="212" t="str">
        <f>IFERROR(__xludf.DUMMYFUNCTION("""COMPUTED_VALUE"""),"Mantiene")</f>
        <v>Mantiene</v>
      </c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</row>
    <row r="244">
      <c r="A244" s="210" t="str">
        <f t="shared" si="1"/>
        <v>Cecilia Garcia Reinoso</v>
      </c>
      <c r="B244" s="210">
        <f>IFERROR(__xludf.DUMMYFUNCTION("""COMPUTED_VALUE"""),2.0)</f>
        <v>2</v>
      </c>
      <c r="C244" s="211" t="str">
        <f>IFERROR(__xludf.DUMMYFUNCTION("""COMPUTED_VALUE"""),"4º A")</f>
        <v>4º A</v>
      </c>
      <c r="D244" s="212"/>
      <c r="E244" s="213"/>
      <c r="F244" s="212" t="str">
        <f>IFERROR(__xludf.DUMMYFUNCTION("""COMPUTED_VALUE"""),"Biology")</f>
        <v>Biology</v>
      </c>
      <c r="G244" s="212" t="str">
        <f>IFERROR(__xludf.DUMMYFUNCTION("""COMPUTED_VALUE"""),"si")</f>
        <v>si</v>
      </c>
      <c r="H244" s="212"/>
      <c r="I244" s="212">
        <f>IFERROR(__xludf.DUMMYFUNCTION("""COMPUTED_VALUE"""),3.0)</f>
        <v>3</v>
      </c>
      <c r="J244" s="212"/>
      <c r="K244" s="212" t="str">
        <f>IFERROR(__xludf.DUMMYFUNCTION("""COMPUTED_VALUE"""),"Biology")</f>
        <v>Biology</v>
      </c>
      <c r="L244" s="212" t="str">
        <f>IFERROR(__xludf.DUMMYFUNCTION("""COMPUTED_VALUE"""),"Cecilia Garcia Reinoso")</f>
        <v>Cecilia Garcia Reinoso</v>
      </c>
      <c r="M244" s="212"/>
      <c r="N244" s="212"/>
      <c r="O244" s="212" t="str">
        <f>IFERROR(__xludf.DUMMYFUNCTION("""COMPUTED_VALUE"""),"Cecilia Garcia Reinoso")</f>
        <v>Cecilia Garcia Reinoso</v>
      </c>
      <c r="P244" s="212" t="str">
        <f>IFERROR(__xludf.DUMMYFUNCTION("""COMPUTED_VALUE"""),"Exactas")</f>
        <v>Exactas</v>
      </c>
      <c r="Q244" s="212" t="str">
        <f>IFERROR(__xludf.DUMMYFUNCTION("""COMPUTED_VALUE"""),"Mantiene")</f>
        <v>Mantiene</v>
      </c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</row>
    <row r="245">
      <c r="A245" s="210" t="str">
        <f t="shared" si="1"/>
        <v>Cecilia Lund Petersen</v>
      </c>
      <c r="B245" s="210">
        <f>IFERROR(__xludf.DUMMYFUNCTION("""COMPUTED_VALUE"""),2.0)</f>
        <v>2</v>
      </c>
      <c r="C245" s="211" t="str">
        <f>IFERROR(__xludf.DUMMYFUNCTION("""COMPUTED_VALUE"""),"4º B")</f>
        <v>4º B</v>
      </c>
      <c r="D245" s="212"/>
      <c r="E245" s="213"/>
      <c r="F245" s="212" t="str">
        <f>IFERROR(__xludf.DUMMYFUNCTION("""COMPUTED_VALUE"""),"NatSci")</f>
        <v>NatSci</v>
      </c>
      <c r="G245" s="212" t="str">
        <f>IFERROR(__xludf.DUMMYFUNCTION("""COMPUTED_VALUE"""),"si")</f>
        <v>si</v>
      </c>
      <c r="H245" s="212"/>
      <c r="I245" s="212">
        <f>IFERROR(__xludf.DUMMYFUNCTION("""COMPUTED_VALUE"""),3.0)</f>
        <v>3</v>
      </c>
      <c r="J245" s="212"/>
      <c r="K245" s="212" t="str">
        <f>IFERROR(__xludf.DUMMYFUNCTION("""COMPUTED_VALUE"""),"Natural Sciences")</f>
        <v>Natural Sciences</v>
      </c>
      <c r="L245" s="212" t="str">
        <f>IFERROR(__xludf.DUMMYFUNCTION("""COMPUTED_VALUE"""),"Cecilia Lund Petersen")</f>
        <v>Cecilia Lund Petersen</v>
      </c>
      <c r="M245" s="212"/>
      <c r="N245" s="212"/>
      <c r="O245" s="212" t="str">
        <f>IFERROR(__xludf.DUMMYFUNCTION("""COMPUTED_VALUE"""),"Cecilia Lund Petersen")</f>
        <v>Cecilia Lund Petersen</v>
      </c>
      <c r="P245" s="212" t="str">
        <f>IFERROR(__xludf.DUMMYFUNCTION("""COMPUTED_VALUE"""),"Exactas")</f>
        <v>Exactas</v>
      </c>
      <c r="Q245" s="212" t="str">
        <f>IFERROR(__xludf.DUMMYFUNCTION("""COMPUTED_VALUE"""),"Mantiene")</f>
        <v>Mantiene</v>
      </c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</row>
    <row r="246">
      <c r="A246" s="210" t="str">
        <f t="shared" si="1"/>
        <v>Eduardo Gabriel Rougier</v>
      </c>
      <c r="B246" s="210">
        <f>IFERROR(__xludf.DUMMYFUNCTION("""COMPUTED_VALUE"""),3.0)</f>
        <v>3</v>
      </c>
      <c r="C246" s="211" t="str">
        <f>IFERROR(__xludf.DUMMYFUNCTION("""COMPUTED_VALUE"""),"4º A")</f>
        <v>4º A</v>
      </c>
      <c r="D246" s="212"/>
      <c r="E246" s="213"/>
      <c r="F246" s="212" t="str">
        <f>IFERROR(__xludf.DUMMYFUNCTION("""COMPUTED_VALUE"""),"Art")</f>
        <v>Art</v>
      </c>
      <c r="G246" s="212" t="str">
        <f>IFERROR(__xludf.DUMMYFUNCTION("""COMPUTED_VALUE"""),"si")</f>
        <v>si</v>
      </c>
      <c r="H246" s="212"/>
      <c r="I246" s="212">
        <f>IFERROR(__xludf.DUMMYFUNCTION("""COMPUTED_VALUE"""),1.0)</f>
        <v>1</v>
      </c>
      <c r="J246" s="212"/>
      <c r="K246" s="212" t="str">
        <f>IFERROR(__xludf.DUMMYFUNCTION("""COMPUTED_VALUE"""),"Technology")</f>
        <v>Technology</v>
      </c>
      <c r="L246" s="212" t="str">
        <f>IFERROR(__xludf.DUMMYFUNCTION("""COMPUTED_VALUE"""),"Eduardo Gabriel Rougier")</f>
        <v>Eduardo Gabriel Rougier</v>
      </c>
      <c r="M246" s="212" t="str">
        <f>IFERROR(__xludf.DUMMYFUNCTION("""COMPUTED_VALUE"""),"Verónica María Bonadeo")</f>
        <v>Verónica María Bonadeo</v>
      </c>
      <c r="N246" s="212"/>
      <c r="O246" s="212" t="str">
        <f>IFERROR(__xludf.DUMMYFUNCTION("""COMPUTED_VALUE"""),"Eduardo Gabriel Rougier")</f>
        <v>Eduardo Gabriel Rougier</v>
      </c>
      <c r="P246" s="212" t="str">
        <f>IFERROR(__xludf.DUMMYFUNCTION("""COMPUTED_VALUE"""),"Tecnologia")</f>
        <v>Tecnologia</v>
      </c>
      <c r="Q246" s="212" t="str">
        <f>IFERROR(__xludf.DUMMYFUNCTION("""COMPUTED_VALUE"""),"Mantiene")</f>
        <v>Mantiene</v>
      </c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</row>
    <row r="247">
      <c r="A247" s="210" t="str">
        <f t="shared" si="1"/>
        <v>Eduardo Gabriel Rougier</v>
      </c>
      <c r="B247" s="210">
        <f>IFERROR(__xludf.DUMMYFUNCTION("""COMPUTED_VALUE"""),3.0)</f>
        <v>3</v>
      </c>
      <c r="C247" s="211" t="str">
        <f>IFERROR(__xludf.DUMMYFUNCTION("""COMPUTED_VALUE"""),"4º B")</f>
        <v>4º B</v>
      </c>
      <c r="D247" s="212"/>
      <c r="E247" s="213"/>
      <c r="F247" s="212" t="str">
        <f>IFERROR(__xludf.DUMMYFUNCTION("""COMPUTED_VALUE"""),"Digi@rt")</f>
        <v>Digi@rt</v>
      </c>
      <c r="G247" s="212" t="str">
        <f>IFERROR(__xludf.DUMMYFUNCTION("""COMPUTED_VALUE"""),"si")</f>
        <v>si</v>
      </c>
      <c r="H247" s="212"/>
      <c r="I247" s="212">
        <f>IFERROR(__xludf.DUMMYFUNCTION("""COMPUTED_VALUE"""),1.0)</f>
        <v>1</v>
      </c>
      <c r="J247" s="212"/>
      <c r="K247" s="212" t="str">
        <f>IFERROR(__xludf.DUMMYFUNCTION("""COMPUTED_VALUE"""),"Digital Art")</f>
        <v>Digital Art</v>
      </c>
      <c r="L247" s="212" t="str">
        <f>IFERROR(__xludf.DUMMYFUNCTION("""COMPUTED_VALUE"""),"Eduardo Gabriel Rougier")</f>
        <v>Eduardo Gabriel Rougier</v>
      </c>
      <c r="M247" s="212" t="str">
        <f>IFERROR(__xludf.DUMMYFUNCTION("""COMPUTED_VALUE"""),"Verónica María Bonadeo")</f>
        <v>Verónica María Bonadeo</v>
      </c>
      <c r="N247" s="212"/>
      <c r="O247" s="212" t="str">
        <f>IFERROR(__xludf.DUMMYFUNCTION("""COMPUTED_VALUE"""),"Eduardo Gabriel Rougier")</f>
        <v>Eduardo Gabriel Rougier</v>
      </c>
      <c r="P247" s="212" t="str">
        <f>IFERROR(__xludf.DUMMYFUNCTION("""COMPUTED_VALUE"""),"Tecnologia")</f>
        <v>Tecnologia</v>
      </c>
      <c r="Q247" s="212" t="str">
        <f>IFERROR(__xludf.DUMMYFUNCTION("""COMPUTED_VALUE"""),"Mantiene")</f>
        <v>Mantiene</v>
      </c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</row>
    <row r="248">
      <c r="A248" s="210" t="str">
        <f t="shared" si="1"/>
        <v>Florencia Piolanti</v>
      </c>
      <c r="B248" s="210">
        <f>IFERROR(__xludf.DUMMYFUNCTION("""COMPUTED_VALUE"""),4.0)</f>
        <v>4</v>
      </c>
      <c r="C248" s="211" t="str">
        <f>IFERROR(__xludf.DUMMYFUNCTION("""COMPUTED_VALUE"""),"4º A")</f>
        <v>4º A</v>
      </c>
      <c r="D248" s="212"/>
      <c r="E248" s="213"/>
      <c r="F248" s="212"/>
      <c r="G248" s="212" t="str">
        <f>IFERROR(__xludf.DUMMYFUNCTION("""COMPUTED_VALUE"""),"si")</f>
        <v>si</v>
      </c>
      <c r="H248" s="212"/>
      <c r="I248" s="212">
        <f>IFERROR(__xludf.DUMMYFUNCTION("""COMPUTED_VALUE"""),4.0)</f>
        <v>4</v>
      </c>
      <c r="J248" s="212"/>
      <c r="K248" s="212" t="str">
        <f>IFERROR(__xludf.DUMMYFUNCTION("""COMPUTED_VALUE"""),"Educación Física")</f>
        <v>Educación Física</v>
      </c>
      <c r="L248" s="212" t="str">
        <f>IFERROR(__xludf.DUMMYFUNCTION("""COMPUTED_VALUE"""),"Florencia Piolanti ")</f>
        <v>Florencia Piolanti </v>
      </c>
      <c r="M248" s="212" t="str">
        <f>IFERROR(__xludf.DUMMYFUNCTION("""COMPUTED_VALUE"""),"Fernando Xavier Valle")</f>
        <v>Fernando Xavier Valle</v>
      </c>
      <c r="N248" s="212"/>
      <c r="O248" s="212" t="str">
        <f>IFERROR(__xludf.DUMMYFUNCTION("""COMPUTED_VALUE"""),"Florencia Piolanti")</f>
        <v>Florencia Piolanti</v>
      </c>
      <c r="P248" s="212" t="str">
        <f>IFERROR(__xludf.DUMMYFUNCTION("""COMPUTED_VALUE"""),"Educación Física")</f>
        <v>Educación Física</v>
      </c>
      <c r="Q248" s="212" t="str">
        <f>IFERROR(__xludf.DUMMYFUNCTION("""COMPUTED_VALUE"""),"Nuevo")</f>
        <v>Nuevo</v>
      </c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</row>
    <row r="249">
      <c r="A249" s="210" t="str">
        <f t="shared" si="1"/>
        <v>Marcos Galván</v>
      </c>
      <c r="B249" s="210">
        <f>IFERROR(__xludf.DUMMYFUNCTION("""COMPUTED_VALUE"""),4.0)</f>
        <v>4</v>
      </c>
      <c r="C249" s="211" t="str">
        <f>IFERROR(__xludf.DUMMYFUNCTION("""COMPUTED_VALUE"""),"4º B")</f>
        <v>4º B</v>
      </c>
      <c r="D249" s="212"/>
      <c r="E249" s="213"/>
      <c r="F249" s="212"/>
      <c r="G249" s="212" t="str">
        <f>IFERROR(__xludf.DUMMYFUNCTION("""COMPUTED_VALUE"""),"si")</f>
        <v>si</v>
      </c>
      <c r="H249" s="212"/>
      <c r="I249" s="212">
        <f>IFERROR(__xludf.DUMMYFUNCTION("""COMPUTED_VALUE"""),4.0)</f>
        <v>4</v>
      </c>
      <c r="J249" s="212"/>
      <c r="K249" s="212" t="str">
        <f>IFERROR(__xludf.DUMMYFUNCTION("""COMPUTED_VALUE"""),"Educación Física")</f>
        <v>Educación Física</v>
      </c>
      <c r="L249" s="212" t="str">
        <f>IFERROR(__xludf.DUMMYFUNCTION("""COMPUTED_VALUE"""),"Marcos Galván")</f>
        <v>Marcos Galván</v>
      </c>
      <c r="M249" s="212" t="str">
        <f>IFERROR(__xludf.DUMMYFUNCTION("""COMPUTED_VALUE"""),"Fernando Xavier Valle")</f>
        <v>Fernando Xavier Valle</v>
      </c>
      <c r="N249" s="212"/>
      <c r="O249" s="212" t="str">
        <f>IFERROR(__xludf.DUMMYFUNCTION("""COMPUTED_VALUE"""),"Marcos Galván")</f>
        <v>Marcos Galván</v>
      </c>
      <c r="P249" s="212" t="str">
        <f>IFERROR(__xludf.DUMMYFUNCTION("""COMPUTED_VALUE"""),"Educación Física")</f>
        <v>Educación Física</v>
      </c>
      <c r="Q249" s="212" t="str">
        <f>IFERROR(__xludf.DUMMYFUNCTION("""COMPUTED_VALUE"""),"Mantiene")</f>
        <v>Mantiene</v>
      </c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</row>
    <row r="250">
      <c r="A250" s="210" t="str">
        <f t="shared" si="1"/>
        <v>Astrid Vanina Santa Maria</v>
      </c>
      <c r="B250" s="210">
        <f>IFERROR(__xludf.DUMMYFUNCTION("""COMPUTED_VALUE"""),5.0)</f>
        <v>5</v>
      </c>
      <c r="C250" s="211" t="str">
        <f>IFERROR(__xludf.DUMMYFUNCTION("""COMPUTED_VALUE"""),"4º A")</f>
        <v>4º A</v>
      </c>
      <c r="D250" s="212"/>
      <c r="E250" s="213"/>
      <c r="F250" s="212"/>
      <c r="G250" s="212" t="str">
        <f>IFERROR(__xludf.DUMMYFUNCTION("""COMPUTED_VALUE"""),"si")</f>
        <v>si</v>
      </c>
      <c r="H250" s="212"/>
      <c r="I250" s="212">
        <f>IFERROR(__xludf.DUMMYFUNCTION("""COMPUTED_VALUE"""),4.0)</f>
        <v>4</v>
      </c>
      <c r="J250" s="212"/>
      <c r="K250" s="212" t="str">
        <f>IFERROR(__xludf.DUMMYFUNCTION("""COMPUTED_VALUE"""),"English")</f>
        <v>English</v>
      </c>
      <c r="L250" s="212" t="str">
        <f>IFERROR(__xludf.DUMMYFUNCTION("""COMPUTED_VALUE"""),"Astrid Vanina Santa Maria")</f>
        <v>Astrid Vanina Santa Maria</v>
      </c>
      <c r="M250" s="212"/>
      <c r="N250" s="212"/>
      <c r="O250" s="212" t="str">
        <f>IFERROR(__xludf.DUMMYFUNCTION("""COMPUTED_VALUE"""),"Astrid Vanina Santa Maria")</f>
        <v>Astrid Vanina Santa Maria</v>
      </c>
      <c r="P250" s="212" t="str">
        <f>IFERROR(__xludf.DUMMYFUNCTION("""COMPUTED_VALUE"""),"Expresion")</f>
        <v>Expresion</v>
      </c>
      <c r="Q250" s="212" t="str">
        <f>IFERROR(__xludf.DUMMYFUNCTION("""COMPUTED_VALUE"""),"Mantiene")</f>
        <v>Mantiene</v>
      </c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</row>
    <row r="251">
      <c r="A251" s="210" t="str">
        <f t="shared" si="1"/>
        <v>Astrid Vanina Santa Maria</v>
      </c>
      <c r="B251" s="210">
        <f>IFERROR(__xludf.DUMMYFUNCTION("""COMPUTED_VALUE"""),5.0)</f>
        <v>5</v>
      </c>
      <c r="C251" s="211" t="str">
        <f>IFERROR(__xludf.DUMMYFUNCTION("""COMPUTED_VALUE"""),"4º B")</f>
        <v>4º B</v>
      </c>
      <c r="D251" s="212"/>
      <c r="E251" s="213"/>
      <c r="F251" s="212"/>
      <c r="G251" s="212" t="str">
        <f>IFERROR(__xludf.DUMMYFUNCTION("""COMPUTED_VALUE"""),"si")</f>
        <v>si</v>
      </c>
      <c r="H251" s="212"/>
      <c r="I251" s="212">
        <f>IFERROR(__xludf.DUMMYFUNCTION("""COMPUTED_VALUE"""),4.0)</f>
        <v>4</v>
      </c>
      <c r="J251" s="212"/>
      <c r="K251" s="212" t="str">
        <f>IFERROR(__xludf.DUMMYFUNCTION("""COMPUTED_VALUE"""),"English")</f>
        <v>English</v>
      </c>
      <c r="L251" s="212" t="str">
        <f>IFERROR(__xludf.DUMMYFUNCTION("""COMPUTED_VALUE"""),"Astrid Vanina Santa Maria")</f>
        <v>Astrid Vanina Santa Maria</v>
      </c>
      <c r="M251" s="212"/>
      <c r="N251" s="212"/>
      <c r="O251" s="212" t="str">
        <f>IFERROR(__xludf.DUMMYFUNCTION("""COMPUTED_VALUE"""),"Astrid Vanina Santa Maria")</f>
        <v>Astrid Vanina Santa Maria</v>
      </c>
      <c r="P251" s="212" t="str">
        <f>IFERROR(__xludf.DUMMYFUNCTION("""COMPUTED_VALUE"""),"Expresion")</f>
        <v>Expresion</v>
      </c>
      <c r="Q251" s="212" t="str">
        <f>IFERROR(__xludf.DUMMYFUNCTION("""COMPUTED_VALUE"""),"Mantiene")</f>
        <v>Mantiene</v>
      </c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</row>
    <row r="252">
      <c r="A252" s="210" t="str">
        <f t="shared" si="1"/>
        <v>pilar</v>
      </c>
      <c r="B252" s="210">
        <f>IFERROR(__xludf.DUMMYFUNCTION("""COMPUTED_VALUE"""),6.0)</f>
        <v>6</v>
      </c>
      <c r="C252" s="211" t="str">
        <f>IFERROR(__xludf.DUMMYFUNCTION("""COMPUTED_VALUE"""),"4º A")</f>
        <v>4º A</v>
      </c>
      <c r="D252" s="212"/>
      <c r="E252" s="213"/>
      <c r="F252" s="212"/>
      <c r="G252" s="212" t="str">
        <f>IFERROR(__xludf.DUMMYFUNCTION("""COMPUTED_VALUE"""),"si")</f>
        <v>si</v>
      </c>
      <c r="H252" s="212"/>
      <c r="I252" s="212">
        <f>IFERROR(__xludf.DUMMYFUNCTION("""COMPUTED_VALUE"""),3.0)</f>
        <v>3</v>
      </c>
      <c r="J252" s="212"/>
      <c r="K252" s="212" t="str">
        <f>IFERROR(__xludf.DUMMYFUNCTION("""COMPUTED_VALUE"""),"Environmental Management")</f>
        <v>Environmental Management</v>
      </c>
      <c r="L252" s="212" t="str">
        <f>IFERROR(__xludf.DUMMYFUNCTION("""COMPUTED_VALUE"""),"Sofia Constanza Martin Muller")</f>
        <v>Sofia Constanza Martin Muller</v>
      </c>
      <c r="M252" s="212"/>
      <c r="N252" s="212"/>
      <c r="O252" s="212" t="str">
        <f>IFERROR(__xludf.DUMMYFUNCTION("""COMPUTED_VALUE"""),"pilar")</f>
        <v>pilar</v>
      </c>
      <c r="P252" s="212" t="str">
        <f>IFERROR(__xludf.DUMMYFUNCTION("""COMPUTED_VALUE"""),"Humanas")</f>
        <v>Humanas</v>
      </c>
      <c r="Q252" s="212" t="str">
        <f>IFERROR(__xludf.DUMMYFUNCTION("""COMPUTED_VALUE"""),"Nuevo x baja de profesor")</f>
        <v>Nuevo x baja de profesor</v>
      </c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</row>
    <row r="253">
      <c r="A253" s="210" t="str">
        <f t="shared" si="1"/>
        <v>pilar</v>
      </c>
      <c r="B253" s="210">
        <f>IFERROR(__xludf.DUMMYFUNCTION("""COMPUTED_VALUE"""),6.0)</f>
        <v>6</v>
      </c>
      <c r="C253" s="211" t="str">
        <f>IFERROR(__xludf.DUMMYFUNCTION("""COMPUTED_VALUE"""),"4º B")</f>
        <v>4º B</v>
      </c>
      <c r="D253" s="212"/>
      <c r="E253" s="213"/>
      <c r="F253" s="212"/>
      <c r="G253" s="212" t="str">
        <f>IFERROR(__xludf.DUMMYFUNCTION("""COMPUTED_VALUE"""),"si")</f>
        <v>si</v>
      </c>
      <c r="H253" s="212"/>
      <c r="I253" s="212">
        <f>IFERROR(__xludf.DUMMYFUNCTION("""COMPUTED_VALUE"""),3.0)</f>
        <v>3</v>
      </c>
      <c r="J253" s="212"/>
      <c r="K253" s="212" t="str">
        <f>IFERROR(__xludf.DUMMYFUNCTION("""COMPUTED_VALUE"""),"Environmental Management")</f>
        <v>Environmental Management</v>
      </c>
      <c r="L253" s="212" t="str">
        <f>IFERROR(__xludf.DUMMYFUNCTION("""COMPUTED_VALUE"""),"Sofia Constanza Martin Muller")</f>
        <v>Sofia Constanza Martin Muller</v>
      </c>
      <c r="M253" s="212"/>
      <c r="N253" s="212"/>
      <c r="O253" s="212" t="str">
        <f>IFERROR(__xludf.DUMMYFUNCTION("""COMPUTED_VALUE"""),"pilar")</f>
        <v>pilar</v>
      </c>
      <c r="P253" s="212" t="str">
        <f>IFERROR(__xludf.DUMMYFUNCTION("""COMPUTED_VALUE"""),"Humanas")</f>
        <v>Humanas</v>
      </c>
      <c r="Q253" s="212" t="str">
        <f>IFERROR(__xludf.DUMMYFUNCTION("""COMPUTED_VALUE"""),"Nuevo x baja de profesor")</f>
        <v>Nuevo x baja de profesor</v>
      </c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</row>
    <row r="254">
      <c r="A254" s="210" t="str">
        <f t="shared" si="1"/>
        <v>Agustina Bieule</v>
      </c>
      <c r="B254" s="210">
        <f>IFERROR(__xludf.DUMMYFUNCTION("""COMPUTED_VALUE"""),7.0)</f>
        <v>7</v>
      </c>
      <c r="C254" s="211" t="str">
        <f>IFERROR(__xludf.DUMMYFUNCTION("""COMPUTED_VALUE"""),"4º A")</f>
        <v>4º A</v>
      </c>
      <c r="D254" s="212"/>
      <c r="E254" s="213"/>
      <c r="F254" s="212"/>
      <c r="G254" s="212"/>
      <c r="H254" s="212"/>
      <c r="I254" s="212"/>
      <c r="J254" s="212"/>
      <c r="K254" s="212" t="str">
        <f>IFERROR(__xludf.DUMMYFUNCTION("""COMPUTED_VALUE"""),"Formación Católica")</f>
        <v>Formación Católica</v>
      </c>
      <c r="L254" s="212" t="str">
        <f>IFERROR(__xludf.DUMMYFUNCTION("""COMPUTED_VALUE"""),"Agustina Bieule")</f>
        <v>Agustina Bieule</v>
      </c>
      <c r="M254" s="212"/>
      <c r="N254" s="212"/>
      <c r="O254" s="212" t="str">
        <f>IFERROR(__xludf.DUMMYFUNCTION("""COMPUTED_VALUE"""),"Agustina Bieule")</f>
        <v>Agustina Bieule</v>
      </c>
      <c r="P254" s="212" t="str">
        <f>IFERROR(__xludf.DUMMYFUNCTION("""COMPUTED_VALUE"""),"Formación Católica")</f>
        <v>Formación Católica</v>
      </c>
      <c r="Q254" s="212" t="str">
        <f>IFERROR(__xludf.DUMMYFUNCTION("""COMPUTED_VALUE"""),"Mantiene")</f>
        <v>Mantiene</v>
      </c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</row>
    <row r="255">
      <c r="A255" s="210" t="str">
        <f t="shared" si="1"/>
        <v>Agustina Bieule</v>
      </c>
      <c r="B255" s="210">
        <f>IFERROR(__xludf.DUMMYFUNCTION("""COMPUTED_VALUE"""),7.0)</f>
        <v>7</v>
      </c>
      <c r="C255" s="211" t="str">
        <f>IFERROR(__xludf.DUMMYFUNCTION("""COMPUTED_VALUE"""),"4º B")</f>
        <v>4º B</v>
      </c>
      <c r="D255" s="212"/>
      <c r="E255" s="213"/>
      <c r="F255" s="212"/>
      <c r="G255" s="212"/>
      <c r="H255" s="212"/>
      <c r="I255" s="212"/>
      <c r="J255" s="212"/>
      <c r="K255" s="212" t="str">
        <f>IFERROR(__xludf.DUMMYFUNCTION("""COMPUTED_VALUE"""),"Formación Católica")</f>
        <v>Formación Católica</v>
      </c>
      <c r="L255" s="212" t="str">
        <f>IFERROR(__xludf.DUMMYFUNCTION("""COMPUTED_VALUE"""),"Marcos Berro García")</f>
        <v>Marcos Berro García</v>
      </c>
      <c r="M255" s="212"/>
      <c r="N255" s="212"/>
      <c r="O255" s="212" t="str">
        <f>IFERROR(__xludf.DUMMYFUNCTION("""COMPUTED_VALUE"""),"Agustina Bieule")</f>
        <v>Agustina Bieule</v>
      </c>
      <c r="P255" s="212" t="str">
        <f>IFERROR(__xludf.DUMMYFUNCTION("""COMPUTED_VALUE"""),"Formación Católica")</f>
        <v>Formación Católica</v>
      </c>
      <c r="Q255" s="212" t="str">
        <f>IFERROR(__xludf.DUMMYFUNCTION("""COMPUTED_VALUE"""),"Nuevo")</f>
        <v>Nuevo</v>
      </c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</row>
    <row r="256">
      <c r="A256" s="210" t="str">
        <f t="shared" si="1"/>
        <v>Carolina Ferrari Aldaz</v>
      </c>
      <c r="B256" s="210">
        <f>IFERROR(__xludf.DUMMYFUNCTION("""COMPUTED_VALUE"""),8.0)</f>
        <v>8</v>
      </c>
      <c r="C256" s="211" t="str">
        <f>IFERROR(__xludf.DUMMYFUNCTION("""COMPUTED_VALUE"""),"4º A")</f>
        <v>4º A</v>
      </c>
      <c r="D256" s="212"/>
      <c r="E256" s="213"/>
      <c r="F256" s="212"/>
      <c r="G256" s="212" t="str">
        <f>IFERROR(__xludf.DUMMYFUNCTION("""COMPUTED_VALUE"""),"si")</f>
        <v>si</v>
      </c>
      <c r="H256" s="212"/>
      <c r="I256" s="212">
        <f>IFERROR(__xludf.DUMMYFUNCTION("""COMPUTED_VALUE"""),3.0)</f>
        <v>3</v>
      </c>
      <c r="J256" s="212"/>
      <c r="K256" s="212" t="str">
        <f>IFERROR(__xludf.DUMMYFUNCTION("""COMPUTED_VALUE"""),"History")</f>
        <v>History</v>
      </c>
      <c r="L256" s="212" t="str">
        <f>IFERROR(__xludf.DUMMYFUNCTION("""COMPUTED_VALUE"""),"Carolina Ferrari Aldaz")</f>
        <v>Carolina Ferrari Aldaz</v>
      </c>
      <c r="M256" s="212"/>
      <c r="N256" s="212"/>
      <c r="O256" s="212" t="str">
        <f>IFERROR(__xludf.DUMMYFUNCTION("""COMPUTED_VALUE"""),"Carolina Ferrari Aldaz")</f>
        <v>Carolina Ferrari Aldaz</v>
      </c>
      <c r="P256" s="212" t="str">
        <f>IFERROR(__xludf.DUMMYFUNCTION("""COMPUTED_VALUE"""),"Humanas")</f>
        <v>Humanas</v>
      </c>
      <c r="Q256" s="212" t="str">
        <f>IFERROR(__xludf.DUMMYFUNCTION("""COMPUTED_VALUE"""),"Mantiene")</f>
        <v>Mantiene</v>
      </c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</row>
    <row r="257">
      <c r="A257" s="210" t="str">
        <f t="shared" si="1"/>
        <v>Carolina Ferrari Aldaz</v>
      </c>
      <c r="B257" s="210">
        <f>IFERROR(__xludf.DUMMYFUNCTION("""COMPUTED_VALUE"""),8.0)</f>
        <v>8</v>
      </c>
      <c r="C257" s="211" t="str">
        <f>IFERROR(__xludf.DUMMYFUNCTION("""COMPUTED_VALUE"""),"4º B")</f>
        <v>4º B</v>
      </c>
      <c r="D257" s="212"/>
      <c r="E257" s="213"/>
      <c r="F257" s="212"/>
      <c r="G257" s="212" t="str">
        <f>IFERROR(__xludf.DUMMYFUNCTION("""COMPUTED_VALUE"""),"si")</f>
        <v>si</v>
      </c>
      <c r="H257" s="212"/>
      <c r="I257" s="212">
        <f>IFERROR(__xludf.DUMMYFUNCTION("""COMPUTED_VALUE"""),3.0)</f>
        <v>3</v>
      </c>
      <c r="J257" s="212"/>
      <c r="K257" s="212" t="str">
        <f>IFERROR(__xludf.DUMMYFUNCTION("""COMPUTED_VALUE"""),"History")</f>
        <v>History</v>
      </c>
      <c r="L257" s="212" t="str">
        <f>IFERROR(__xludf.DUMMYFUNCTION("""COMPUTED_VALUE"""),"Carolina Ferrari Aldaz")</f>
        <v>Carolina Ferrari Aldaz</v>
      </c>
      <c r="M257" s="212"/>
      <c r="N257" s="212"/>
      <c r="O257" s="212" t="str">
        <f>IFERROR(__xludf.DUMMYFUNCTION("""COMPUTED_VALUE"""),"Carolina Ferrari Aldaz")</f>
        <v>Carolina Ferrari Aldaz</v>
      </c>
      <c r="P257" s="212" t="str">
        <f>IFERROR(__xludf.DUMMYFUNCTION("""COMPUTED_VALUE"""),"Humanas")</f>
        <v>Humanas</v>
      </c>
      <c r="Q257" s="212" t="str">
        <f>IFERROR(__xludf.DUMMYFUNCTION("""COMPUTED_VALUE"""),"Nuevo x baja de profesor?????")</f>
        <v>Nuevo x baja de profesor?????</v>
      </c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</row>
    <row r="258">
      <c r="A258" s="210" t="str">
        <f t="shared" si="1"/>
        <v>Helena Pérez Mendoza</v>
      </c>
      <c r="B258" s="210">
        <f>IFERROR(__xludf.DUMMYFUNCTION("""COMPUTED_VALUE"""),9.0)</f>
        <v>9</v>
      </c>
      <c r="C258" s="211" t="str">
        <f>IFERROR(__xludf.DUMMYFUNCTION("""COMPUTED_VALUE"""),"4º A")</f>
        <v>4º A</v>
      </c>
      <c r="D258" s="212"/>
      <c r="E258" s="213"/>
      <c r="F258" s="212"/>
      <c r="G258" s="212"/>
      <c r="H258" s="212"/>
      <c r="I258" s="212">
        <f>IFERROR(__xludf.DUMMYFUNCTION("""COMPUTED_VALUE"""),1.0)</f>
        <v>1</v>
      </c>
      <c r="J258" s="212"/>
      <c r="K258" s="212" t="str">
        <f>IFERROR(__xludf.DUMMYFUNCTION("""COMPUTED_VALUE"""),"Liderazgo al Servicio")</f>
        <v>Liderazgo al Servicio</v>
      </c>
      <c r="L258" s="212" t="str">
        <f>IFERROR(__xludf.DUMMYFUNCTION("""COMPUTED_VALUE"""),"María Guadalupe Blasco")</f>
        <v>María Guadalupe Blasco</v>
      </c>
      <c r="M258" s="212" t="str">
        <f>IFERROR(__xludf.DUMMYFUNCTION("""COMPUTED_VALUE"""),"Helena Pérez Mendoza")</f>
        <v>Helena Pérez Mendoza</v>
      </c>
      <c r="N258" s="212"/>
      <c r="O258" s="212" t="str">
        <f>IFERROR(__xludf.DUMMYFUNCTION("""COMPUTED_VALUE"""),"Helena Pérez Mendoza")</f>
        <v>Helena Pérez Mendoza</v>
      </c>
      <c r="P258" s="212" t="str">
        <f>IFERROR(__xludf.DUMMYFUNCTION("""COMPUTED_VALUE"""),"Formación Católica")</f>
        <v>Formación Católica</v>
      </c>
      <c r="Q258" s="212" t="str">
        <f>IFERROR(__xludf.DUMMYFUNCTION("""COMPUTED_VALUE"""),"Nuevo")</f>
        <v>Nuevo</v>
      </c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</row>
    <row r="259">
      <c r="A259" s="210" t="str">
        <f t="shared" si="1"/>
        <v>María Guadalupe Blasco</v>
      </c>
      <c r="B259" s="210">
        <f>IFERROR(__xludf.DUMMYFUNCTION("""COMPUTED_VALUE"""),9.0)</f>
        <v>9</v>
      </c>
      <c r="C259" s="211" t="str">
        <f>IFERROR(__xludf.DUMMYFUNCTION("""COMPUTED_VALUE"""),"4º B")</f>
        <v>4º B</v>
      </c>
      <c r="D259" s="212"/>
      <c r="E259" s="213"/>
      <c r="F259" s="212"/>
      <c r="G259" s="212"/>
      <c r="H259" s="212"/>
      <c r="I259" s="212">
        <f>IFERROR(__xludf.DUMMYFUNCTION("""COMPUTED_VALUE"""),1.0)</f>
        <v>1</v>
      </c>
      <c r="J259" s="212"/>
      <c r="K259" s="212" t="str">
        <f>IFERROR(__xludf.DUMMYFUNCTION("""COMPUTED_VALUE"""),"Liderazgo al Servicio")</f>
        <v>Liderazgo al Servicio</v>
      </c>
      <c r="L259" s="212" t="str">
        <f>IFERROR(__xludf.DUMMYFUNCTION("""COMPUTED_VALUE"""),"Agustín Cometto")</f>
        <v>Agustín Cometto</v>
      </c>
      <c r="M259" s="212"/>
      <c r="N259" s="212"/>
      <c r="O259" s="212" t="str">
        <f>IFERROR(__xludf.DUMMYFUNCTION("""COMPUTED_VALUE"""),"María Guadalupe Blasco")</f>
        <v>María Guadalupe Blasco</v>
      </c>
      <c r="P259" s="212" t="str">
        <f>IFERROR(__xludf.DUMMYFUNCTION("""COMPUTED_VALUE"""),"Formación Católica")</f>
        <v>Formación Católica</v>
      </c>
      <c r="Q259" s="212" t="str">
        <f>IFERROR(__xludf.DUMMYFUNCTION("""COMPUTED_VALUE"""),"Nuevo x baja de profesor")</f>
        <v>Nuevo x baja de profesor</v>
      </c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</row>
    <row r="260">
      <c r="A260" s="210" t="str">
        <f t="shared" si="1"/>
        <v>Roberta Ludueña</v>
      </c>
      <c r="B260" s="210">
        <f>IFERROR(__xludf.DUMMYFUNCTION("""COMPUTED_VALUE"""),10.0)</f>
        <v>10</v>
      </c>
      <c r="C260" s="211" t="str">
        <f>IFERROR(__xludf.DUMMYFUNCTION("""COMPUTED_VALUE"""),"4º A")</f>
        <v>4º A</v>
      </c>
      <c r="D260" s="212"/>
      <c r="E260" s="213"/>
      <c r="F260" s="212"/>
      <c r="G260" s="212" t="str">
        <f>IFERROR(__xludf.DUMMYFUNCTION("""COMPUTED_VALUE"""),"si")</f>
        <v>si</v>
      </c>
      <c r="H260" s="212"/>
      <c r="I260" s="212">
        <f>IFERROR(__xludf.DUMMYFUNCTION("""COMPUTED_VALUE"""),3.0)</f>
        <v>3</v>
      </c>
      <c r="J260" s="212"/>
      <c r="K260" s="212" t="str">
        <f>IFERROR(__xludf.DUMMYFUNCTION("""COMPUTED_VALUE"""),"Literatura")</f>
        <v>Literatura</v>
      </c>
      <c r="L260" s="212" t="str">
        <f>IFERROR(__xludf.DUMMYFUNCTION("""COMPUTED_VALUE"""),"Roberta Ludueña")</f>
        <v>Roberta Ludueña</v>
      </c>
      <c r="M260" s="212"/>
      <c r="N260" s="212"/>
      <c r="O260" s="212" t="str">
        <f>IFERROR(__xludf.DUMMYFUNCTION("""COMPUTED_VALUE"""),"Roberta Ludueña")</f>
        <v>Roberta Ludueña</v>
      </c>
      <c r="P260" s="212" t="str">
        <f>IFERROR(__xludf.DUMMYFUNCTION("""COMPUTED_VALUE"""),"Expresion")</f>
        <v>Expresion</v>
      </c>
      <c r="Q260" s="212" t="str">
        <f>IFERROR(__xludf.DUMMYFUNCTION("""COMPUTED_VALUE"""),"Mantiene")</f>
        <v>Mantiene</v>
      </c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</row>
    <row r="261">
      <c r="A261" s="210" t="str">
        <f t="shared" si="1"/>
        <v>Roberta Ludueña</v>
      </c>
      <c r="B261" s="210">
        <f>IFERROR(__xludf.DUMMYFUNCTION("""COMPUTED_VALUE"""),10.0)</f>
        <v>10</v>
      </c>
      <c r="C261" s="211" t="str">
        <f>IFERROR(__xludf.DUMMYFUNCTION("""COMPUTED_VALUE"""),"4º B")</f>
        <v>4º B</v>
      </c>
      <c r="D261" s="212"/>
      <c r="E261" s="213"/>
      <c r="F261" s="212"/>
      <c r="G261" s="212" t="str">
        <f>IFERROR(__xludf.DUMMYFUNCTION("""COMPUTED_VALUE"""),"si")</f>
        <v>si</v>
      </c>
      <c r="H261" s="212"/>
      <c r="I261" s="212">
        <f>IFERROR(__xludf.DUMMYFUNCTION("""COMPUTED_VALUE"""),3.0)</f>
        <v>3</v>
      </c>
      <c r="J261" s="212"/>
      <c r="K261" s="212" t="str">
        <f>IFERROR(__xludf.DUMMYFUNCTION("""COMPUTED_VALUE"""),"Literatura")</f>
        <v>Literatura</v>
      </c>
      <c r="L261" s="212" t="str">
        <f>IFERROR(__xludf.DUMMYFUNCTION("""COMPUTED_VALUE"""),"Roberta Ludueña")</f>
        <v>Roberta Ludueña</v>
      </c>
      <c r="M261" s="212"/>
      <c r="N261" s="212"/>
      <c r="O261" s="212" t="str">
        <f>IFERROR(__xludf.DUMMYFUNCTION("""COMPUTED_VALUE"""),"Roberta Ludueña")</f>
        <v>Roberta Ludueña</v>
      </c>
      <c r="P261" s="212" t="str">
        <f>IFERROR(__xludf.DUMMYFUNCTION("""COMPUTED_VALUE"""),"Expresion")</f>
        <v>Expresion</v>
      </c>
      <c r="Q261" s="212" t="str">
        <f>IFERROR(__xludf.DUMMYFUNCTION("""COMPUTED_VALUE"""),"Mantiene")</f>
        <v>Mantiene</v>
      </c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</row>
    <row r="262">
      <c r="A262" s="210" t="str">
        <f t="shared" si="1"/>
        <v>Lucila Lago</v>
      </c>
      <c r="B262" s="210">
        <f>IFERROR(__xludf.DUMMYFUNCTION("""COMPUTED_VALUE"""),11.0)</f>
        <v>11</v>
      </c>
      <c r="C262" s="211" t="str">
        <f>IFERROR(__xludf.DUMMYFUNCTION("""COMPUTED_VALUE"""),"4º A")</f>
        <v>4º A</v>
      </c>
      <c r="D262" s="212"/>
      <c r="E262" s="213"/>
      <c r="F262" s="212" t="str">
        <f>IFERROR(__xludf.DUMMYFUNCTION("""COMPUTED_VALUE"""),"MatB1")</f>
        <v>MatB1</v>
      </c>
      <c r="G262" s="212" t="str">
        <f>IFERROR(__xludf.DUMMYFUNCTION("""COMPUTED_VALUE"""),"si")</f>
        <v>si</v>
      </c>
      <c r="H262" s="212"/>
      <c r="I262" s="212">
        <f>IFERROR(__xludf.DUMMYFUNCTION("""COMPUTED_VALUE"""),6.0)</f>
        <v>6</v>
      </c>
      <c r="J262" s="212"/>
      <c r="K262" s="212" t="str">
        <f>IFERROR(__xludf.DUMMYFUNCTION("""COMPUTED_VALUE"""),"Maths")</f>
        <v>Maths</v>
      </c>
      <c r="L262" s="212" t="str">
        <f>IFERROR(__xludf.DUMMYFUNCTION("""COMPUTED_VALUE"""),"Facundo Terrana")</f>
        <v>Facundo Terrana</v>
      </c>
      <c r="M262" s="212"/>
      <c r="N262" s="212"/>
      <c r="O262" s="212" t="str">
        <f>IFERROR(__xludf.DUMMYFUNCTION("""COMPUTED_VALUE"""),"Lucila Lago")</f>
        <v>Lucila Lago</v>
      </c>
      <c r="P262" s="212" t="str">
        <f>IFERROR(__xludf.DUMMYFUNCTION("""COMPUTED_VALUE"""),"Exactas")</f>
        <v>Exactas</v>
      </c>
      <c r="Q262" s="212" t="str">
        <f>IFERROR(__xludf.DUMMYFUNCTION("""COMPUTED_VALUE"""),"Nuevo")</f>
        <v>Nuevo</v>
      </c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</row>
    <row r="263">
      <c r="A263" s="210" t="str">
        <f t="shared" si="1"/>
        <v>Facundo Terrana</v>
      </c>
      <c r="B263" s="210">
        <f>IFERROR(__xludf.DUMMYFUNCTION("""COMPUTED_VALUE"""),11.0)</f>
        <v>11</v>
      </c>
      <c r="C263" s="211" t="str">
        <f>IFERROR(__xludf.DUMMYFUNCTION("""COMPUTED_VALUE"""),"4º B")</f>
        <v>4º B</v>
      </c>
      <c r="D263" s="212"/>
      <c r="E263" s="213"/>
      <c r="F263" s="212" t="str">
        <f>IFERROR(__xludf.DUMMYFUNCTION("""COMPUTED_VALUE"""),"MatAv")</f>
        <v>MatAv</v>
      </c>
      <c r="G263" s="212" t="str">
        <f>IFERROR(__xludf.DUMMYFUNCTION("""COMPUTED_VALUE"""),"si")</f>
        <v>si</v>
      </c>
      <c r="H263" s="212"/>
      <c r="I263" s="212">
        <f>IFERROR(__xludf.DUMMYFUNCTION("""COMPUTED_VALUE"""),6.0)</f>
        <v>6</v>
      </c>
      <c r="J263" s="212"/>
      <c r="K263" s="212" t="str">
        <f>IFERROR(__xludf.DUMMYFUNCTION("""COMPUTED_VALUE"""),"Maths")</f>
        <v>Maths</v>
      </c>
      <c r="L263" s="212" t="str">
        <f>IFERROR(__xludf.DUMMYFUNCTION("""COMPUTED_VALUE"""),"Camila Belen Blazquez Parodi")</f>
        <v>Camila Belen Blazquez Parodi</v>
      </c>
      <c r="M263" s="212"/>
      <c r="N263" s="212"/>
      <c r="O263" s="212" t="str">
        <f>IFERROR(__xludf.DUMMYFUNCTION("""COMPUTED_VALUE"""),"Facundo Terrana")</f>
        <v>Facundo Terrana</v>
      </c>
      <c r="P263" s="212" t="str">
        <f>IFERROR(__xludf.DUMMYFUNCTION("""COMPUTED_VALUE"""),"Exactas")</f>
        <v>Exactas</v>
      </c>
      <c r="Q263" s="212" t="str">
        <f>IFERROR(__xludf.DUMMYFUNCTION("""COMPUTED_VALUE"""),"Nuevo x baja de profesor")</f>
        <v>Nuevo x baja de profesor</v>
      </c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</row>
    <row r="264">
      <c r="A264" s="210" t="str">
        <f t="shared" si="1"/>
        <v>María De Las Mercedes Pesado Riccardi</v>
      </c>
      <c r="B264" s="210">
        <f>IFERROR(__xludf.DUMMYFUNCTION("""COMPUTED_VALUE"""),12.0)</f>
        <v>12</v>
      </c>
      <c r="C264" s="211" t="str">
        <f>IFERROR(__xludf.DUMMYFUNCTION("""COMPUTED_VALUE"""),"4º A")</f>
        <v>4º A</v>
      </c>
      <c r="D264" s="212"/>
      <c r="E264" s="213"/>
      <c r="F264" s="212"/>
      <c r="G264" s="212"/>
      <c r="H264" s="212"/>
      <c r="I264" s="212">
        <f>IFERROR(__xludf.DUMMYFUNCTION("""COMPUTED_VALUE"""),1.0)</f>
        <v>1</v>
      </c>
      <c r="J264" s="212"/>
      <c r="K264" s="212" t="str">
        <f>IFERROR(__xludf.DUMMYFUNCTION("""COMPUTED_VALUE"""),"Orientación")</f>
        <v>Orientación</v>
      </c>
      <c r="L264" s="212" t="str">
        <f>IFERROR(__xludf.DUMMYFUNCTION("""COMPUTED_VALUE"""),"María De Las Mercedes Pesado Riccardi")</f>
        <v>María De Las Mercedes Pesado Riccardi</v>
      </c>
      <c r="M264" s="212"/>
      <c r="N264" s="212"/>
      <c r="O264" s="212" t="str">
        <f>IFERROR(__xludf.DUMMYFUNCTION("""COMPUTED_VALUE"""),"María De Las Mercedes Pesado Riccardi")</f>
        <v>María De Las Mercedes Pesado Riccardi</v>
      </c>
      <c r="P264" s="212" t="str">
        <f>IFERROR(__xludf.DUMMYFUNCTION("""COMPUTED_VALUE"""),"Humanas")</f>
        <v>Humanas</v>
      </c>
      <c r="Q264" s="212" t="str">
        <f>IFERROR(__xludf.DUMMYFUNCTION("""COMPUTED_VALUE"""),"Mantiene")</f>
        <v>Mantiene</v>
      </c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</row>
    <row r="265">
      <c r="A265" s="210" t="str">
        <f t="shared" si="1"/>
        <v>Juan Bautista De Las Carreras</v>
      </c>
      <c r="B265" s="210">
        <f>IFERROR(__xludf.DUMMYFUNCTION("""COMPUTED_VALUE"""),12.0)</f>
        <v>12</v>
      </c>
      <c r="C265" s="211" t="str">
        <f>IFERROR(__xludf.DUMMYFUNCTION("""COMPUTED_VALUE"""),"4º B")</f>
        <v>4º B</v>
      </c>
      <c r="D265" s="212"/>
      <c r="E265" s="213"/>
      <c r="F265" s="212"/>
      <c r="G265" s="212"/>
      <c r="H265" s="212"/>
      <c r="I265" s="212">
        <f>IFERROR(__xludf.DUMMYFUNCTION("""COMPUTED_VALUE"""),1.0)</f>
        <v>1</v>
      </c>
      <c r="J265" s="212"/>
      <c r="K265" s="212" t="str">
        <f>IFERROR(__xludf.DUMMYFUNCTION("""COMPUTED_VALUE"""),"Orientación")</f>
        <v>Orientación</v>
      </c>
      <c r="L265" s="212" t="str">
        <f>IFERROR(__xludf.DUMMYFUNCTION("""COMPUTED_VALUE"""),"Juan Bautista De Las Carreras")</f>
        <v>Juan Bautista De Las Carreras</v>
      </c>
      <c r="M265" s="212"/>
      <c r="N265" s="212"/>
      <c r="O265" s="212" t="str">
        <f>IFERROR(__xludf.DUMMYFUNCTION("""COMPUTED_VALUE"""),"Juan Bautista De Las Carreras")</f>
        <v>Juan Bautista De Las Carreras</v>
      </c>
      <c r="P265" s="212" t="str">
        <f>IFERROR(__xludf.DUMMYFUNCTION("""COMPUTED_VALUE"""),"Orientacion")</f>
        <v>Orientacion</v>
      </c>
      <c r="Q265" s="212" t="str">
        <f>IFERROR(__xludf.DUMMYFUNCTION("""COMPUTED_VALUE"""),"Mantiene")</f>
        <v>Mantiene</v>
      </c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</row>
    <row r="266">
      <c r="A266" s="210" t="str">
        <f t="shared" si="1"/>
        <v>Valeria Denise Carmona</v>
      </c>
      <c r="B266" s="210">
        <f>IFERROR(__xludf.DUMMYFUNCTION("""COMPUTED_VALUE"""),13.0)</f>
        <v>13</v>
      </c>
      <c r="C266" s="211" t="str">
        <f>IFERROR(__xludf.DUMMYFUNCTION("""COMPUTED_VALUE"""),"4º A")</f>
        <v>4º A</v>
      </c>
      <c r="D266" s="212"/>
      <c r="E266" s="213"/>
      <c r="F266" s="212"/>
      <c r="G266" s="212"/>
      <c r="H266" s="212"/>
      <c r="I266" s="212">
        <f>IFERROR(__xludf.DUMMYFUNCTION("""COMPUTED_VALUE"""),2.0)</f>
        <v>2</v>
      </c>
      <c r="J266" s="212"/>
      <c r="K266" s="212" t="str">
        <f>IFERROR(__xludf.DUMMYFUNCTION("""COMPUTED_VALUE"""),"Portugués")</f>
        <v>Portugués</v>
      </c>
      <c r="L266" s="212" t="str">
        <f>IFERROR(__xludf.DUMMYFUNCTION("""COMPUTED_VALUE"""),"Christiane Bentes")</f>
        <v>Christiane Bentes</v>
      </c>
      <c r="M266" s="212"/>
      <c r="N266" s="212"/>
      <c r="O266" s="212" t="str">
        <f>IFERROR(__xludf.DUMMYFUNCTION("""COMPUTED_VALUE"""),"Valeria Denise Carmona")</f>
        <v>Valeria Denise Carmona</v>
      </c>
      <c r="P266" s="212" t="str">
        <f>IFERROR(__xludf.DUMMYFUNCTION("""COMPUTED_VALUE"""),"Expresion")</f>
        <v>Expresion</v>
      </c>
      <c r="Q266" s="212" t="str">
        <f>IFERROR(__xludf.DUMMYFUNCTION("""COMPUTED_VALUE"""),"Nuevo")</f>
        <v>Nuevo</v>
      </c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</row>
    <row r="267">
      <c r="A267" s="210" t="str">
        <f t="shared" si="1"/>
        <v>Bentes</v>
      </c>
      <c r="B267" s="210">
        <f>IFERROR(__xludf.DUMMYFUNCTION("""COMPUTED_VALUE"""),13.0)</f>
        <v>13</v>
      </c>
      <c r="C267" s="211" t="str">
        <f>IFERROR(__xludf.DUMMYFUNCTION("""COMPUTED_VALUE"""),"4º B")</f>
        <v>4º B</v>
      </c>
      <c r="D267" s="212"/>
      <c r="E267" s="213"/>
      <c r="F267" s="212"/>
      <c r="G267" s="212"/>
      <c r="H267" s="212"/>
      <c r="I267" s="212">
        <f>IFERROR(__xludf.DUMMYFUNCTION("""COMPUTED_VALUE"""),2.0)</f>
        <v>2</v>
      </c>
      <c r="J267" s="212"/>
      <c r="K267" s="212" t="str">
        <f>IFERROR(__xludf.DUMMYFUNCTION("""COMPUTED_VALUE"""),"Portugués")</f>
        <v>Portugués</v>
      </c>
      <c r="L267" s="212" t="str">
        <f>IFERROR(__xludf.DUMMYFUNCTION("""COMPUTED_VALUE"""),"Christiane Bentes")</f>
        <v>Christiane Bentes</v>
      </c>
      <c r="M267" s="212"/>
      <c r="N267" s="212"/>
      <c r="O267" s="212" t="str">
        <f>IFERROR(__xludf.DUMMYFUNCTION("""COMPUTED_VALUE"""),"Bentes")</f>
        <v>Bentes</v>
      </c>
      <c r="P267" s="212" t="str">
        <f>IFERROR(__xludf.DUMMYFUNCTION("""COMPUTED_VALUE"""),"Expresion")</f>
        <v>Expresion</v>
      </c>
      <c r="Q267" s="212" t="str">
        <f>IFERROR(__xludf.DUMMYFUNCTION("""COMPUTED_VALUE"""),"Nuevo")</f>
        <v>Nuevo</v>
      </c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</row>
    <row r="268">
      <c r="A268" s="210" t="str">
        <f t="shared" si="1"/>
        <v>María De Las Mercedes Pesado Riccardi</v>
      </c>
      <c r="B268" s="210">
        <f>IFERROR(__xludf.DUMMYFUNCTION("""COMPUTED_VALUE"""),14.0)</f>
        <v>14</v>
      </c>
      <c r="C268" s="211" t="str">
        <f>IFERROR(__xludf.DUMMYFUNCTION("""COMPUTED_VALUE"""),"4º A")</f>
        <v>4º A</v>
      </c>
      <c r="D268" s="212"/>
      <c r="E268" s="213"/>
      <c r="F268" s="212"/>
      <c r="G268" s="212" t="str">
        <f>IFERROR(__xludf.DUMMYFUNCTION("""COMPUTED_VALUE"""),"si")</f>
        <v>si</v>
      </c>
      <c r="H268" s="212"/>
      <c r="I268" s="212">
        <f>IFERROR(__xludf.DUMMYFUNCTION("""COMPUTED_VALUE"""),4.0)</f>
        <v>4</v>
      </c>
      <c r="J268" s="212"/>
      <c r="K268" s="212" t="str">
        <f>IFERROR(__xludf.DUMMYFUNCTION("""COMPUTED_VALUE"""),"Psicología y Adolescencia")</f>
        <v>Psicología y Adolescencia</v>
      </c>
      <c r="L268" s="212" t="str">
        <f>IFERROR(__xludf.DUMMYFUNCTION("""COMPUTED_VALUE"""),"María De Las Mercedes Pesado Riccardi")</f>
        <v>María De Las Mercedes Pesado Riccardi</v>
      </c>
      <c r="M268" s="212"/>
      <c r="N268" s="212"/>
      <c r="O268" s="212" t="str">
        <f>IFERROR(__xludf.DUMMYFUNCTION("""COMPUTED_VALUE"""),"María De Las Mercedes Pesado Riccardi")</f>
        <v>María De Las Mercedes Pesado Riccardi</v>
      </c>
      <c r="P268" s="212" t="str">
        <f>IFERROR(__xludf.DUMMYFUNCTION("""COMPUTED_VALUE"""),"Humanas")</f>
        <v>Humanas</v>
      </c>
      <c r="Q268" s="212" t="str">
        <f>IFERROR(__xludf.DUMMYFUNCTION("""COMPUTED_VALUE"""),"Mantiene")</f>
        <v>Mantiene</v>
      </c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</row>
    <row r="269">
      <c r="A269" s="210" t="str">
        <f t="shared" si="1"/>
        <v>María De Las Mercedes Pesado Riccardi</v>
      </c>
      <c r="B269" s="210">
        <f>IFERROR(__xludf.DUMMYFUNCTION("""COMPUTED_VALUE"""),14.0)</f>
        <v>14</v>
      </c>
      <c r="C269" s="211" t="str">
        <f>IFERROR(__xludf.DUMMYFUNCTION("""COMPUTED_VALUE"""),"4º B")</f>
        <v>4º B</v>
      </c>
      <c r="D269" s="212"/>
      <c r="E269" s="213"/>
      <c r="F269" s="212"/>
      <c r="G269" s="212" t="str">
        <f>IFERROR(__xludf.DUMMYFUNCTION("""COMPUTED_VALUE"""),"si")</f>
        <v>si</v>
      </c>
      <c r="H269" s="212"/>
      <c r="I269" s="212">
        <f>IFERROR(__xludf.DUMMYFUNCTION("""COMPUTED_VALUE"""),3.0)</f>
        <v>3</v>
      </c>
      <c r="J269" s="212"/>
      <c r="K269" s="212" t="str">
        <f>IFERROR(__xludf.DUMMYFUNCTION("""COMPUTED_VALUE"""),"Psicología y Adolescencia")</f>
        <v>Psicología y Adolescencia</v>
      </c>
      <c r="L269" s="212" t="str">
        <f>IFERROR(__xludf.DUMMYFUNCTION("""COMPUTED_VALUE"""),"María De Las Mercedes Pesado Riccardi")</f>
        <v>María De Las Mercedes Pesado Riccardi</v>
      </c>
      <c r="M269" s="212"/>
      <c r="N269" s="212"/>
      <c r="O269" s="212" t="str">
        <f>IFERROR(__xludf.DUMMYFUNCTION("""COMPUTED_VALUE"""),"María De Las Mercedes Pesado Riccardi")</f>
        <v>María De Las Mercedes Pesado Riccardi</v>
      </c>
      <c r="P269" s="212" t="str">
        <f>IFERROR(__xludf.DUMMYFUNCTION("""COMPUTED_VALUE"""),"Humanas")</f>
        <v>Humanas</v>
      </c>
      <c r="Q269" s="212" t="str">
        <f>IFERROR(__xludf.DUMMYFUNCTION("""COMPUTED_VALUE"""),"Mantiene")</f>
        <v>Mantiene</v>
      </c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</row>
    <row r="270">
      <c r="A270" s="210" t="str">
        <f t="shared" si="1"/>
        <v>Eduardo Gabriel Rougier</v>
      </c>
      <c r="B270" s="210">
        <f>IFERROR(__xludf.DUMMYFUNCTION("""COMPUTED_VALUE"""),15.0)</f>
        <v>15</v>
      </c>
      <c r="C270" s="211" t="str">
        <f>IFERROR(__xludf.DUMMYFUNCTION("""COMPUTED_VALUE"""),"4º A")</f>
        <v>4º A</v>
      </c>
      <c r="D270" s="212"/>
      <c r="E270" s="213"/>
      <c r="F270" s="212" t="str">
        <f>IFERROR(__xludf.DUMMYFUNCTION("""COMPUTED_VALUE"""),"Digi@rt")</f>
        <v>Digi@rt</v>
      </c>
      <c r="G270" s="212" t="str">
        <f>IFERROR(__xludf.DUMMYFUNCTION("""COMPUTED_VALUE"""),"si")</f>
        <v>si</v>
      </c>
      <c r="H270" s="212"/>
      <c r="I270" s="212">
        <f>IFERROR(__xludf.DUMMYFUNCTION("""COMPUTED_VALUE"""),1.0)</f>
        <v>1</v>
      </c>
      <c r="J270" s="212"/>
      <c r="K270" s="212" t="str">
        <f>IFERROR(__xludf.DUMMYFUNCTION("""COMPUTED_VALUE"""),"Digital Art")</f>
        <v>Digital Art</v>
      </c>
      <c r="L270" s="212" t="str">
        <f>IFERROR(__xludf.DUMMYFUNCTION("""COMPUTED_VALUE"""),"Eduardo Gabriel Rougier")</f>
        <v>Eduardo Gabriel Rougier</v>
      </c>
      <c r="M270" s="212" t="str">
        <f>IFERROR(__xludf.DUMMYFUNCTION("""COMPUTED_VALUE"""),"Verónica María Bonadeo")</f>
        <v>Verónica María Bonadeo</v>
      </c>
      <c r="N270" s="212"/>
      <c r="O270" s="212" t="str">
        <f>IFERROR(__xludf.DUMMYFUNCTION("""COMPUTED_VALUE"""),"Eduardo Gabriel Rougier")</f>
        <v>Eduardo Gabriel Rougier</v>
      </c>
      <c r="P270" s="212" t="str">
        <f>IFERROR(__xludf.DUMMYFUNCTION("""COMPUTED_VALUE"""),"Tecnologia")</f>
        <v>Tecnologia</v>
      </c>
      <c r="Q270" s="212" t="str">
        <f>IFERROR(__xludf.DUMMYFUNCTION("""COMPUTED_VALUE"""),"Mantiene")</f>
        <v>Mantiene</v>
      </c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</row>
    <row r="271">
      <c r="A271" s="210" t="str">
        <f t="shared" si="1"/>
        <v>Cecilia Garcia Reinoso</v>
      </c>
      <c r="B271" s="210">
        <f>IFERROR(__xludf.DUMMYFUNCTION("""COMPUTED_VALUE"""),15.0)</f>
        <v>15</v>
      </c>
      <c r="C271" s="211" t="str">
        <f>IFERROR(__xludf.DUMMYFUNCTION("""COMPUTED_VALUE"""),"4º B")</f>
        <v>4º B</v>
      </c>
      <c r="D271" s="212"/>
      <c r="E271" s="213"/>
      <c r="F271" s="212" t="str">
        <f>IFERROR(__xludf.DUMMYFUNCTION("""COMPUTED_VALUE"""),"Biology")</f>
        <v>Biology</v>
      </c>
      <c r="G271" s="212" t="str">
        <f>IFERROR(__xludf.DUMMYFUNCTION("""COMPUTED_VALUE"""),"si")</f>
        <v>si</v>
      </c>
      <c r="H271" s="212"/>
      <c r="I271" s="212">
        <f>IFERROR(__xludf.DUMMYFUNCTION("""COMPUTED_VALUE"""),2.0)</f>
        <v>2</v>
      </c>
      <c r="J271" s="212"/>
      <c r="K271" s="212" t="str">
        <f>IFERROR(__xludf.DUMMYFUNCTION("""COMPUTED_VALUE"""),"Biology")</f>
        <v>Biology</v>
      </c>
      <c r="L271" s="212" t="str">
        <f>IFERROR(__xludf.DUMMYFUNCTION("""COMPUTED_VALUE"""),"Cecilia Garcia Reinoso")</f>
        <v>Cecilia Garcia Reinoso</v>
      </c>
      <c r="M271" s="212"/>
      <c r="N271" s="212"/>
      <c r="O271" s="212" t="str">
        <f>IFERROR(__xludf.DUMMYFUNCTION("""COMPUTED_VALUE"""),"Cecilia Garcia Reinoso")</f>
        <v>Cecilia Garcia Reinoso</v>
      </c>
      <c r="P271" s="212" t="str">
        <f>IFERROR(__xludf.DUMMYFUNCTION("""COMPUTED_VALUE"""),"Exactas")</f>
        <v>Exactas</v>
      </c>
      <c r="Q271" s="212" t="str">
        <f>IFERROR(__xludf.DUMMYFUNCTION("""COMPUTED_VALUE"""),"Mantiene")</f>
        <v>Mantiene</v>
      </c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</row>
    <row r="272">
      <c r="A272" s="210" t="str">
        <f t="shared" si="1"/>
        <v>Cecilia Lund Petersen</v>
      </c>
      <c r="B272" s="210">
        <f>IFERROR(__xludf.DUMMYFUNCTION("""COMPUTED_VALUE"""),16.0)</f>
        <v>16</v>
      </c>
      <c r="C272" s="211" t="str">
        <f>IFERROR(__xludf.DUMMYFUNCTION("""COMPUTED_VALUE"""),"4º A")</f>
        <v>4º A</v>
      </c>
      <c r="D272" s="212"/>
      <c r="E272" s="213"/>
      <c r="F272" s="212" t="str">
        <f>IFERROR(__xludf.DUMMYFUNCTION("""COMPUTED_VALUE"""),"NatSci")</f>
        <v>NatSci</v>
      </c>
      <c r="G272" s="212" t="str">
        <f>IFERROR(__xludf.DUMMYFUNCTION("""COMPUTED_VALUE"""),"si")</f>
        <v>si</v>
      </c>
      <c r="H272" s="212"/>
      <c r="I272" s="212">
        <f>IFERROR(__xludf.DUMMYFUNCTION("""COMPUTED_VALUE"""),2.0)</f>
        <v>2</v>
      </c>
      <c r="J272" s="212"/>
      <c r="K272" s="212" t="str">
        <f>IFERROR(__xludf.DUMMYFUNCTION("""COMPUTED_VALUE"""),"Natural Sciences")</f>
        <v>Natural Sciences</v>
      </c>
      <c r="L272" s="212" t="str">
        <f>IFERROR(__xludf.DUMMYFUNCTION("""COMPUTED_VALUE"""),"Cecilia Lund Petersen")</f>
        <v>Cecilia Lund Petersen</v>
      </c>
      <c r="M272" s="212"/>
      <c r="N272" s="212"/>
      <c r="O272" s="212" t="str">
        <f>IFERROR(__xludf.DUMMYFUNCTION("""COMPUTED_VALUE"""),"Cecilia Lund Petersen")</f>
        <v>Cecilia Lund Petersen</v>
      </c>
      <c r="P272" s="212" t="str">
        <f>IFERROR(__xludf.DUMMYFUNCTION("""COMPUTED_VALUE"""),"Exactas")</f>
        <v>Exactas</v>
      </c>
      <c r="Q272" s="212" t="str">
        <f>IFERROR(__xludf.DUMMYFUNCTION("""COMPUTED_VALUE"""),"Mantiene")</f>
        <v>Mantiene</v>
      </c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</row>
    <row r="273">
      <c r="A273" s="210" t="str">
        <f t="shared" si="1"/>
        <v/>
      </c>
      <c r="B273" s="210">
        <f>IFERROR(__xludf.DUMMYFUNCTION("""COMPUTED_VALUE"""),16.0)</f>
        <v>16</v>
      </c>
      <c r="C273" s="211" t="str">
        <f>IFERROR(__xludf.DUMMYFUNCTION("""COMPUTED_VALUE"""),"4º B")</f>
        <v>4º B</v>
      </c>
      <c r="D273" s="212"/>
      <c r="E273" s="213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 t="str">
        <f>IFERROR(__xludf.DUMMYFUNCTION("""COMPUTED_VALUE"""),"")</f>
        <v/>
      </c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</row>
    <row r="274">
      <c r="A274" s="210" t="str">
        <f t="shared" si="1"/>
        <v/>
      </c>
      <c r="B274" s="210">
        <f>IFERROR(__xludf.DUMMYFUNCTION("""COMPUTED_VALUE"""),17.0)</f>
        <v>17</v>
      </c>
      <c r="C274" s="211" t="str">
        <f>IFERROR(__xludf.DUMMYFUNCTION("""COMPUTED_VALUE"""),"4º A")</f>
        <v>4º A</v>
      </c>
      <c r="D274" s="212"/>
      <c r="E274" s="213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 t="str">
        <f>IFERROR(__xludf.DUMMYFUNCTION("""COMPUTED_VALUE"""),"")</f>
        <v/>
      </c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</row>
    <row r="275">
      <c r="A275" s="210" t="str">
        <f t="shared" si="1"/>
        <v/>
      </c>
      <c r="B275" s="210">
        <f>IFERROR(__xludf.DUMMYFUNCTION("""COMPUTED_VALUE"""),17.0)</f>
        <v>17</v>
      </c>
      <c r="C275" s="211" t="str">
        <f>IFERROR(__xludf.DUMMYFUNCTION("""COMPUTED_VALUE"""),"4º B")</f>
        <v>4º B</v>
      </c>
      <c r="D275" s="212"/>
      <c r="E275" s="213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 t="str">
        <f>IFERROR(__xludf.DUMMYFUNCTION("""COMPUTED_VALUE"""),"")</f>
        <v/>
      </c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</row>
    <row r="276">
      <c r="A276" s="210" t="str">
        <f t="shared" si="1"/>
        <v/>
      </c>
      <c r="B276" s="210">
        <f>IFERROR(__xludf.DUMMYFUNCTION("""COMPUTED_VALUE"""),18.0)</f>
        <v>18</v>
      </c>
      <c r="C276" s="211" t="str">
        <f>IFERROR(__xludf.DUMMYFUNCTION("""COMPUTED_VALUE"""),"4º A")</f>
        <v>4º A</v>
      </c>
      <c r="D276" s="212"/>
      <c r="E276" s="213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 t="str">
        <f>IFERROR(__xludf.DUMMYFUNCTION("""COMPUTED_VALUE"""),"")</f>
        <v/>
      </c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</row>
    <row r="277">
      <c r="A277" s="210" t="str">
        <f t="shared" si="1"/>
        <v/>
      </c>
      <c r="B277" s="210">
        <f>IFERROR(__xludf.DUMMYFUNCTION("""COMPUTED_VALUE"""),18.0)</f>
        <v>18</v>
      </c>
      <c r="C277" s="211" t="str">
        <f>IFERROR(__xludf.DUMMYFUNCTION("""COMPUTED_VALUE"""),"4º B")</f>
        <v>4º B</v>
      </c>
      <c r="D277" s="212"/>
      <c r="E277" s="213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 t="str">
        <f>IFERROR(__xludf.DUMMYFUNCTION("""COMPUTED_VALUE"""),"")</f>
        <v/>
      </c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</row>
    <row r="278">
      <c r="A278" s="210" t="str">
        <f t="shared" si="1"/>
        <v/>
      </c>
      <c r="B278" s="210">
        <f>IFERROR(__xludf.DUMMYFUNCTION("""COMPUTED_VALUE"""),19.0)</f>
        <v>19</v>
      </c>
      <c r="C278" s="211" t="str">
        <f>IFERROR(__xludf.DUMMYFUNCTION("""COMPUTED_VALUE"""),"4º A")</f>
        <v>4º A</v>
      </c>
      <c r="D278" s="212"/>
      <c r="E278" s="213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 t="str">
        <f>IFERROR(__xludf.DUMMYFUNCTION("""COMPUTED_VALUE"""),"")</f>
        <v/>
      </c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</row>
    <row r="279">
      <c r="A279" s="210" t="str">
        <f t="shared" si="1"/>
        <v/>
      </c>
      <c r="B279" s="210">
        <f>IFERROR(__xludf.DUMMYFUNCTION("""COMPUTED_VALUE"""),19.0)</f>
        <v>19</v>
      </c>
      <c r="C279" s="211" t="str">
        <f>IFERROR(__xludf.DUMMYFUNCTION("""COMPUTED_VALUE"""),"4º B")</f>
        <v>4º B</v>
      </c>
      <c r="D279" s="212"/>
      <c r="E279" s="213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 t="str">
        <f>IFERROR(__xludf.DUMMYFUNCTION("""COMPUTED_VALUE"""),"")</f>
        <v/>
      </c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</row>
    <row r="280">
      <c r="A280" s="210" t="str">
        <f t="shared" si="1"/>
        <v/>
      </c>
      <c r="B280" s="210">
        <f>IFERROR(__xludf.DUMMYFUNCTION("""COMPUTED_VALUE"""),20.0)</f>
        <v>20</v>
      </c>
      <c r="C280" s="211" t="str">
        <f>IFERROR(__xludf.DUMMYFUNCTION("""COMPUTED_VALUE"""),"4º A")</f>
        <v>4º A</v>
      </c>
      <c r="D280" s="212"/>
      <c r="E280" s="213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 t="str">
        <f>IFERROR(__xludf.DUMMYFUNCTION("""COMPUTED_VALUE"""),"")</f>
        <v/>
      </c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</row>
    <row r="281">
      <c r="A281" s="210" t="str">
        <f t="shared" si="1"/>
        <v/>
      </c>
      <c r="B281" s="210">
        <f>IFERROR(__xludf.DUMMYFUNCTION("""COMPUTED_VALUE"""),20.0)</f>
        <v>20</v>
      </c>
      <c r="C281" s="211" t="str">
        <f>IFERROR(__xludf.DUMMYFUNCTION("""COMPUTED_VALUE"""),"4º B")</f>
        <v>4º B</v>
      </c>
      <c r="D281" s="212"/>
      <c r="E281" s="213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 t="str">
        <f>IFERROR(__xludf.DUMMYFUNCTION("""COMPUTED_VALUE"""),"")</f>
        <v/>
      </c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</row>
    <row r="282">
      <c r="A282" s="210" t="str">
        <f t="shared" si="1"/>
        <v/>
      </c>
      <c r="B282" s="210">
        <f>IFERROR(__xludf.DUMMYFUNCTION("""COMPUTED_VALUE"""),21.0)</f>
        <v>21</v>
      </c>
      <c r="C282" s="211" t="str">
        <f>IFERROR(__xludf.DUMMYFUNCTION("""COMPUTED_VALUE"""),"4º A")</f>
        <v>4º A</v>
      </c>
      <c r="D282" s="212"/>
      <c r="E282" s="213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 t="str">
        <f>IFERROR(__xludf.DUMMYFUNCTION("""COMPUTED_VALUE"""),"")</f>
        <v/>
      </c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</row>
    <row r="283">
      <c r="A283" s="210" t="str">
        <f t="shared" si="1"/>
        <v/>
      </c>
      <c r="B283" s="210">
        <f>IFERROR(__xludf.DUMMYFUNCTION("""COMPUTED_VALUE"""),21.0)</f>
        <v>21</v>
      </c>
      <c r="C283" s="211" t="str">
        <f>IFERROR(__xludf.DUMMYFUNCTION("""COMPUTED_VALUE"""),"4º B")</f>
        <v>4º B</v>
      </c>
      <c r="D283" s="212"/>
      <c r="E283" s="213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 t="str">
        <f>IFERROR(__xludf.DUMMYFUNCTION("""COMPUTED_VALUE"""),"")</f>
        <v/>
      </c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</row>
    <row r="284">
      <c r="A284" s="210" t="str">
        <f t="shared" si="1"/>
        <v/>
      </c>
      <c r="B284" s="210">
        <f>IFERROR(__xludf.DUMMYFUNCTION("""COMPUTED_VALUE"""),22.0)</f>
        <v>22</v>
      </c>
      <c r="C284" s="211" t="str">
        <f>IFERROR(__xludf.DUMMYFUNCTION("""COMPUTED_VALUE"""),"4º A")</f>
        <v>4º A</v>
      </c>
      <c r="D284" s="212"/>
      <c r="E284" s="213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 t="str">
        <f>IFERROR(__xludf.DUMMYFUNCTION("""COMPUTED_VALUE"""),"")</f>
        <v/>
      </c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</row>
    <row r="285">
      <c r="A285" s="210" t="str">
        <f t="shared" si="1"/>
        <v/>
      </c>
      <c r="B285" s="210">
        <f>IFERROR(__xludf.DUMMYFUNCTION("""COMPUTED_VALUE"""),22.0)</f>
        <v>22</v>
      </c>
      <c r="C285" s="211" t="str">
        <f>IFERROR(__xludf.DUMMYFUNCTION("""COMPUTED_VALUE"""),"4º B")</f>
        <v>4º B</v>
      </c>
      <c r="D285" s="212"/>
      <c r="E285" s="213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 t="str">
        <f>IFERROR(__xludf.DUMMYFUNCTION("""COMPUTED_VALUE"""),"")</f>
        <v/>
      </c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</row>
    <row r="286">
      <c r="A286" s="210" t="str">
        <f t="shared" si="1"/>
        <v/>
      </c>
      <c r="B286" s="210">
        <f>IFERROR(__xludf.DUMMYFUNCTION("""COMPUTED_VALUE"""),23.0)</f>
        <v>23</v>
      </c>
      <c r="C286" s="211" t="str">
        <f>IFERROR(__xludf.DUMMYFUNCTION("""COMPUTED_VALUE"""),"4º A")</f>
        <v>4º A</v>
      </c>
      <c r="D286" s="212"/>
      <c r="E286" s="213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 t="str">
        <f>IFERROR(__xludf.DUMMYFUNCTION("""COMPUTED_VALUE"""),"")</f>
        <v/>
      </c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</row>
    <row r="287">
      <c r="A287" s="210" t="str">
        <f t="shared" si="1"/>
        <v/>
      </c>
      <c r="B287" s="210">
        <f>IFERROR(__xludf.DUMMYFUNCTION("""COMPUTED_VALUE"""),23.0)</f>
        <v>23</v>
      </c>
      <c r="C287" s="211" t="str">
        <f>IFERROR(__xludf.DUMMYFUNCTION("""COMPUTED_VALUE"""),"4º B")</f>
        <v>4º B</v>
      </c>
      <c r="D287" s="212"/>
      <c r="E287" s="213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 t="str">
        <f>IFERROR(__xludf.DUMMYFUNCTION("""COMPUTED_VALUE"""),"")</f>
        <v/>
      </c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</row>
    <row r="288">
      <c r="A288" s="210" t="str">
        <f t="shared" si="1"/>
        <v/>
      </c>
      <c r="B288" s="210">
        <f>IFERROR(__xludf.DUMMYFUNCTION("""COMPUTED_VALUE"""),24.0)</f>
        <v>24</v>
      </c>
      <c r="C288" s="211" t="str">
        <f>IFERROR(__xludf.DUMMYFUNCTION("""COMPUTED_VALUE"""),"4º A")</f>
        <v>4º A</v>
      </c>
      <c r="D288" s="212"/>
      <c r="E288" s="213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 t="str">
        <f>IFERROR(__xludf.DUMMYFUNCTION("""COMPUTED_VALUE"""),"")</f>
        <v/>
      </c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</row>
    <row r="289">
      <c r="A289" s="210" t="str">
        <f t="shared" si="1"/>
        <v/>
      </c>
      <c r="B289" s="210">
        <f>IFERROR(__xludf.DUMMYFUNCTION("""COMPUTED_VALUE"""),24.0)</f>
        <v>24</v>
      </c>
      <c r="C289" s="211" t="str">
        <f>IFERROR(__xludf.DUMMYFUNCTION("""COMPUTED_VALUE"""),"4º B")</f>
        <v>4º B</v>
      </c>
      <c r="D289" s="212"/>
      <c r="E289" s="213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 t="str">
        <f>IFERROR(__xludf.DUMMYFUNCTION("""COMPUTED_VALUE"""),"")</f>
        <v/>
      </c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</row>
    <row r="290">
      <c r="A290" s="210" t="str">
        <f t="shared" si="1"/>
        <v/>
      </c>
      <c r="B290" s="210">
        <f>IFERROR(__xludf.DUMMYFUNCTION("""COMPUTED_VALUE"""),25.0)</f>
        <v>25</v>
      </c>
      <c r="C290" s="211" t="str">
        <f>IFERROR(__xludf.DUMMYFUNCTION("""COMPUTED_VALUE"""),"4º A")</f>
        <v>4º A</v>
      </c>
      <c r="D290" s="212"/>
      <c r="E290" s="213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 t="str">
        <f>IFERROR(__xludf.DUMMYFUNCTION("""COMPUTED_VALUE"""),"")</f>
        <v/>
      </c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</row>
    <row r="291">
      <c r="A291" s="210" t="str">
        <f t="shared" si="1"/>
        <v/>
      </c>
      <c r="B291" s="210">
        <f>IFERROR(__xludf.DUMMYFUNCTION("""COMPUTED_VALUE"""),25.0)</f>
        <v>25</v>
      </c>
      <c r="C291" s="211" t="str">
        <f>IFERROR(__xludf.DUMMYFUNCTION("""COMPUTED_VALUE"""),"4º B")</f>
        <v>4º B</v>
      </c>
      <c r="D291" s="212"/>
      <c r="E291" s="213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 t="str">
        <f>IFERROR(__xludf.DUMMYFUNCTION("""COMPUTED_VALUE"""),"")</f>
        <v/>
      </c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</row>
    <row r="292">
      <c r="A292" s="210" t="str">
        <f t="shared" si="1"/>
        <v/>
      </c>
      <c r="B292" s="210">
        <f>IFERROR(__xludf.DUMMYFUNCTION("""COMPUTED_VALUE"""),26.0)</f>
        <v>26</v>
      </c>
      <c r="C292" s="211" t="str">
        <f>IFERROR(__xludf.DUMMYFUNCTION("""COMPUTED_VALUE"""),"4º A")</f>
        <v>4º A</v>
      </c>
      <c r="D292" s="212"/>
      <c r="E292" s="213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 t="str">
        <f>IFERROR(__xludf.DUMMYFUNCTION("""COMPUTED_VALUE"""),"")</f>
        <v/>
      </c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</row>
    <row r="293">
      <c r="A293" s="210" t="str">
        <f t="shared" si="1"/>
        <v/>
      </c>
      <c r="B293" s="210">
        <f>IFERROR(__xludf.DUMMYFUNCTION("""COMPUTED_VALUE"""),26.0)</f>
        <v>26</v>
      </c>
      <c r="C293" s="211" t="str">
        <f>IFERROR(__xludf.DUMMYFUNCTION("""COMPUTED_VALUE"""),"4º B")</f>
        <v>4º B</v>
      </c>
      <c r="D293" s="212"/>
      <c r="E293" s="213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 t="str">
        <f>IFERROR(__xludf.DUMMYFUNCTION("""COMPUTED_VALUE"""),"")</f>
        <v/>
      </c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</row>
    <row r="294">
      <c r="A294" s="210" t="str">
        <f t="shared" si="1"/>
        <v/>
      </c>
      <c r="B294" s="210">
        <f>IFERROR(__xludf.DUMMYFUNCTION("""COMPUTED_VALUE"""),27.0)</f>
        <v>27</v>
      </c>
      <c r="C294" s="211" t="str">
        <f>IFERROR(__xludf.DUMMYFUNCTION("""COMPUTED_VALUE"""),"4º A")</f>
        <v>4º A</v>
      </c>
      <c r="D294" s="212"/>
      <c r="E294" s="213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 t="str">
        <f>IFERROR(__xludf.DUMMYFUNCTION("""COMPUTED_VALUE"""),"")</f>
        <v/>
      </c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</row>
    <row r="295">
      <c r="A295" s="210" t="str">
        <f t="shared" si="1"/>
        <v/>
      </c>
      <c r="B295" s="210">
        <f>IFERROR(__xludf.DUMMYFUNCTION("""COMPUTED_VALUE"""),27.0)</f>
        <v>27</v>
      </c>
      <c r="C295" s="211" t="str">
        <f>IFERROR(__xludf.DUMMYFUNCTION("""COMPUTED_VALUE"""),"4º B")</f>
        <v>4º B</v>
      </c>
      <c r="D295" s="212"/>
      <c r="E295" s="213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 t="str">
        <f>IFERROR(__xludf.DUMMYFUNCTION("""COMPUTED_VALUE"""),"")</f>
        <v/>
      </c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</row>
    <row r="296">
      <c r="A296" s="210" t="str">
        <f t="shared" si="1"/>
        <v/>
      </c>
      <c r="B296" s="210">
        <f>IFERROR(__xludf.DUMMYFUNCTION("""COMPUTED_VALUE"""),28.0)</f>
        <v>28</v>
      </c>
      <c r="C296" s="211" t="str">
        <f>IFERROR(__xludf.DUMMYFUNCTION("""COMPUTED_VALUE"""),"4º A")</f>
        <v>4º A</v>
      </c>
      <c r="D296" s="212"/>
      <c r="E296" s="213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 t="str">
        <f>IFERROR(__xludf.DUMMYFUNCTION("""COMPUTED_VALUE"""),"")</f>
        <v/>
      </c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</row>
    <row r="297">
      <c r="A297" s="210" t="str">
        <f t="shared" si="1"/>
        <v/>
      </c>
      <c r="B297" s="210">
        <f>IFERROR(__xludf.DUMMYFUNCTION("""COMPUTED_VALUE"""),28.0)</f>
        <v>28</v>
      </c>
      <c r="C297" s="211" t="str">
        <f>IFERROR(__xludf.DUMMYFUNCTION("""COMPUTED_VALUE"""),"4º B")</f>
        <v>4º B</v>
      </c>
      <c r="D297" s="212"/>
      <c r="E297" s="213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 t="str">
        <f>IFERROR(__xludf.DUMMYFUNCTION("""COMPUTED_VALUE"""),"")</f>
        <v/>
      </c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</row>
    <row r="298">
      <c r="A298" s="210" t="str">
        <f t="shared" si="1"/>
        <v/>
      </c>
      <c r="B298" s="210">
        <f>IFERROR(__xludf.DUMMYFUNCTION("""COMPUTED_VALUE"""),29.0)</f>
        <v>29</v>
      </c>
      <c r="C298" s="211" t="str">
        <f>IFERROR(__xludf.DUMMYFUNCTION("""COMPUTED_VALUE"""),"4º A")</f>
        <v>4º A</v>
      </c>
      <c r="D298" s="212"/>
      <c r="E298" s="213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 t="str">
        <f>IFERROR(__xludf.DUMMYFUNCTION("""COMPUTED_VALUE"""),"")</f>
        <v/>
      </c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</row>
    <row r="299">
      <c r="A299" s="210" t="str">
        <f t="shared" si="1"/>
        <v/>
      </c>
      <c r="B299" s="210">
        <f>IFERROR(__xludf.DUMMYFUNCTION("""COMPUTED_VALUE"""),29.0)</f>
        <v>29</v>
      </c>
      <c r="C299" s="211" t="str">
        <f>IFERROR(__xludf.DUMMYFUNCTION("""COMPUTED_VALUE"""),"4º B")</f>
        <v>4º B</v>
      </c>
      <c r="D299" s="212"/>
      <c r="E299" s="213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 t="str">
        <f>IFERROR(__xludf.DUMMYFUNCTION("""COMPUTED_VALUE"""),"")</f>
        <v/>
      </c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</row>
    <row r="300">
      <c r="A300" s="210" t="str">
        <f t="shared" si="1"/>
        <v/>
      </c>
      <c r="B300" s="210">
        <f>IFERROR(__xludf.DUMMYFUNCTION("""COMPUTED_VALUE"""),30.0)</f>
        <v>30</v>
      </c>
      <c r="C300" s="211" t="str">
        <f>IFERROR(__xludf.DUMMYFUNCTION("""COMPUTED_VALUE"""),"4º A")</f>
        <v>4º A</v>
      </c>
      <c r="D300" s="212"/>
      <c r="E300" s="213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 t="str">
        <f>IFERROR(__xludf.DUMMYFUNCTION("""COMPUTED_VALUE"""),"")</f>
        <v/>
      </c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</row>
    <row r="301">
      <c r="A301" s="210" t="str">
        <f t="shared" si="1"/>
        <v/>
      </c>
      <c r="B301" s="210">
        <f>IFERROR(__xludf.DUMMYFUNCTION("""COMPUTED_VALUE"""),30.0)</f>
        <v>30</v>
      </c>
      <c r="C301" s="211" t="str">
        <f>IFERROR(__xludf.DUMMYFUNCTION("""COMPUTED_VALUE"""),"4º B")</f>
        <v>4º B</v>
      </c>
      <c r="D301" s="212"/>
      <c r="E301" s="213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 t="str">
        <f>IFERROR(__xludf.DUMMYFUNCTION("""COMPUTED_VALUE"""),"")</f>
        <v/>
      </c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</row>
    <row r="302">
      <c r="A302" s="210" t="str">
        <f t="shared" si="1"/>
        <v/>
      </c>
      <c r="B302" s="210">
        <f>IFERROR(__xludf.DUMMYFUNCTION("""COMPUTED_VALUE"""),31.0)</f>
        <v>31</v>
      </c>
      <c r="C302" s="211" t="str">
        <f>IFERROR(__xludf.DUMMYFUNCTION("""COMPUTED_VALUE"""),"4º A")</f>
        <v>4º A</v>
      </c>
      <c r="D302" s="212"/>
      <c r="E302" s="213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 t="str">
        <f>IFERROR(__xludf.DUMMYFUNCTION("""COMPUTED_VALUE"""),"")</f>
        <v/>
      </c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</row>
    <row r="303">
      <c r="A303" s="210" t="str">
        <f t="shared" si="1"/>
        <v/>
      </c>
      <c r="B303" s="210">
        <f>IFERROR(__xludf.DUMMYFUNCTION("""COMPUTED_VALUE"""),31.0)</f>
        <v>31</v>
      </c>
      <c r="C303" s="211" t="str">
        <f>IFERROR(__xludf.DUMMYFUNCTION("""COMPUTED_VALUE"""),"4º B")</f>
        <v>4º B</v>
      </c>
      <c r="D303" s="212"/>
      <c r="E303" s="213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 t="str">
        <f>IFERROR(__xludf.DUMMYFUNCTION("""COMPUTED_VALUE"""),"")</f>
        <v/>
      </c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</row>
    <row r="304">
      <c r="A304" s="210" t="str">
        <f t="shared" si="1"/>
        <v/>
      </c>
      <c r="B304" s="210">
        <f>IFERROR(__xludf.DUMMYFUNCTION("""COMPUTED_VALUE"""),32.0)</f>
        <v>32</v>
      </c>
      <c r="C304" s="211" t="str">
        <f>IFERROR(__xludf.DUMMYFUNCTION("""COMPUTED_VALUE"""),"4º A")</f>
        <v>4º A</v>
      </c>
      <c r="D304" s="212"/>
      <c r="E304" s="213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 t="str">
        <f>IFERROR(__xludf.DUMMYFUNCTION("""COMPUTED_VALUE"""),"")</f>
        <v/>
      </c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</row>
    <row r="305">
      <c r="A305" s="210" t="str">
        <f t="shared" si="1"/>
        <v/>
      </c>
      <c r="B305" s="210">
        <f>IFERROR(__xludf.DUMMYFUNCTION("""COMPUTED_VALUE"""),32.0)</f>
        <v>32</v>
      </c>
      <c r="C305" s="211" t="str">
        <f>IFERROR(__xludf.DUMMYFUNCTION("""COMPUTED_VALUE"""),"4º B")</f>
        <v>4º B</v>
      </c>
      <c r="D305" s="212"/>
      <c r="E305" s="213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 t="str">
        <f>IFERROR(__xludf.DUMMYFUNCTION("""COMPUTED_VALUE"""),"")</f>
        <v/>
      </c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</row>
    <row r="306">
      <c r="A306" s="210" t="str">
        <f t="shared" si="1"/>
        <v/>
      </c>
      <c r="B306" s="210">
        <f>IFERROR(__xludf.DUMMYFUNCTION("""COMPUTED_VALUE"""),33.0)</f>
        <v>33</v>
      </c>
      <c r="C306" s="211" t="str">
        <f>IFERROR(__xludf.DUMMYFUNCTION("""COMPUTED_VALUE"""),"4º A")</f>
        <v>4º A</v>
      </c>
      <c r="D306" s="212"/>
      <c r="E306" s="213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 t="str">
        <f>IFERROR(__xludf.DUMMYFUNCTION("""COMPUTED_VALUE"""),"")</f>
        <v/>
      </c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</row>
    <row r="307">
      <c r="A307" s="210" t="str">
        <f t="shared" si="1"/>
        <v/>
      </c>
      <c r="B307" s="210">
        <f>IFERROR(__xludf.DUMMYFUNCTION("""COMPUTED_VALUE"""),33.0)</f>
        <v>33</v>
      </c>
      <c r="C307" s="211" t="str">
        <f>IFERROR(__xludf.DUMMYFUNCTION("""COMPUTED_VALUE"""),"4º B")</f>
        <v>4º B</v>
      </c>
      <c r="D307" s="212"/>
      <c r="E307" s="213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 t="str">
        <f>IFERROR(__xludf.DUMMYFUNCTION("""COMPUTED_VALUE"""),"")</f>
        <v/>
      </c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</row>
    <row r="308">
      <c r="A308" s="210" t="str">
        <f t="shared" si="1"/>
        <v/>
      </c>
      <c r="B308" s="210">
        <f>IFERROR(__xludf.DUMMYFUNCTION("""COMPUTED_VALUE"""),34.0)</f>
        <v>34</v>
      </c>
      <c r="C308" s="211" t="str">
        <f>IFERROR(__xludf.DUMMYFUNCTION("""COMPUTED_VALUE"""),"4º A")</f>
        <v>4º A</v>
      </c>
      <c r="D308" s="212"/>
      <c r="E308" s="213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 t="str">
        <f>IFERROR(__xludf.DUMMYFUNCTION("""COMPUTED_VALUE"""),"")</f>
        <v/>
      </c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</row>
    <row r="309">
      <c r="A309" s="210" t="str">
        <f t="shared" si="1"/>
        <v/>
      </c>
      <c r="B309" s="210">
        <f>IFERROR(__xludf.DUMMYFUNCTION("""COMPUTED_VALUE"""),34.0)</f>
        <v>34</v>
      </c>
      <c r="C309" s="211" t="str">
        <f>IFERROR(__xludf.DUMMYFUNCTION("""COMPUTED_VALUE"""),"4º B")</f>
        <v>4º B</v>
      </c>
      <c r="D309" s="212"/>
      <c r="E309" s="213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 t="str">
        <f>IFERROR(__xludf.DUMMYFUNCTION("""COMPUTED_VALUE"""),"")</f>
        <v/>
      </c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</row>
    <row r="310">
      <c r="A310" s="210" t="str">
        <f t="shared" si="1"/>
        <v/>
      </c>
      <c r="B310" s="210">
        <f>IFERROR(__xludf.DUMMYFUNCTION("""COMPUTED_VALUE"""),35.0)</f>
        <v>35</v>
      </c>
      <c r="C310" s="211" t="str">
        <f>IFERROR(__xludf.DUMMYFUNCTION("""COMPUTED_VALUE"""),"4º A")</f>
        <v>4º A</v>
      </c>
      <c r="D310" s="212"/>
      <c r="E310" s="213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 t="str">
        <f>IFERROR(__xludf.DUMMYFUNCTION("""COMPUTED_VALUE"""),"")</f>
        <v/>
      </c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</row>
    <row r="311">
      <c r="A311" s="210" t="str">
        <f t="shared" si="1"/>
        <v/>
      </c>
      <c r="B311" s="210">
        <f>IFERROR(__xludf.DUMMYFUNCTION("""COMPUTED_VALUE"""),35.0)</f>
        <v>35</v>
      </c>
      <c r="C311" s="211" t="str">
        <f>IFERROR(__xludf.DUMMYFUNCTION("""COMPUTED_VALUE"""),"4º B")</f>
        <v>4º B</v>
      </c>
      <c r="D311" s="212"/>
      <c r="E311" s="213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 t="str">
        <f>IFERROR(__xludf.DUMMYFUNCTION("""COMPUTED_VALUE"""),"")</f>
        <v/>
      </c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</row>
    <row r="312">
      <c r="A312" s="210" t="str">
        <f t="shared" si="1"/>
        <v/>
      </c>
      <c r="B312" s="210">
        <f>IFERROR(__xludf.DUMMYFUNCTION("""COMPUTED_VALUE"""),36.0)</f>
        <v>36</v>
      </c>
      <c r="C312" s="211" t="str">
        <f>IFERROR(__xludf.DUMMYFUNCTION("""COMPUTED_VALUE"""),"4º A")</f>
        <v>4º A</v>
      </c>
      <c r="D312" s="212"/>
      <c r="E312" s="213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 t="str">
        <f>IFERROR(__xludf.DUMMYFUNCTION("""COMPUTED_VALUE"""),"")</f>
        <v/>
      </c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</row>
    <row r="313">
      <c r="A313" s="210" t="str">
        <f t="shared" si="1"/>
        <v/>
      </c>
      <c r="B313" s="210">
        <f>IFERROR(__xludf.DUMMYFUNCTION("""COMPUTED_VALUE"""),36.0)</f>
        <v>36</v>
      </c>
      <c r="C313" s="211" t="str">
        <f>IFERROR(__xludf.DUMMYFUNCTION("""COMPUTED_VALUE"""),"4º B")</f>
        <v>4º B</v>
      </c>
      <c r="D313" s="212"/>
      <c r="E313" s="213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 t="str">
        <f>IFERROR(__xludf.DUMMYFUNCTION("""COMPUTED_VALUE"""),"")</f>
        <v/>
      </c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</row>
    <row r="314">
      <c r="A314" s="210" t="str">
        <f t="shared" si="1"/>
        <v/>
      </c>
      <c r="B314" s="210">
        <f>IFERROR(__xludf.DUMMYFUNCTION("""COMPUTED_VALUE"""),37.0)</f>
        <v>37</v>
      </c>
      <c r="C314" s="211" t="str">
        <f>IFERROR(__xludf.DUMMYFUNCTION("""COMPUTED_VALUE"""),"4º A")</f>
        <v>4º A</v>
      </c>
      <c r="D314" s="212"/>
      <c r="E314" s="213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 t="str">
        <f>IFERROR(__xludf.DUMMYFUNCTION("""COMPUTED_VALUE"""),"")</f>
        <v/>
      </c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</row>
    <row r="315">
      <c r="A315" s="210" t="str">
        <f t="shared" si="1"/>
        <v/>
      </c>
      <c r="B315" s="210">
        <f>IFERROR(__xludf.DUMMYFUNCTION("""COMPUTED_VALUE"""),37.0)</f>
        <v>37</v>
      </c>
      <c r="C315" s="211" t="str">
        <f>IFERROR(__xludf.DUMMYFUNCTION("""COMPUTED_VALUE"""),"4º B")</f>
        <v>4º B</v>
      </c>
      <c r="D315" s="212"/>
      <c r="E315" s="213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 t="str">
        <f>IFERROR(__xludf.DUMMYFUNCTION("""COMPUTED_VALUE"""),"")</f>
        <v/>
      </c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</row>
    <row r="316">
      <c r="A316" s="210" t="str">
        <f t="shared" si="1"/>
        <v/>
      </c>
      <c r="B316" s="210">
        <f>IFERROR(__xludf.DUMMYFUNCTION("""COMPUTED_VALUE"""),38.0)</f>
        <v>38</v>
      </c>
      <c r="C316" s="211" t="str">
        <f>IFERROR(__xludf.DUMMYFUNCTION("""COMPUTED_VALUE"""),"4º A")</f>
        <v>4º A</v>
      </c>
      <c r="D316" s="212"/>
      <c r="E316" s="213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 t="str">
        <f>IFERROR(__xludf.DUMMYFUNCTION("""COMPUTED_VALUE"""),"")</f>
        <v/>
      </c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</row>
    <row r="317">
      <c r="A317" s="210" t="str">
        <f t="shared" si="1"/>
        <v/>
      </c>
      <c r="B317" s="210">
        <f>IFERROR(__xludf.DUMMYFUNCTION("""COMPUTED_VALUE"""),38.0)</f>
        <v>38</v>
      </c>
      <c r="C317" s="211" t="str">
        <f>IFERROR(__xludf.DUMMYFUNCTION("""COMPUTED_VALUE"""),"4º B")</f>
        <v>4º B</v>
      </c>
      <c r="D317" s="212"/>
      <c r="E317" s="213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 t="str">
        <f>IFERROR(__xludf.DUMMYFUNCTION("""COMPUTED_VALUE"""),"")</f>
        <v/>
      </c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</row>
    <row r="318">
      <c r="A318" s="210" t="str">
        <f t="shared" si="1"/>
        <v/>
      </c>
      <c r="B318" s="210">
        <f>IFERROR(__xludf.DUMMYFUNCTION("""COMPUTED_VALUE"""),39.0)</f>
        <v>39</v>
      </c>
      <c r="C318" s="211" t="str">
        <f>IFERROR(__xludf.DUMMYFUNCTION("""COMPUTED_VALUE"""),"4º A")</f>
        <v>4º A</v>
      </c>
      <c r="D318" s="212"/>
      <c r="E318" s="213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 t="str">
        <f>IFERROR(__xludf.DUMMYFUNCTION("""COMPUTED_VALUE"""),"")</f>
        <v/>
      </c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</row>
    <row r="319">
      <c r="A319" s="210" t="str">
        <f t="shared" si="1"/>
        <v/>
      </c>
      <c r="B319" s="210">
        <f>IFERROR(__xludf.DUMMYFUNCTION("""COMPUTED_VALUE"""),39.0)</f>
        <v>39</v>
      </c>
      <c r="C319" s="211" t="str">
        <f>IFERROR(__xludf.DUMMYFUNCTION("""COMPUTED_VALUE"""),"4º B")</f>
        <v>4º B</v>
      </c>
      <c r="D319" s="212"/>
      <c r="E319" s="213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 t="str">
        <f>IFERROR(__xludf.DUMMYFUNCTION("""COMPUTED_VALUE"""),"")</f>
        <v/>
      </c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</row>
    <row r="320">
      <c r="A320" s="210" t="str">
        <f t="shared" si="1"/>
        <v/>
      </c>
      <c r="B320" s="210">
        <f>IFERROR(__xludf.DUMMYFUNCTION("""COMPUTED_VALUE"""),40.0)</f>
        <v>40</v>
      </c>
      <c r="C320" s="211" t="str">
        <f>IFERROR(__xludf.DUMMYFUNCTION("""COMPUTED_VALUE"""),"4º A")</f>
        <v>4º A</v>
      </c>
      <c r="D320" s="212"/>
      <c r="E320" s="213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 t="str">
        <f>IFERROR(__xludf.DUMMYFUNCTION("""COMPUTED_VALUE"""),"")</f>
        <v/>
      </c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</row>
    <row r="321">
      <c r="A321" s="210" t="str">
        <f t="shared" si="1"/>
        <v/>
      </c>
      <c r="B321" s="210">
        <f>IFERROR(__xludf.DUMMYFUNCTION("""COMPUTED_VALUE"""),40.0)</f>
        <v>40</v>
      </c>
      <c r="C321" s="211" t="str">
        <f>IFERROR(__xludf.DUMMYFUNCTION("""COMPUTED_VALUE"""),"4º B")</f>
        <v>4º B</v>
      </c>
      <c r="D321" s="212"/>
      <c r="E321" s="213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 t="str">
        <f>IFERROR(__xludf.DUMMYFUNCTION("""COMPUTED_VALUE"""),"")</f>
        <v/>
      </c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</row>
    <row r="322">
      <c r="A322" s="210" t="str">
        <f t="shared" si="1"/>
        <v>Gabriel Aluzzo</v>
      </c>
      <c r="B322" s="210">
        <f>IFERROR(__xludf.DUMMYFUNCTION("""COMPUTED_VALUE"""),1.0)</f>
        <v>1</v>
      </c>
      <c r="C322" s="211" t="str">
        <f>IFERROR(__xludf.DUMMYFUNCTION("""COMPUTED_VALUE"""),"5º A")</f>
        <v>5º A</v>
      </c>
      <c r="D322" s="212"/>
      <c r="E322" s="213"/>
      <c r="F322" s="212" t="str">
        <f>IFERROR(__xludf.DUMMYFUNCTION("""COMPUTED_VALUE"""),"Grupo O")</f>
        <v>Grupo O</v>
      </c>
      <c r="G322" s="212"/>
      <c r="H322" s="212"/>
      <c r="I322" s="212">
        <f>IFERROR(__xludf.DUMMYFUNCTION("""COMPUTED_VALUE"""),1.0)</f>
        <v>1</v>
      </c>
      <c r="J322" s="212"/>
      <c r="K322" s="212" t="str">
        <f>IFERROR(__xludf.DUMMYFUNCTION("""COMPUTED_VALUE"""),"Arte")</f>
        <v>Arte</v>
      </c>
      <c r="L322" s="212" t="str">
        <f>IFERROR(__xludf.DUMMYFUNCTION("""COMPUTED_VALUE"""),"Gabriel Aluzzo")</f>
        <v>Gabriel Aluzzo</v>
      </c>
      <c r="M322" s="212"/>
      <c r="N322" s="212"/>
      <c r="O322" s="212" t="str">
        <f>IFERROR(__xludf.DUMMYFUNCTION("""COMPUTED_VALUE"""),"Gabriel Aluzzo")</f>
        <v>Gabriel Aluzzo</v>
      </c>
      <c r="P322" s="212" t="str">
        <f>IFERROR(__xludf.DUMMYFUNCTION("""COMPUTED_VALUE"""),"Expresion")</f>
        <v>Expresion</v>
      </c>
      <c r="Q322" s="212" t="str">
        <f>IFERROR(__xludf.DUMMYFUNCTION("""COMPUTED_VALUE"""),"Mantiene")</f>
        <v>Mantiene</v>
      </c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</row>
    <row r="323">
      <c r="A323" s="210" t="str">
        <f t="shared" si="1"/>
        <v>Gabriel Aluzzo</v>
      </c>
      <c r="B323" s="210">
        <f>IFERROR(__xludf.DUMMYFUNCTION("""COMPUTED_VALUE"""),1.0)</f>
        <v>1</v>
      </c>
      <c r="C323" s="211" t="str">
        <f>IFERROR(__xludf.DUMMYFUNCTION("""COMPUTED_VALUE"""),"5º B")</f>
        <v>5º B</v>
      </c>
      <c r="D323" s="212"/>
      <c r="E323" s="213"/>
      <c r="F323" s="212" t="str">
        <f>IFERROR(__xludf.DUMMYFUNCTION("""COMPUTED_VALUE"""),"Grupo P")</f>
        <v>Grupo P</v>
      </c>
      <c r="G323" s="212"/>
      <c r="H323" s="212"/>
      <c r="I323" s="212">
        <f>IFERROR(__xludf.DUMMYFUNCTION("""COMPUTED_VALUE"""),1.0)</f>
        <v>1</v>
      </c>
      <c r="J323" s="212"/>
      <c r="K323" s="212" t="str">
        <f>IFERROR(__xludf.DUMMYFUNCTION("""COMPUTED_VALUE"""),"Arte")</f>
        <v>Arte</v>
      </c>
      <c r="L323" s="212" t="str">
        <f>IFERROR(__xludf.DUMMYFUNCTION("""COMPUTED_VALUE"""),"Gabriel Aluzzo")</f>
        <v>Gabriel Aluzzo</v>
      </c>
      <c r="M323" s="212"/>
      <c r="N323" s="212"/>
      <c r="O323" s="212" t="str">
        <f>IFERROR(__xludf.DUMMYFUNCTION("""COMPUTED_VALUE"""),"Gabriel Aluzzo")</f>
        <v>Gabriel Aluzzo</v>
      </c>
      <c r="P323" s="212" t="str">
        <f>IFERROR(__xludf.DUMMYFUNCTION("""COMPUTED_VALUE"""),"Expresion")</f>
        <v>Expresion</v>
      </c>
      <c r="Q323" s="212" t="str">
        <f>IFERROR(__xludf.DUMMYFUNCTION("""COMPUTED_VALUE"""),"Mantiene")</f>
        <v>Mantiene</v>
      </c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</row>
    <row r="324">
      <c r="A324" s="210" t="str">
        <f t="shared" si="1"/>
        <v>Valeria Cerruti</v>
      </c>
      <c r="B324" s="210">
        <f>IFERROR(__xludf.DUMMYFUNCTION("""COMPUTED_VALUE"""),2.0)</f>
        <v>2</v>
      </c>
      <c r="C324" s="211" t="str">
        <f>IFERROR(__xludf.DUMMYFUNCTION("""COMPUTED_VALUE"""),"5º A")</f>
        <v>5º A</v>
      </c>
      <c r="D324" s="212"/>
      <c r="E324" s="213"/>
      <c r="F324" s="212" t="str">
        <f>IFERROR(__xludf.DUMMYFUNCTION("""COMPUTED_VALUE"""),"Chem B")</f>
        <v>Chem B</v>
      </c>
      <c r="G324" s="212" t="str">
        <f>IFERROR(__xludf.DUMMYFUNCTION("""COMPUTED_VALUE"""),"si")</f>
        <v>si</v>
      </c>
      <c r="H324" s="212"/>
      <c r="I324" s="212">
        <f>IFERROR(__xludf.DUMMYFUNCTION("""COMPUTED_VALUE"""),2.0)</f>
        <v>2</v>
      </c>
      <c r="J324" s="212"/>
      <c r="K324" s="212" t="str">
        <f>IFERROR(__xludf.DUMMYFUNCTION("""COMPUTED_VALUE"""),"Chemistry")</f>
        <v>Chemistry</v>
      </c>
      <c r="L324" s="212" t="str">
        <f>IFERROR(__xludf.DUMMYFUNCTION("""COMPUTED_VALUE"""),"Pablo Baeck")</f>
        <v>Pablo Baeck</v>
      </c>
      <c r="M324" s="212"/>
      <c r="N324" s="212"/>
      <c r="O324" s="212" t="str">
        <f>IFERROR(__xludf.DUMMYFUNCTION("""COMPUTED_VALUE"""),"Valeria Cerruti")</f>
        <v>Valeria Cerruti</v>
      </c>
      <c r="P324" s="212" t="str">
        <f>IFERROR(__xludf.DUMMYFUNCTION("""COMPUTED_VALUE"""),"Exactas")</f>
        <v>Exactas</v>
      </c>
      <c r="Q324" s="212" t="str">
        <f>IFERROR(__xludf.DUMMYFUNCTION("""COMPUTED_VALUE"""),"Nuevo x baja de profesor")</f>
        <v>Nuevo x baja de profesor</v>
      </c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</row>
    <row r="325">
      <c r="A325" s="210" t="str">
        <f t="shared" si="1"/>
        <v>Valeria Cerruti</v>
      </c>
      <c r="B325" s="210">
        <f>IFERROR(__xludf.DUMMYFUNCTION("""COMPUTED_VALUE"""),2.0)</f>
        <v>2</v>
      </c>
      <c r="C325" s="211" t="str">
        <f>IFERROR(__xludf.DUMMYFUNCTION("""COMPUTED_VALUE"""),"5º B")</f>
        <v>5º B</v>
      </c>
      <c r="D325" s="212"/>
      <c r="E325" s="213"/>
      <c r="F325" s="212" t="str">
        <f>IFERROR(__xludf.DUMMYFUNCTION("""COMPUTED_VALUE"""),"Chem GR")</f>
        <v>Chem GR</v>
      </c>
      <c r="G325" s="212" t="str">
        <f>IFERROR(__xludf.DUMMYFUNCTION("""COMPUTED_VALUE"""),"si")</f>
        <v>si</v>
      </c>
      <c r="H325" s="212"/>
      <c r="I325" s="212">
        <f>IFERROR(__xludf.DUMMYFUNCTION("""COMPUTED_VALUE"""),2.0)</f>
        <v>2</v>
      </c>
      <c r="J325" s="212"/>
      <c r="K325" s="212" t="str">
        <f>IFERROR(__xludf.DUMMYFUNCTION("""COMPUTED_VALUE"""),"Chemistry")</f>
        <v>Chemistry</v>
      </c>
      <c r="L325" s="212" t="str">
        <f>IFERROR(__xludf.DUMMYFUNCTION("""COMPUTED_VALUE"""),"Cecilia Garcia Reinoso")</f>
        <v>Cecilia Garcia Reinoso</v>
      </c>
      <c r="M325" s="212"/>
      <c r="N325" s="212"/>
      <c r="O325" s="212" t="str">
        <f>IFERROR(__xludf.DUMMYFUNCTION("""COMPUTED_VALUE"""),"Valeria Cerruti")</f>
        <v>Valeria Cerruti</v>
      </c>
      <c r="P325" s="212" t="str">
        <f>IFERROR(__xludf.DUMMYFUNCTION("""COMPUTED_VALUE"""),"Exactas")</f>
        <v>Exactas</v>
      </c>
      <c r="Q325" s="212" t="str">
        <f>IFERROR(__xludf.DUMMYFUNCTION("""COMPUTED_VALUE"""),"Nuevo x baja de profesor")</f>
        <v>Nuevo x baja de profesor</v>
      </c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</row>
    <row r="326">
      <c r="A326" s="210" t="str">
        <f t="shared" si="1"/>
        <v>Cecilia Inés Dubini</v>
      </c>
      <c r="B326" s="210">
        <f>IFERROR(__xludf.DUMMYFUNCTION("""COMPUTED_VALUE"""),3.0)</f>
        <v>3</v>
      </c>
      <c r="C326" s="211" t="str">
        <f>IFERROR(__xludf.DUMMYFUNCTION("""COMPUTED_VALUE"""),"5º A")</f>
        <v>5º A</v>
      </c>
      <c r="D326" s="212"/>
      <c r="E326" s="213"/>
      <c r="F326" s="212"/>
      <c r="G326" s="212" t="str">
        <f>IFERROR(__xludf.DUMMYFUNCTION("""COMPUTED_VALUE"""),"si")</f>
        <v>si</v>
      </c>
      <c r="H326" s="212"/>
      <c r="I326" s="212">
        <f>IFERROR(__xludf.DUMMYFUNCTION("""COMPUTED_VALUE"""),4.0)</f>
        <v>4</v>
      </c>
      <c r="J326" s="212"/>
      <c r="K326" s="212" t="str">
        <f>IFERROR(__xludf.DUMMYFUNCTION("""COMPUTED_VALUE"""),"Educación Física")</f>
        <v>Educación Física</v>
      </c>
      <c r="L326" s="212" t="str">
        <f>IFERROR(__xludf.DUMMYFUNCTION("""COMPUTED_VALUE"""),"Cecilia Inés Dubini ")</f>
        <v>Cecilia Inés Dubini </v>
      </c>
      <c r="M326" s="212" t="str">
        <f>IFERROR(__xludf.DUMMYFUNCTION("""COMPUTED_VALUE"""),"Fernando Xavier Valle")</f>
        <v>Fernando Xavier Valle</v>
      </c>
      <c r="N326" s="212"/>
      <c r="O326" s="212" t="str">
        <f>IFERROR(__xludf.DUMMYFUNCTION("""COMPUTED_VALUE"""),"Cecilia Inés Dubini")</f>
        <v>Cecilia Inés Dubini</v>
      </c>
      <c r="P326" s="212" t="str">
        <f>IFERROR(__xludf.DUMMYFUNCTION("""COMPUTED_VALUE"""),"Educación Física")</f>
        <v>Educación Física</v>
      </c>
      <c r="Q326" s="212" t="str">
        <f>IFERROR(__xludf.DUMMYFUNCTION("""COMPUTED_VALUE"""),"Nuevo")</f>
        <v>Nuevo</v>
      </c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</row>
    <row r="327">
      <c r="A327" s="210" t="str">
        <f t="shared" si="1"/>
        <v>Iván Mauro Pasini</v>
      </c>
      <c r="B327" s="210">
        <f>IFERROR(__xludf.DUMMYFUNCTION("""COMPUTED_VALUE"""),3.0)</f>
        <v>3</v>
      </c>
      <c r="C327" s="211" t="str">
        <f>IFERROR(__xludf.DUMMYFUNCTION("""COMPUTED_VALUE"""),"5º B")</f>
        <v>5º B</v>
      </c>
      <c r="D327" s="212"/>
      <c r="E327" s="213"/>
      <c r="F327" s="212"/>
      <c r="G327" s="212" t="str">
        <f>IFERROR(__xludf.DUMMYFUNCTION("""COMPUTED_VALUE"""),"si")</f>
        <v>si</v>
      </c>
      <c r="H327" s="212"/>
      <c r="I327" s="212">
        <f>IFERROR(__xludf.DUMMYFUNCTION("""COMPUTED_VALUE"""),4.0)</f>
        <v>4</v>
      </c>
      <c r="J327" s="212"/>
      <c r="K327" s="212" t="str">
        <f>IFERROR(__xludf.DUMMYFUNCTION("""COMPUTED_VALUE"""),"Educación Física")</f>
        <v>Educación Física</v>
      </c>
      <c r="L327" s="212" t="str">
        <f>IFERROR(__xludf.DUMMYFUNCTION("""COMPUTED_VALUE"""),"Ivan Pasini")</f>
        <v>Ivan Pasini</v>
      </c>
      <c r="M327" s="212" t="str">
        <f>IFERROR(__xludf.DUMMYFUNCTION("""COMPUTED_VALUE"""),"Fernando Xavier Valle")</f>
        <v>Fernando Xavier Valle</v>
      </c>
      <c r="N327" s="212"/>
      <c r="O327" s="212" t="str">
        <f>IFERROR(__xludf.DUMMYFUNCTION("""COMPUTED_VALUE"""),"Iván Mauro Pasini")</f>
        <v>Iván Mauro Pasini</v>
      </c>
      <c r="P327" s="212" t="str">
        <f>IFERROR(__xludf.DUMMYFUNCTION("""COMPUTED_VALUE"""),"Educación Física")</f>
        <v>Educación Física</v>
      </c>
      <c r="Q327" s="212" t="str">
        <f>IFERROR(__xludf.DUMMYFUNCTION("""COMPUTED_VALUE"""),"Nuevo")</f>
        <v>Nuevo</v>
      </c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</row>
    <row r="328">
      <c r="A328" s="210" t="str">
        <f t="shared" si="1"/>
        <v>pilar</v>
      </c>
      <c r="B328" s="210">
        <f>IFERROR(__xludf.DUMMYFUNCTION("""COMPUTED_VALUE"""),4.0)</f>
        <v>4</v>
      </c>
      <c r="C328" s="211" t="str">
        <f>IFERROR(__xludf.DUMMYFUNCTION("""COMPUTED_VALUE"""),"5º A")</f>
        <v>5º A</v>
      </c>
      <c r="D328" s="212"/>
      <c r="E328" s="213"/>
      <c r="F328" s="212" t="str">
        <f>IFERROR(__xludf.DUMMYFUNCTION("""COMPUTED_VALUE"""),"Grupo O")</f>
        <v>Grupo O</v>
      </c>
      <c r="G328" s="212" t="str">
        <f>IFERROR(__xludf.DUMMYFUNCTION("""COMPUTED_VALUE"""),"si")</f>
        <v>si</v>
      </c>
      <c r="H328" s="212"/>
      <c r="I328" s="212">
        <f>IFERROR(__xludf.DUMMYFUNCTION("""COMPUTED_VALUE"""),3.0)</f>
        <v>3</v>
      </c>
      <c r="J328" s="212"/>
      <c r="K328" s="212" t="str">
        <f>IFERROR(__xludf.DUMMYFUNCTION("""COMPUTED_VALUE"""),"Environmental Management")</f>
        <v>Environmental Management</v>
      </c>
      <c r="L328" s="212" t="str">
        <f>IFERROR(__xludf.DUMMYFUNCTION("""COMPUTED_VALUE"""),"Sofia Constanza Martin Muller")</f>
        <v>Sofia Constanza Martin Muller</v>
      </c>
      <c r="M328" s="212"/>
      <c r="N328" s="212"/>
      <c r="O328" s="212" t="str">
        <f>IFERROR(__xludf.DUMMYFUNCTION("""COMPUTED_VALUE"""),"pilar")</f>
        <v>pilar</v>
      </c>
      <c r="P328" s="212" t="str">
        <f>IFERROR(__xludf.DUMMYFUNCTION("""COMPUTED_VALUE"""),"Humanas")</f>
        <v>Humanas</v>
      </c>
      <c r="Q328" s="212" t="str">
        <f>IFERROR(__xludf.DUMMYFUNCTION("""COMPUTED_VALUE"""),"Nuevo por cambio de profesor")</f>
        <v>Nuevo por cambio de profesor</v>
      </c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</row>
    <row r="329">
      <c r="A329" s="210" t="str">
        <f t="shared" si="1"/>
        <v>pilar</v>
      </c>
      <c r="B329" s="210">
        <f>IFERROR(__xludf.DUMMYFUNCTION("""COMPUTED_VALUE"""),4.0)</f>
        <v>4</v>
      </c>
      <c r="C329" s="211" t="str">
        <f>IFERROR(__xludf.DUMMYFUNCTION("""COMPUTED_VALUE"""),"5º B")</f>
        <v>5º B</v>
      </c>
      <c r="D329" s="212"/>
      <c r="E329" s="213"/>
      <c r="F329" s="212" t="str">
        <f>IFERROR(__xludf.DUMMYFUNCTION("""COMPUTED_VALUE"""),"Grupo P")</f>
        <v>Grupo P</v>
      </c>
      <c r="G329" s="212" t="str">
        <f>IFERROR(__xludf.DUMMYFUNCTION("""COMPUTED_VALUE"""),"si")</f>
        <v>si</v>
      </c>
      <c r="H329" s="212"/>
      <c r="I329" s="212">
        <f>IFERROR(__xludf.DUMMYFUNCTION("""COMPUTED_VALUE"""),3.0)</f>
        <v>3</v>
      </c>
      <c r="J329" s="212"/>
      <c r="K329" s="212" t="str">
        <f>IFERROR(__xludf.DUMMYFUNCTION("""COMPUTED_VALUE"""),"Environmental Management")</f>
        <v>Environmental Management</v>
      </c>
      <c r="L329" s="212" t="str">
        <f>IFERROR(__xludf.DUMMYFUNCTION("""COMPUTED_VALUE"""),"Sofia Constanza Martin Muller")</f>
        <v>Sofia Constanza Martin Muller</v>
      </c>
      <c r="M329" s="212"/>
      <c r="N329" s="212"/>
      <c r="O329" s="212" t="str">
        <f>IFERROR(__xludf.DUMMYFUNCTION("""COMPUTED_VALUE"""),"pilar")</f>
        <v>pilar</v>
      </c>
      <c r="P329" s="212" t="str">
        <f>IFERROR(__xludf.DUMMYFUNCTION("""COMPUTED_VALUE"""),"Humanas")</f>
        <v>Humanas</v>
      </c>
      <c r="Q329" s="212" t="str">
        <f>IFERROR(__xludf.DUMMYFUNCTION("""COMPUTED_VALUE"""),"Nuevo por cambio de profesor")</f>
        <v>Nuevo por cambio de profesor</v>
      </c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</row>
    <row r="330">
      <c r="A330" s="210" t="str">
        <f t="shared" si="1"/>
        <v>Marina Aberg Cobo</v>
      </c>
      <c r="B330" s="210">
        <f>IFERROR(__xludf.DUMMYFUNCTION("""COMPUTED_VALUE"""),5.0)</f>
        <v>5</v>
      </c>
      <c r="C330" s="211" t="str">
        <f>IFERROR(__xludf.DUMMYFUNCTION("""COMPUTED_VALUE"""),"5º A")</f>
        <v>5º A</v>
      </c>
      <c r="D330" s="212"/>
      <c r="E330" s="213"/>
      <c r="F330" s="212" t="str">
        <f>IFERROR(__xludf.DUMMYFUNCTION("""COMPUTED_VALUE"""),"Grupo O")</f>
        <v>Grupo O</v>
      </c>
      <c r="G330" s="212" t="str">
        <f>IFERROR(__xludf.DUMMYFUNCTION("""COMPUTED_VALUE"""),"si")</f>
        <v>si</v>
      </c>
      <c r="H330" s="212"/>
      <c r="I330" s="212">
        <f>IFERROR(__xludf.DUMMYFUNCTION("""COMPUTED_VALUE"""),4.0)</f>
        <v>4</v>
      </c>
      <c r="J330" s="212"/>
      <c r="K330" s="212" t="str">
        <f>IFERROR(__xludf.DUMMYFUNCTION("""COMPUTED_VALUE"""),"Financial and Entrepeneurial Education")</f>
        <v>Financial and Entrepeneurial Education</v>
      </c>
      <c r="L330" s="212" t="str">
        <f>IFERROR(__xludf.DUMMYFUNCTION("""COMPUTED_VALUE"""),"Marina Aberg Cobo")</f>
        <v>Marina Aberg Cobo</v>
      </c>
      <c r="M330" s="212"/>
      <c r="N330" s="212"/>
      <c r="O330" s="212" t="str">
        <f>IFERROR(__xludf.DUMMYFUNCTION("""COMPUTED_VALUE"""),"Marina Aberg Cobo")</f>
        <v>Marina Aberg Cobo</v>
      </c>
      <c r="P330" s="212" t="str">
        <f>IFERROR(__xludf.DUMMYFUNCTION("""COMPUTED_VALUE"""),"Humanas")</f>
        <v>Humanas</v>
      </c>
      <c r="Q330" s="212" t="str">
        <f>IFERROR(__xludf.DUMMYFUNCTION("""COMPUTED_VALUE"""),"Mantiene")</f>
        <v>Mantiene</v>
      </c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</row>
    <row r="331">
      <c r="A331" s="210" t="str">
        <f t="shared" si="1"/>
        <v>Marina Aberg Cobo</v>
      </c>
      <c r="B331" s="210">
        <f>IFERROR(__xludf.DUMMYFUNCTION("""COMPUTED_VALUE"""),5.0)</f>
        <v>5</v>
      </c>
      <c r="C331" s="211" t="str">
        <f>IFERROR(__xludf.DUMMYFUNCTION("""COMPUTED_VALUE"""),"5º B")</f>
        <v>5º B</v>
      </c>
      <c r="D331" s="212"/>
      <c r="E331" s="213"/>
      <c r="F331" s="212" t="str">
        <f>IFERROR(__xludf.DUMMYFUNCTION("""COMPUTED_VALUE"""),"Grupo P")</f>
        <v>Grupo P</v>
      </c>
      <c r="G331" s="212" t="str">
        <f>IFERROR(__xludf.DUMMYFUNCTION("""COMPUTED_VALUE"""),"si")</f>
        <v>si</v>
      </c>
      <c r="H331" s="212"/>
      <c r="I331" s="212">
        <f>IFERROR(__xludf.DUMMYFUNCTION("""COMPUTED_VALUE"""),4.0)</f>
        <v>4</v>
      </c>
      <c r="J331" s="212"/>
      <c r="K331" s="212" t="str">
        <f>IFERROR(__xludf.DUMMYFUNCTION("""COMPUTED_VALUE"""),"Financial and Entrepeneurial Education")</f>
        <v>Financial and Entrepeneurial Education</v>
      </c>
      <c r="L331" s="212" t="str">
        <f>IFERROR(__xludf.DUMMYFUNCTION("""COMPUTED_VALUE"""),"Marina Aberg Cobo")</f>
        <v>Marina Aberg Cobo</v>
      </c>
      <c r="M331" s="212"/>
      <c r="N331" s="212"/>
      <c r="O331" s="212" t="str">
        <f>IFERROR(__xludf.DUMMYFUNCTION("""COMPUTED_VALUE"""),"Marina Aberg Cobo")</f>
        <v>Marina Aberg Cobo</v>
      </c>
      <c r="P331" s="212" t="str">
        <f>IFERROR(__xludf.DUMMYFUNCTION("""COMPUTED_VALUE"""),"Humanas")</f>
        <v>Humanas</v>
      </c>
      <c r="Q331" s="212" t="str">
        <f>IFERROR(__xludf.DUMMYFUNCTION("""COMPUTED_VALUE"""),"Mantiene")</f>
        <v>Mantiene</v>
      </c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</row>
    <row r="332">
      <c r="A332" s="210" t="str">
        <f t="shared" si="1"/>
        <v>Marcos Berro García</v>
      </c>
      <c r="B332" s="210">
        <f>IFERROR(__xludf.DUMMYFUNCTION("""COMPUTED_VALUE"""),6.0)</f>
        <v>6</v>
      </c>
      <c r="C332" s="211" t="str">
        <f>IFERROR(__xludf.DUMMYFUNCTION("""COMPUTED_VALUE"""),"5º A")</f>
        <v>5º A</v>
      </c>
      <c r="D332" s="212"/>
      <c r="E332" s="213"/>
      <c r="F332" s="212"/>
      <c r="G332" s="212"/>
      <c r="H332" s="212"/>
      <c r="I332" s="212">
        <f>IFERROR(__xludf.DUMMYFUNCTION("""COMPUTED_VALUE"""),2.0)</f>
        <v>2</v>
      </c>
      <c r="J332" s="212"/>
      <c r="K332" s="212" t="str">
        <f>IFERROR(__xludf.DUMMYFUNCTION("""COMPUTED_VALUE"""),"Formación Católica")</f>
        <v>Formación Católica</v>
      </c>
      <c r="L332" s="212" t="str">
        <f>IFERROR(__xludf.DUMMYFUNCTION("""COMPUTED_VALUE"""),"Agustina Bieule")</f>
        <v>Agustina Bieule</v>
      </c>
      <c r="M332" s="212"/>
      <c r="N332" s="212"/>
      <c r="O332" s="212" t="str">
        <f>IFERROR(__xludf.DUMMYFUNCTION("""COMPUTED_VALUE"""),"Marcos Berro García")</f>
        <v>Marcos Berro García</v>
      </c>
      <c r="P332" s="212" t="str">
        <f>IFERROR(__xludf.DUMMYFUNCTION("""COMPUTED_VALUE"""),"Formación Católica")</f>
        <v>Formación Católica</v>
      </c>
      <c r="Q332" s="212" t="str">
        <f>IFERROR(__xludf.DUMMYFUNCTION("""COMPUTED_VALUE"""),"Nuevo")</f>
        <v>Nuevo</v>
      </c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</row>
    <row r="333">
      <c r="A333" s="210" t="str">
        <f t="shared" si="1"/>
        <v>Marcos Berro García</v>
      </c>
      <c r="B333" s="210">
        <f>IFERROR(__xludf.DUMMYFUNCTION("""COMPUTED_VALUE"""),6.0)</f>
        <v>6</v>
      </c>
      <c r="C333" s="211" t="str">
        <f>IFERROR(__xludf.DUMMYFUNCTION("""COMPUTED_VALUE"""),"5º B")</f>
        <v>5º B</v>
      </c>
      <c r="D333" s="212"/>
      <c r="E333" s="213"/>
      <c r="F333" s="212"/>
      <c r="G333" s="212"/>
      <c r="H333" s="212"/>
      <c r="I333" s="212"/>
      <c r="J333" s="212"/>
      <c r="K333" s="212" t="str">
        <f>IFERROR(__xludf.DUMMYFUNCTION("""COMPUTED_VALUE"""),"Formación Católica")</f>
        <v>Formación Católica</v>
      </c>
      <c r="L333" s="212" t="str">
        <f>IFERROR(__xludf.DUMMYFUNCTION("""COMPUTED_VALUE"""),"Marcos Berro García")</f>
        <v>Marcos Berro García</v>
      </c>
      <c r="M333" s="212"/>
      <c r="N333" s="212"/>
      <c r="O333" s="212" t="str">
        <f>IFERROR(__xludf.DUMMYFUNCTION("""COMPUTED_VALUE"""),"Marcos Berro García")</f>
        <v>Marcos Berro García</v>
      </c>
      <c r="P333" s="212" t="str">
        <f>IFERROR(__xludf.DUMMYFUNCTION("""COMPUTED_VALUE"""),"Formación Católica")</f>
        <v>Formación Católica</v>
      </c>
      <c r="Q333" s="212" t="str">
        <f>IFERROR(__xludf.DUMMYFUNCTION("""COMPUTED_VALUE"""),"Mantiene")</f>
        <v>Mantiene</v>
      </c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</row>
    <row r="334">
      <c r="A334" s="210" t="str">
        <f t="shared" si="1"/>
        <v>Cecilia Moirano</v>
      </c>
      <c r="B334" s="210">
        <f>IFERROR(__xludf.DUMMYFUNCTION("""COMPUTED_VALUE"""),7.0)</f>
        <v>7</v>
      </c>
      <c r="C334" s="211" t="str">
        <f>IFERROR(__xludf.DUMMYFUNCTION("""COMPUTED_VALUE"""),"5º A")</f>
        <v>5º A</v>
      </c>
      <c r="D334" s="212"/>
      <c r="E334" s="213"/>
      <c r="F334" s="212" t="str">
        <f>IFERROR(__xludf.DUMMYFUNCTION("""COMPUTED_VALUE"""),"Grupo O")</f>
        <v>Grupo O</v>
      </c>
      <c r="G334" s="212" t="str">
        <f>IFERROR(__xludf.DUMMYFUNCTION("""COMPUTED_VALUE"""),"si")</f>
        <v>si</v>
      </c>
      <c r="H334" s="212"/>
      <c r="I334" s="212">
        <f>IFERROR(__xludf.DUMMYFUNCTION("""COMPUTED_VALUE"""),5.0)</f>
        <v>5</v>
      </c>
      <c r="J334" s="212"/>
      <c r="K334" s="212" t="str">
        <f>IFERROR(__xludf.DUMMYFUNCTION("""COMPUTED_VALUE"""),"Global Perspectives")</f>
        <v>Global Perspectives</v>
      </c>
      <c r="L334" s="212" t="str">
        <f>IFERROR(__xludf.DUMMYFUNCTION("""COMPUTED_VALUE"""),"Cecilia Moirano")</f>
        <v>Cecilia Moirano</v>
      </c>
      <c r="M334" s="212"/>
      <c r="N334" s="212"/>
      <c r="O334" s="212" t="str">
        <f>IFERROR(__xludf.DUMMYFUNCTION("""COMPUTED_VALUE"""),"Cecilia Moirano")</f>
        <v>Cecilia Moirano</v>
      </c>
      <c r="P334" s="212" t="str">
        <f>IFERROR(__xludf.DUMMYFUNCTION("""COMPUTED_VALUE"""),"Humanas")</f>
        <v>Humanas</v>
      </c>
      <c r="Q334" s="212" t="str">
        <f>IFERROR(__xludf.DUMMYFUNCTION("""COMPUTED_VALUE"""),"Mantiene")</f>
        <v>Mantiene</v>
      </c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</row>
    <row r="335">
      <c r="A335" s="210" t="str">
        <f t="shared" si="1"/>
        <v>Cecilia Moirano</v>
      </c>
      <c r="B335" s="210">
        <f>IFERROR(__xludf.DUMMYFUNCTION("""COMPUTED_VALUE"""),7.0)</f>
        <v>7</v>
      </c>
      <c r="C335" s="211" t="str">
        <f>IFERROR(__xludf.DUMMYFUNCTION("""COMPUTED_VALUE"""),"5º B")</f>
        <v>5º B</v>
      </c>
      <c r="D335" s="212"/>
      <c r="E335" s="213"/>
      <c r="F335" s="212" t="str">
        <f>IFERROR(__xludf.DUMMYFUNCTION("""COMPUTED_VALUE"""),"Grupo P")</f>
        <v>Grupo P</v>
      </c>
      <c r="G335" s="212" t="str">
        <f>IFERROR(__xludf.DUMMYFUNCTION("""COMPUTED_VALUE"""),"si")</f>
        <v>si</v>
      </c>
      <c r="H335" s="212"/>
      <c r="I335" s="212">
        <f>IFERROR(__xludf.DUMMYFUNCTION("""COMPUTED_VALUE"""),5.0)</f>
        <v>5</v>
      </c>
      <c r="J335" s="212"/>
      <c r="K335" s="212" t="str">
        <f>IFERROR(__xludf.DUMMYFUNCTION("""COMPUTED_VALUE"""),"Global Perspectives")</f>
        <v>Global Perspectives</v>
      </c>
      <c r="L335" s="212" t="str">
        <f>IFERROR(__xludf.DUMMYFUNCTION("""COMPUTED_VALUE"""),"Cecilia Moirano")</f>
        <v>Cecilia Moirano</v>
      </c>
      <c r="M335" s="212"/>
      <c r="N335" s="212"/>
      <c r="O335" s="212" t="str">
        <f>IFERROR(__xludf.DUMMYFUNCTION("""COMPUTED_VALUE"""),"Cecilia Moirano")</f>
        <v>Cecilia Moirano</v>
      </c>
      <c r="P335" s="212" t="str">
        <f>IFERROR(__xludf.DUMMYFUNCTION("""COMPUTED_VALUE"""),"Humanas")</f>
        <v>Humanas</v>
      </c>
      <c r="Q335" s="212" t="str">
        <f>IFERROR(__xludf.DUMMYFUNCTION("""COMPUTED_VALUE"""),"Mantiene")</f>
        <v>Mantiene</v>
      </c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</row>
    <row r="336">
      <c r="A336" s="210" t="str">
        <f t="shared" si="1"/>
        <v>María Candelaria Roca González Del Solar</v>
      </c>
      <c r="B336" s="210">
        <f>IFERROR(__xludf.DUMMYFUNCTION("""COMPUTED_VALUE"""),8.0)</f>
        <v>8</v>
      </c>
      <c r="C336" s="211" t="str">
        <f>IFERROR(__xludf.DUMMYFUNCTION("""COMPUTED_VALUE"""),"5º A")</f>
        <v>5º A</v>
      </c>
      <c r="D336" s="212"/>
      <c r="E336" s="213"/>
      <c r="F336" s="212" t="str">
        <f>IFERROR(__xludf.DUMMYFUNCTION("""COMPUTED_VALUE"""),"Grupo O")</f>
        <v>Grupo O</v>
      </c>
      <c r="G336" s="212" t="str">
        <f>IFERROR(__xludf.DUMMYFUNCTION("""COMPUTED_VALUE"""),"si")</f>
        <v>si</v>
      </c>
      <c r="H336" s="212"/>
      <c r="I336" s="212">
        <f>IFERROR(__xludf.DUMMYFUNCTION("""COMPUTED_VALUE"""),3.0)</f>
        <v>3</v>
      </c>
      <c r="J336" s="212"/>
      <c r="K336" s="212" t="str">
        <f>IFERROR(__xludf.DUMMYFUNCTION("""COMPUTED_VALUE"""),"History")</f>
        <v>History</v>
      </c>
      <c r="L336" s="212" t="str">
        <f>IFERROR(__xludf.DUMMYFUNCTION("""COMPUTED_VALUE"""),"María Candelaria Roca González Del Solar")</f>
        <v>María Candelaria Roca González Del Solar</v>
      </c>
      <c r="M336" s="212"/>
      <c r="N336" s="212"/>
      <c r="O336" s="212" t="str">
        <f>IFERROR(__xludf.DUMMYFUNCTION("""COMPUTED_VALUE"""),"María Candelaria Roca González Del Solar")</f>
        <v>María Candelaria Roca González Del Solar</v>
      </c>
      <c r="P336" s="212" t="str">
        <f>IFERROR(__xludf.DUMMYFUNCTION("""COMPUTED_VALUE"""),"Humanas")</f>
        <v>Humanas</v>
      </c>
      <c r="Q336" s="212" t="str">
        <f>IFERROR(__xludf.DUMMYFUNCTION("""COMPUTED_VALUE"""),"Mantiene")</f>
        <v>Mantiene</v>
      </c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</row>
    <row r="337">
      <c r="A337" s="210" t="str">
        <f t="shared" si="1"/>
        <v>María Candelaria Roca González Del Solar</v>
      </c>
      <c r="B337" s="210">
        <f>IFERROR(__xludf.DUMMYFUNCTION("""COMPUTED_VALUE"""),8.0)</f>
        <v>8</v>
      </c>
      <c r="C337" s="211" t="str">
        <f>IFERROR(__xludf.DUMMYFUNCTION("""COMPUTED_VALUE"""),"5º B")</f>
        <v>5º B</v>
      </c>
      <c r="D337" s="212"/>
      <c r="E337" s="213"/>
      <c r="F337" s="212" t="str">
        <f>IFERROR(__xludf.DUMMYFUNCTION("""COMPUTED_VALUE"""),"Grupo P")</f>
        <v>Grupo P</v>
      </c>
      <c r="G337" s="212" t="str">
        <f>IFERROR(__xludf.DUMMYFUNCTION("""COMPUTED_VALUE"""),"si")</f>
        <v>si</v>
      </c>
      <c r="H337" s="212"/>
      <c r="I337" s="212">
        <f>IFERROR(__xludf.DUMMYFUNCTION("""COMPUTED_VALUE"""),3.0)</f>
        <v>3</v>
      </c>
      <c r="J337" s="212"/>
      <c r="K337" s="212" t="str">
        <f>IFERROR(__xludf.DUMMYFUNCTION("""COMPUTED_VALUE"""),"History")</f>
        <v>History</v>
      </c>
      <c r="L337" s="212" t="str">
        <f>IFERROR(__xludf.DUMMYFUNCTION("""COMPUTED_VALUE"""),"María Candelaria Roca González Del Solar")</f>
        <v>María Candelaria Roca González Del Solar</v>
      </c>
      <c r="M337" s="212"/>
      <c r="N337" s="212"/>
      <c r="O337" s="212" t="str">
        <f>IFERROR(__xludf.DUMMYFUNCTION("""COMPUTED_VALUE"""),"María Candelaria Roca González Del Solar")</f>
        <v>María Candelaria Roca González Del Solar</v>
      </c>
      <c r="P337" s="212" t="str">
        <f>IFERROR(__xludf.DUMMYFUNCTION("""COMPUTED_VALUE"""),"Humanas")</f>
        <v>Humanas</v>
      </c>
      <c r="Q337" s="212" t="str">
        <f>IFERROR(__xludf.DUMMYFUNCTION("""COMPUTED_VALUE"""),"Mantiene")</f>
        <v>Mantiene</v>
      </c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</row>
    <row r="338">
      <c r="A338" s="210" t="str">
        <f t="shared" si="1"/>
        <v>Helena Pérez Mendoza</v>
      </c>
      <c r="B338" s="210">
        <f>IFERROR(__xludf.DUMMYFUNCTION("""COMPUTED_VALUE"""),9.0)</f>
        <v>9</v>
      </c>
      <c r="C338" s="211" t="str">
        <f>IFERROR(__xludf.DUMMYFUNCTION("""COMPUTED_VALUE"""),"5º A")</f>
        <v>5º A</v>
      </c>
      <c r="D338" s="212"/>
      <c r="E338" s="213"/>
      <c r="F338" s="212" t="str">
        <f>IFERROR(__xludf.DUMMYFUNCTION("""COMPUTED_VALUE"""),"Grupo O")</f>
        <v>Grupo O</v>
      </c>
      <c r="G338" s="212"/>
      <c r="H338" s="212"/>
      <c r="I338" s="212">
        <f>IFERROR(__xludf.DUMMYFUNCTION("""COMPUTED_VALUE"""),1.0)</f>
        <v>1</v>
      </c>
      <c r="J338" s="212"/>
      <c r="K338" s="212" t="str">
        <f>IFERROR(__xludf.DUMMYFUNCTION("""COMPUTED_VALUE"""),"Liderazgo al Servicio")</f>
        <v>Liderazgo al Servicio</v>
      </c>
      <c r="L338" s="212" t="str">
        <f>IFERROR(__xludf.DUMMYFUNCTION("""COMPUTED_VALUE"""),"María Guadalupe Blasco")</f>
        <v>María Guadalupe Blasco</v>
      </c>
      <c r="M338" s="212" t="str">
        <f>IFERROR(__xludf.DUMMYFUNCTION("""COMPUTED_VALUE"""),"Helena Pérez Mendoza")</f>
        <v>Helena Pérez Mendoza</v>
      </c>
      <c r="N338" s="212"/>
      <c r="O338" s="212" t="str">
        <f>IFERROR(__xludf.DUMMYFUNCTION("""COMPUTED_VALUE"""),"Helena Pérez Mendoza")</f>
        <v>Helena Pérez Mendoza</v>
      </c>
      <c r="P338" s="212" t="str">
        <f>IFERROR(__xludf.DUMMYFUNCTION("""COMPUTED_VALUE"""),"Formación Católica")</f>
        <v>Formación Católica</v>
      </c>
      <c r="Q338" s="212" t="str">
        <f>IFERROR(__xludf.DUMMYFUNCTION("""COMPUTED_VALUE"""),"Nuevo")</f>
        <v>Nuevo</v>
      </c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</row>
    <row r="339">
      <c r="A339" s="210" t="str">
        <f t="shared" si="1"/>
        <v>María Guadalupe Blasco</v>
      </c>
      <c r="B339" s="210">
        <f>IFERROR(__xludf.DUMMYFUNCTION("""COMPUTED_VALUE"""),9.0)</f>
        <v>9</v>
      </c>
      <c r="C339" s="211" t="str">
        <f>IFERROR(__xludf.DUMMYFUNCTION("""COMPUTED_VALUE"""),"5º B")</f>
        <v>5º B</v>
      </c>
      <c r="D339" s="212"/>
      <c r="E339" s="213"/>
      <c r="F339" s="212" t="str">
        <f>IFERROR(__xludf.DUMMYFUNCTION("""COMPUTED_VALUE"""),"Grupo P")</f>
        <v>Grupo P</v>
      </c>
      <c r="G339" s="212"/>
      <c r="H339" s="212"/>
      <c r="I339" s="212">
        <f>IFERROR(__xludf.DUMMYFUNCTION("""COMPUTED_VALUE"""),1.0)</f>
        <v>1</v>
      </c>
      <c r="J339" s="212"/>
      <c r="K339" s="212" t="str">
        <f>IFERROR(__xludf.DUMMYFUNCTION("""COMPUTED_VALUE"""),"Liderazgo al Servicio")</f>
        <v>Liderazgo al Servicio</v>
      </c>
      <c r="L339" s="212" t="str">
        <f>IFERROR(__xludf.DUMMYFUNCTION("""COMPUTED_VALUE"""),"Agustín Cometto")</f>
        <v>Agustín Cometto</v>
      </c>
      <c r="M339" s="212"/>
      <c r="N339" s="212"/>
      <c r="O339" s="212" t="str">
        <f>IFERROR(__xludf.DUMMYFUNCTION("""COMPUTED_VALUE"""),"María Guadalupe Blasco")</f>
        <v>María Guadalupe Blasco</v>
      </c>
      <c r="P339" s="212" t="str">
        <f>IFERROR(__xludf.DUMMYFUNCTION("""COMPUTED_VALUE"""),"Formación Católica")</f>
        <v>Formación Católica</v>
      </c>
      <c r="Q339" s="212" t="str">
        <f>IFERROR(__xludf.DUMMYFUNCTION("""COMPUTED_VALUE"""),"Nuevo x baja de profesor")</f>
        <v>Nuevo x baja de profesor</v>
      </c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</row>
    <row r="340">
      <c r="A340" s="210" t="str">
        <f t="shared" si="1"/>
        <v>Roberta Ludueña</v>
      </c>
      <c r="B340" s="210">
        <f>IFERROR(__xludf.DUMMYFUNCTION("""COMPUTED_VALUE"""),10.0)</f>
        <v>10</v>
      </c>
      <c r="C340" s="211" t="str">
        <f>IFERROR(__xludf.DUMMYFUNCTION("""COMPUTED_VALUE"""),"5º A")</f>
        <v>5º A</v>
      </c>
      <c r="D340" s="212"/>
      <c r="E340" s="213"/>
      <c r="F340" s="212" t="str">
        <f>IFERROR(__xludf.DUMMYFUNCTION("""COMPUTED_VALUE"""),"Grupo O")</f>
        <v>Grupo O</v>
      </c>
      <c r="G340" s="212" t="str">
        <f>IFERROR(__xludf.DUMMYFUNCTION("""COMPUTED_VALUE"""),"si")</f>
        <v>si</v>
      </c>
      <c r="H340" s="212"/>
      <c r="I340" s="212">
        <f>IFERROR(__xludf.DUMMYFUNCTION("""COMPUTED_VALUE"""),2.0)</f>
        <v>2</v>
      </c>
      <c r="J340" s="212"/>
      <c r="K340" s="212" t="str">
        <f>IFERROR(__xludf.DUMMYFUNCTION("""COMPUTED_VALUE"""),"Literatura")</f>
        <v>Literatura</v>
      </c>
      <c r="L340" s="212" t="str">
        <f>IFERROR(__xludf.DUMMYFUNCTION("""COMPUTED_VALUE"""),"Roberta Ludueña")</f>
        <v>Roberta Ludueña</v>
      </c>
      <c r="M340" s="212"/>
      <c r="N340" s="212"/>
      <c r="O340" s="212" t="str">
        <f>IFERROR(__xludf.DUMMYFUNCTION("""COMPUTED_VALUE"""),"Roberta Ludueña")</f>
        <v>Roberta Ludueña</v>
      </c>
      <c r="P340" s="212" t="str">
        <f>IFERROR(__xludf.DUMMYFUNCTION("""COMPUTED_VALUE"""),"Expresion")</f>
        <v>Expresion</v>
      </c>
      <c r="Q340" s="212" t="str">
        <f>IFERROR(__xludf.DUMMYFUNCTION("""COMPUTED_VALUE"""),"Mantiene")</f>
        <v>Mantiene</v>
      </c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</row>
    <row r="341">
      <c r="A341" s="210" t="str">
        <f t="shared" si="1"/>
        <v>Mercedes Vitullo</v>
      </c>
      <c r="B341" s="210">
        <f>IFERROR(__xludf.DUMMYFUNCTION("""COMPUTED_VALUE"""),10.0)</f>
        <v>10</v>
      </c>
      <c r="C341" s="211" t="str">
        <f>IFERROR(__xludf.DUMMYFUNCTION("""COMPUTED_VALUE"""),"5º B")</f>
        <v>5º B</v>
      </c>
      <c r="D341" s="212"/>
      <c r="E341" s="213"/>
      <c r="F341" s="212" t="str">
        <f>IFERROR(__xludf.DUMMYFUNCTION("""COMPUTED_VALUE"""),"Grupo P")</f>
        <v>Grupo P</v>
      </c>
      <c r="G341" s="212" t="str">
        <f>IFERROR(__xludf.DUMMYFUNCTION("""COMPUTED_VALUE"""),"si")</f>
        <v>si</v>
      </c>
      <c r="H341" s="212"/>
      <c r="I341" s="212">
        <f>IFERROR(__xludf.DUMMYFUNCTION("""COMPUTED_VALUE"""),2.0)</f>
        <v>2</v>
      </c>
      <c r="J341" s="212"/>
      <c r="K341" s="212" t="str">
        <f>IFERROR(__xludf.DUMMYFUNCTION("""COMPUTED_VALUE"""),"Literatura")</f>
        <v>Literatura</v>
      </c>
      <c r="L341" s="212" t="str">
        <f>IFERROR(__xludf.DUMMYFUNCTION("""COMPUTED_VALUE"""),"Roberta Ludueña")</f>
        <v>Roberta Ludueña</v>
      </c>
      <c r="M341" s="212"/>
      <c r="N341" s="212"/>
      <c r="O341" s="212" t="str">
        <f>IFERROR(__xludf.DUMMYFUNCTION("""COMPUTED_VALUE"""),"Mercedes Vitullo")</f>
        <v>Mercedes Vitullo</v>
      </c>
      <c r="P341" s="212" t="str">
        <f>IFERROR(__xludf.DUMMYFUNCTION("""COMPUTED_VALUE"""),"Expresion")</f>
        <v>Expresion</v>
      </c>
      <c r="Q341" s="212" t="str">
        <f>IFERROR(__xludf.DUMMYFUNCTION("""COMPUTED_VALUE"""),"Nuevo")</f>
        <v>Nuevo</v>
      </c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</row>
    <row r="342">
      <c r="A342" s="210" t="str">
        <f t="shared" si="1"/>
        <v>Astrid Vanina Santa Maria</v>
      </c>
      <c r="B342" s="210">
        <f>IFERROR(__xludf.DUMMYFUNCTION("""COMPUTED_VALUE"""),11.0)</f>
        <v>11</v>
      </c>
      <c r="C342" s="211" t="str">
        <f>IFERROR(__xludf.DUMMYFUNCTION("""COMPUTED_VALUE"""),"5º A")</f>
        <v>5º A</v>
      </c>
      <c r="D342" s="212"/>
      <c r="E342" s="213"/>
      <c r="F342" s="212" t="str">
        <f>IFERROR(__xludf.DUMMYFUNCTION("""COMPUTED_VALUE"""),"Grupo O")</f>
        <v>Grupo O</v>
      </c>
      <c r="G342" s="212" t="str">
        <f>IFERROR(__xludf.DUMMYFUNCTION("""COMPUTED_VALUE"""),"si")</f>
        <v>si</v>
      </c>
      <c r="H342" s="212"/>
      <c r="I342" s="212">
        <f>IFERROR(__xludf.DUMMYFUNCTION("""COMPUTED_VALUE"""),4.0)</f>
        <v>4</v>
      </c>
      <c r="J342" s="212"/>
      <c r="K342" s="212" t="str">
        <f>IFERROR(__xludf.DUMMYFUNCTION("""COMPUTED_VALUE"""),"Literature")</f>
        <v>Literature</v>
      </c>
      <c r="L342" s="212" t="str">
        <f>IFERROR(__xludf.DUMMYFUNCTION("""COMPUTED_VALUE"""),"Astrid Vanina Santa Maria")</f>
        <v>Astrid Vanina Santa Maria</v>
      </c>
      <c r="M342" s="212"/>
      <c r="N342" s="212"/>
      <c r="O342" s="212" t="str">
        <f>IFERROR(__xludf.DUMMYFUNCTION("""COMPUTED_VALUE"""),"Astrid Vanina Santa Maria")</f>
        <v>Astrid Vanina Santa Maria</v>
      </c>
      <c r="P342" s="212" t="str">
        <f>IFERROR(__xludf.DUMMYFUNCTION("""COMPUTED_VALUE"""),"Expresion")</f>
        <v>Expresion</v>
      </c>
      <c r="Q342" s="212" t="str">
        <f>IFERROR(__xludf.DUMMYFUNCTION("""COMPUTED_VALUE"""),"Mantiene")</f>
        <v>Mantiene</v>
      </c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</row>
    <row r="343">
      <c r="A343" s="210" t="str">
        <f t="shared" si="1"/>
        <v>Astrid Vanina Santa Maria</v>
      </c>
      <c r="B343" s="210">
        <f>IFERROR(__xludf.DUMMYFUNCTION("""COMPUTED_VALUE"""),11.0)</f>
        <v>11</v>
      </c>
      <c r="C343" s="211" t="str">
        <f>IFERROR(__xludf.DUMMYFUNCTION("""COMPUTED_VALUE"""),"5º B")</f>
        <v>5º B</v>
      </c>
      <c r="D343" s="212"/>
      <c r="E343" s="213"/>
      <c r="F343" s="212" t="str">
        <f>IFERROR(__xludf.DUMMYFUNCTION("""COMPUTED_VALUE"""),"Grupo P")</f>
        <v>Grupo P</v>
      </c>
      <c r="G343" s="212" t="str">
        <f>IFERROR(__xludf.DUMMYFUNCTION("""COMPUTED_VALUE"""),"si")</f>
        <v>si</v>
      </c>
      <c r="H343" s="212"/>
      <c r="I343" s="212">
        <f>IFERROR(__xludf.DUMMYFUNCTION("""COMPUTED_VALUE"""),4.0)</f>
        <v>4</v>
      </c>
      <c r="J343" s="212"/>
      <c r="K343" s="212" t="str">
        <f>IFERROR(__xludf.DUMMYFUNCTION("""COMPUTED_VALUE"""),"Literature")</f>
        <v>Literature</v>
      </c>
      <c r="L343" s="212" t="str">
        <f>IFERROR(__xludf.DUMMYFUNCTION("""COMPUTED_VALUE"""),"Astrid Vanina Santa Maria")</f>
        <v>Astrid Vanina Santa Maria</v>
      </c>
      <c r="M343" s="212"/>
      <c r="N343" s="212"/>
      <c r="O343" s="212" t="str">
        <f>IFERROR(__xludf.DUMMYFUNCTION("""COMPUTED_VALUE"""),"Astrid Vanina Santa Maria")</f>
        <v>Astrid Vanina Santa Maria</v>
      </c>
      <c r="P343" s="212" t="str">
        <f>IFERROR(__xludf.DUMMYFUNCTION("""COMPUTED_VALUE"""),"Expresion")</f>
        <v>Expresion</v>
      </c>
      <c r="Q343" s="212" t="str">
        <f>IFERROR(__xludf.DUMMYFUNCTION("""COMPUTED_VALUE"""),"Mantiene")</f>
        <v>Mantiene</v>
      </c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</row>
    <row r="344">
      <c r="A344" s="210" t="str">
        <f t="shared" si="1"/>
        <v>Lucila Lago</v>
      </c>
      <c r="B344" s="210">
        <f>IFERROR(__xludf.DUMMYFUNCTION("""COMPUTED_VALUE"""),12.0)</f>
        <v>12</v>
      </c>
      <c r="C344" s="211" t="str">
        <f>IFERROR(__xludf.DUMMYFUNCTION("""COMPUTED_VALUE"""),"5º A")</f>
        <v>5º A</v>
      </c>
      <c r="D344" s="212"/>
      <c r="E344" s="213"/>
      <c r="F344" s="212" t="str">
        <f>IFERROR(__xludf.DUMMYFUNCTION("""COMPUTED_VALUE"""),"MatAv")</f>
        <v>MatAv</v>
      </c>
      <c r="G344" s="212" t="str">
        <f>IFERROR(__xludf.DUMMYFUNCTION("""COMPUTED_VALUE"""),"si")</f>
        <v>si</v>
      </c>
      <c r="H344" s="212"/>
      <c r="I344" s="212">
        <f>IFERROR(__xludf.DUMMYFUNCTION("""COMPUTED_VALUE"""),5.0)</f>
        <v>5</v>
      </c>
      <c r="J344" s="212"/>
      <c r="K344" s="212" t="str">
        <f>IFERROR(__xludf.DUMMYFUNCTION("""COMPUTED_VALUE"""),"Maths")</f>
        <v>Maths</v>
      </c>
      <c r="L344" s="212" t="str">
        <f>IFERROR(__xludf.DUMMYFUNCTION("""COMPUTED_VALUE"""),"Facundo Terrana")</f>
        <v>Facundo Terrana</v>
      </c>
      <c r="M344" s="212"/>
      <c r="N344" s="212"/>
      <c r="O344" s="212" t="str">
        <f>IFERROR(__xludf.DUMMYFUNCTION("""COMPUTED_VALUE"""),"Lucila Lago")</f>
        <v>Lucila Lago</v>
      </c>
      <c r="P344" s="212" t="str">
        <f>IFERROR(__xludf.DUMMYFUNCTION("""COMPUTED_VALUE"""),"Exactas")</f>
        <v>Exactas</v>
      </c>
      <c r="Q344" s="212" t="str">
        <f>IFERROR(__xludf.DUMMYFUNCTION("""COMPUTED_VALUE"""),"Nuevo")</f>
        <v>Nuevo</v>
      </c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</row>
    <row r="345">
      <c r="A345" s="210" t="str">
        <f t="shared" si="1"/>
        <v>Facundo Terrana</v>
      </c>
      <c r="B345" s="210">
        <f>IFERROR(__xludf.DUMMYFUNCTION("""COMPUTED_VALUE"""),12.0)</f>
        <v>12</v>
      </c>
      <c r="C345" s="211" t="str">
        <f>IFERROR(__xludf.DUMMYFUNCTION("""COMPUTED_VALUE"""),"5º B")</f>
        <v>5º B</v>
      </c>
      <c r="D345" s="212"/>
      <c r="E345" s="213"/>
      <c r="F345" s="212" t="str">
        <f>IFERROR(__xludf.DUMMYFUNCTION("""COMPUTED_VALUE"""),"MatB1")</f>
        <v>MatB1</v>
      </c>
      <c r="G345" s="212" t="str">
        <f>IFERROR(__xludf.DUMMYFUNCTION("""COMPUTED_VALUE"""),"si")</f>
        <v>si</v>
      </c>
      <c r="H345" s="212"/>
      <c r="I345" s="212">
        <f>IFERROR(__xludf.DUMMYFUNCTION("""COMPUTED_VALUE"""),5.0)</f>
        <v>5</v>
      </c>
      <c r="J345" s="212"/>
      <c r="K345" s="212" t="str">
        <f>IFERROR(__xludf.DUMMYFUNCTION("""COMPUTED_VALUE"""),"Maths")</f>
        <v>Maths</v>
      </c>
      <c r="L345" s="212" t="str">
        <f>IFERROR(__xludf.DUMMYFUNCTION("""COMPUTED_VALUE"""),"Camila Belen Blazquez Parodi")</f>
        <v>Camila Belen Blazquez Parodi</v>
      </c>
      <c r="M345" s="212"/>
      <c r="N345" s="212"/>
      <c r="O345" s="212" t="str">
        <f>IFERROR(__xludf.DUMMYFUNCTION("""COMPUTED_VALUE"""),"Facundo Terrana")</f>
        <v>Facundo Terrana</v>
      </c>
      <c r="P345" s="212" t="str">
        <f>IFERROR(__xludf.DUMMYFUNCTION("""COMPUTED_VALUE"""),"Exactas")</f>
        <v>Exactas</v>
      </c>
      <c r="Q345" s="212" t="str">
        <f>IFERROR(__xludf.DUMMYFUNCTION("""COMPUTED_VALUE"""),"Nuevo x baja de profesor")</f>
        <v>Nuevo x baja de profesor</v>
      </c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</row>
    <row r="346">
      <c r="A346" s="210" t="str">
        <f t="shared" si="1"/>
        <v>María De Las Mercedes Pesado Riccardi</v>
      </c>
      <c r="B346" s="210">
        <f>IFERROR(__xludf.DUMMYFUNCTION("""COMPUTED_VALUE"""),13.0)</f>
        <v>13</v>
      </c>
      <c r="C346" s="211" t="str">
        <f>IFERROR(__xludf.DUMMYFUNCTION("""COMPUTED_VALUE"""),"5º A")</f>
        <v>5º A</v>
      </c>
      <c r="D346" s="212"/>
      <c r="E346" s="213"/>
      <c r="F346" s="212"/>
      <c r="G346" s="212"/>
      <c r="H346" s="212"/>
      <c r="I346" s="212">
        <f>IFERROR(__xludf.DUMMYFUNCTION("""COMPUTED_VALUE"""),1.0)</f>
        <v>1</v>
      </c>
      <c r="J346" s="212"/>
      <c r="K346" s="212" t="str">
        <f>IFERROR(__xludf.DUMMYFUNCTION("""COMPUTED_VALUE"""),"Orientación")</f>
        <v>Orientación</v>
      </c>
      <c r="L346" s="212" t="str">
        <f>IFERROR(__xludf.DUMMYFUNCTION("""COMPUTED_VALUE"""),"María De Las Mercedes Pesado Riccardi")</f>
        <v>María De Las Mercedes Pesado Riccardi</v>
      </c>
      <c r="M346" s="212"/>
      <c r="N346" s="212"/>
      <c r="O346" s="212" t="str">
        <f>IFERROR(__xludf.DUMMYFUNCTION("""COMPUTED_VALUE"""),"María De Las Mercedes Pesado Riccardi")</f>
        <v>María De Las Mercedes Pesado Riccardi</v>
      </c>
      <c r="P346" s="212" t="str">
        <f>IFERROR(__xludf.DUMMYFUNCTION("""COMPUTED_VALUE"""),"Orientacion")</f>
        <v>Orientacion</v>
      </c>
      <c r="Q346" s="212" t="str">
        <f>IFERROR(__xludf.DUMMYFUNCTION("""COMPUTED_VALUE"""),"Mantiene")</f>
        <v>Mantiene</v>
      </c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</row>
    <row r="347">
      <c r="A347" s="210" t="str">
        <f t="shared" si="1"/>
        <v>Juan Bautista De Las Carreras</v>
      </c>
      <c r="B347" s="210">
        <f>IFERROR(__xludf.DUMMYFUNCTION("""COMPUTED_VALUE"""),13.0)</f>
        <v>13</v>
      </c>
      <c r="C347" s="211" t="str">
        <f>IFERROR(__xludf.DUMMYFUNCTION("""COMPUTED_VALUE"""),"5º B")</f>
        <v>5º B</v>
      </c>
      <c r="D347" s="212"/>
      <c r="E347" s="213"/>
      <c r="F347" s="212"/>
      <c r="G347" s="212"/>
      <c r="H347" s="212"/>
      <c r="I347" s="212">
        <f>IFERROR(__xludf.DUMMYFUNCTION("""COMPUTED_VALUE"""),1.0)</f>
        <v>1</v>
      </c>
      <c r="J347" s="212"/>
      <c r="K347" s="212" t="str">
        <f>IFERROR(__xludf.DUMMYFUNCTION("""COMPUTED_VALUE"""),"Orientación")</f>
        <v>Orientación</v>
      </c>
      <c r="L347" s="212" t="str">
        <f>IFERROR(__xludf.DUMMYFUNCTION("""COMPUTED_VALUE"""),"Juan Bautista De Las Carreras")</f>
        <v>Juan Bautista De Las Carreras</v>
      </c>
      <c r="M347" s="212"/>
      <c r="N347" s="212"/>
      <c r="O347" s="212" t="str">
        <f>IFERROR(__xludf.DUMMYFUNCTION("""COMPUTED_VALUE"""),"Juan Bautista De Las Carreras")</f>
        <v>Juan Bautista De Las Carreras</v>
      </c>
      <c r="P347" s="212" t="str">
        <f>IFERROR(__xludf.DUMMYFUNCTION("""COMPUTED_VALUE"""),"Orientacion")</f>
        <v>Orientacion</v>
      </c>
      <c r="Q347" s="212" t="str">
        <f>IFERROR(__xludf.DUMMYFUNCTION("""COMPUTED_VALUE"""),"Mantiene")</f>
        <v>Mantiene</v>
      </c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</row>
    <row r="348">
      <c r="A348" s="210" t="str">
        <f t="shared" si="1"/>
        <v>Anechina</v>
      </c>
      <c r="B348" s="210">
        <f>IFERROR(__xludf.DUMMYFUNCTION("""COMPUTED_VALUE"""),14.0)</f>
        <v>14</v>
      </c>
      <c r="C348" s="211" t="str">
        <f>IFERROR(__xludf.DUMMYFUNCTION("""COMPUTED_VALUE"""),"5º A")</f>
        <v>5º A</v>
      </c>
      <c r="D348" s="212"/>
      <c r="E348" s="213"/>
      <c r="F348" s="212" t="str">
        <f>IFERROR(__xludf.DUMMYFUNCTION("""COMPUTED_VALUE"""),"Grupo O")</f>
        <v>Grupo O</v>
      </c>
      <c r="G348" s="212"/>
      <c r="H348" s="212"/>
      <c r="I348" s="212">
        <f>IFERROR(__xludf.DUMMYFUNCTION("""COMPUTED_VALUE"""),2.0)</f>
        <v>2</v>
      </c>
      <c r="J348" s="212"/>
      <c r="K348" s="212" t="str">
        <f>IFERROR(__xludf.DUMMYFUNCTION("""COMPUTED_VALUE"""),"Portugués")</f>
        <v>Portugués</v>
      </c>
      <c r="L348" s="212" t="str">
        <f>IFERROR(__xludf.DUMMYFUNCTION("""COMPUTED_VALUE"""),"Christiane Bentes")</f>
        <v>Christiane Bentes</v>
      </c>
      <c r="M348" s="212"/>
      <c r="N348" s="212"/>
      <c r="O348" s="212" t="str">
        <f>IFERROR(__xludf.DUMMYFUNCTION("""COMPUTED_VALUE"""),"Anechina")</f>
        <v>Anechina</v>
      </c>
      <c r="P348" s="212" t="str">
        <f>IFERROR(__xludf.DUMMYFUNCTION("""COMPUTED_VALUE"""),"Expresion")</f>
        <v>Expresion</v>
      </c>
      <c r="Q348" s="212" t="str">
        <f>IFERROR(__xludf.DUMMYFUNCTION("""COMPUTED_VALUE"""),"Nuevo")</f>
        <v>Nuevo</v>
      </c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</row>
    <row r="349">
      <c r="A349" s="210" t="str">
        <f t="shared" si="1"/>
        <v>Anechina</v>
      </c>
      <c r="B349" s="210">
        <f>IFERROR(__xludf.DUMMYFUNCTION("""COMPUTED_VALUE"""),14.0)</f>
        <v>14</v>
      </c>
      <c r="C349" s="211" t="str">
        <f>IFERROR(__xludf.DUMMYFUNCTION("""COMPUTED_VALUE"""),"5º B")</f>
        <v>5º B</v>
      </c>
      <c r="D349" s="212"/>
      <c r="E349" s="213"/>
      <c r="F349" s="212" t="str">
        <f>IFERROR(__xludf.DUMMYFUNCTION("""COMPUTED_VALUE"""),"Grupo P")</f>
        <v>Grupo P</v>
      </c>
      <c r="G349" s="212"/>
      <c r="H349" s="212"/>
      <c r="I349" s="212">
        <f>IFERROR(__xludf.DUMMYFUNCTION("""COMPUTED_VALUE"""),2.0)</f>
        <v>2</v>
      </c>
      <c r="J349" s="212"/>
      <c r="K349" s="212" t="str">
        <f>IFERROR(__xludf.DUMMYFUNCTION("""COMPUTED_VALUE"""),"Portugués")</f>
        <v>Portugués</v>
      </c>
      <c r="L349" s="212" t="str">
        <f>IFERROR(__xludf.DUMMYFUNCTION("""COMPUTED_VALUE"""),"Christiane Bentes")</f>
        <v>Christiane Bentes</v>
      </c>
      <c r="M349" s="212"/>
      <c r="N349" s="212"/>
      <c r="O349" s="212" t="str">
        <f>IFERROR(__xludf.DUMMYFUNCTION("""COMPUTED_VALUE"""),"Anechina")</f>
        <v>Anechina</v>
      </c>
      <c r="P349" s="212" t="str">
        <f>IFERROR(__xludf.DUMMYFUNCTION("""COMPUTED_VALUE"""),"Expresion")</f>
        <v>Expresion</v>
      </c>
      <c r="Q349" s="212" t="str">
        <f>IFERROR(__xludf.DUMMYFUNCTION("""COMPUTED_VALUE"""),"Nuevo")</f>
        <v>Nuevo</v>
      </c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</row>
    <row r="350">
      <c r="A350" s="210" t="str">
        <f t="shared" si="1"/>
        <v>Eduardo Gabriel Rougier</v>
      </c>
      <c r="B350" s="210">
        <f>IFERROR(__xludf.DUMMYFUNCTION("""COMPUTED_VALUE"""),15.0)</f>
        <v>15</v>
      </c>
      <c r="C350" s="211" t="str">
        <f>IFERROR(__xludf.DUMMYFUNCTION("""COMPUTED_VALUE"""),"5º A")</f>
        <v>5º A</v>
      </c>
      <c r="D350" s="212"/>
      <c r="E350" s="213"/>
      <c r="F350" s="212"/>
      <c r="G350" s="212"/>
      <c r="H350" s="212"/>
      <c r="I350" s="212">
        <f>IFERROR(__xludf.DUMMYFUNCTION("""COMPUTED_VALUE"""),1.0)</f>
        <v>1</v>
      </c>
      <c r="J350" s="212"/>
      <c r="K350" s="212" t="str">
        <f>IFERROR(__xludf.DUMMYFUNCTION("""COMPUTED_VALUE"""),"Web Design")</f>
        <v>Web Design</v>
      </c>
      <c r="L350" s="212" t="str">
        <f>IFERROR(__xludf.DUMMYFUNCTION("""COMPUTED_VALUE"""),"Eduardo Gabriel Rougier")</f>
        <v>Eduardo Gabriel Rougier</v>
      </c>
      <c r="M350" s="212" t="str">
        <f>IFERROR(__xludf.DUMMYFUNCTION("""COMPUTED_VALUE"""),"Verónica María Bonadeo")</f>
        <v>Verónica María Bonadeo</v>
      </c>
      <c r="N350" s="212"/>
      <c r="O350" s="212" t="str">
        <f>IFERROR(__xludf.DUMMYFUNCTION("""COMPUTED_VALUE"""),"Eduardo Gabriel Rougier")</f>
        <v>Eduardo Gabriel Rougier</v>
      </c>
      <c r="P350" s="212" t="str">
        <f>IFERROR(__xludf.DUMMYFUNCTION("""COMPUTED_VALUE"""),"Tecnologia")</f>
        <v>Tecnologia</v>
      </c>
      <c r="Q350" s="212" t="str">
        <f>IFERROR(__xludf.DUMMYFUNCTION("""COMPUTED_VALUE"""),"Mantiene")</f>
        <v>Mantiene</v>
      </c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</row>
    <row r="351">
      <c r="A351" s="210" t="str">
        <f t="shared" si="1"/>
        <v>Eduardo Gabriel Rougier</v>
      </c>
      <c r="B351" s="210">
        <f>IFERROR(__xludf.DUMMYFUNCTION("""COMPUTED_VALUE"""),15.0)</f>
        <v>15</v>
      </c>
      <c r="C351" s="211" t="str">
        <f>IFERROR(__xludf.DUMMYFUNCTION("""COMPUTED_VALUE"""),"5º B")</f>
        <v>5º B</v>
      </c>
      <c r="D351" s="212"/>
      <c r="E351" s="213"/>
      <c r="F351" s="212"/>
      <c r="G351" s="212"/>
      <c r="H351" s="212"/>
      <c r="I351" s="212">
        <f>IFERROR(__xludf.DUMMYFUNCTION("""COMPUTED_VALUE"""),1.0)</f>
        <v>1</v>
      </c>
      <c r="J351" s="212"/>
      <c r="K351" s="212" t="str">
        <f>IFERROR(__xludf.DUMMYFUNCTION("""COMPUTED_VALUE"""),"Web Design")</f>
        <v>Web Design</v>
      </c>
      <c r="L351" s="212" t="str">
        <f>IFERROR(__xludf.DUMMYFUNCTION("""COMPUTED_VALUE"""),"Eduardo Gabriel Rougier")</f>
        <v>Eduardo Gabriel Rougier</v>
      </c>
      <c r="M351" s="212" t="str">
        <f>IFERROR(__xludf.DUMMYFUNCTION("""COMPUTED_VALUE"""),"Verónica María Bonadeo")</f>
        <v>Verónica María Bonadeo</v>
      </c>
      <c r="N351" s="212"/>
      <c r="O351" s="212" t="str">
        <f>IFERROR(__xludf.DUMMYFUNCTION("""COMPUTED_VALUE"""),"Eduardo Gabriel Rougier")</f>
        <v>Eduardo Gabriel Rougier</v>
      </c>
      <c r="P351" s="212" t="str">
        <f>IFERROR(__xludf.DUMMYFUNCTION("""COMPUTED_VALUE"""),"Tecnologia")</f>
        <v>Tecnologia</v>
      </c>
      <c r="Q351" s="212" t="str">
        <f>IFERROR(__xludf.DUMMYFUNCTION("""COMPUTED_VALUE"""),"Mantiene")</f>
        <v>Mantiene</v>
      </c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</row>
    <row r="352">
      <c r="A352" s="210" t="str">
        <f t="shared" si="1"/>
        <v/>
      </c>
      <c r="B352" s="210">
        <f>IFERROR(__xludf.DUMMYFUNCTION("""COMPUTED_VALUE"""),16.0)</f>
        <v>16</v>
      </c>
      <c r="C352" s="211" t="str">
        <f>IFERROR(__xludf.DUMMYFUNCTION("""COMPUTED_VALUE"""),"5º A")</f>
        <v>5º A</v>
      </c>
      <c r="D352" s="212"/>
      <c r="E352" s="213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 t="str">
        <f>IFERROR(__xludf.DUMMYFUNCTION("""COMPUTED_VALUE"""),"")</f>
        <v/>
      </c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</row>
    <row r="353">
      <c r="A353" s="210" t="str">
        <f t="shared" si="1"/>
        <v/>
      </c>
      <c r="B353" s="210">
        <f>IFERROR(__xludf.DUMMYFUNCTION("""COMPUTED_VALUE"""),16.0)</f>
        <v>16</v>
      </c>
      <c r="C353" s="211" t="str">
        <f>IFERROR(__xludf.DUMMYFUNCTION("""COMPUTED_VALUE"""),"5º B")</f>
        <v>5º B</v>
      </c>
      <c r="D353" s="212"/>
      <c r="E353" s="213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 t="str">
        <f>IFERROR(__xludf.DUMMYFUNCTION("""COMPUTED_VALUE"""),"")</f>
        <v/>
      </c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</row>
    <row r="354">
      <c r="A354" s="210" t="str">
        <f t="shared" si="1"/>
        <v/>
      </c>
      <c r="B354" s="210">
        <f>IFERROR(__xludf.DUMMYFUNCTION("""COMPUTED_VALUE"""),17.0)</f>
        <v>17</v>
      </c>
      <c r="C354" s="211" t="str">
        <f>IFERROR(__xludf.DUMMYFUNCTION("""COMPUTED_VALUE"""),"5º A")</f>
        <v>5º A</v>
      </c>
      <c r="D354" s="212"/>
      <c r="E354" s="213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 t="str">
        <f>IFERROR(__xludf.DUMMYFUNCTION("""COMPUTED_VALUE"""),"")</f>
        <v/>
      </c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</row>
    <row r="355">
      <c r="A355" s="210" t="str">
        <f t="shared" si="1"/>
        <v/>
      </c>
      <c r="B355" s="210">
        <f>IFERROR(__xludf.DUMMYFUNCTION("""COMPUTED_VALUE"""),17.0)</f>
        <v>17</v>
      </c>
      <c r="C355" s="211" t="str">
        <f>IFERROR(__xludf.DUMMYFUNCTION("""COMPUTED_VALUE"""),"5º B")</f>
        <v>5º B</v>
      </c>
      <c r="D355" s="212"/>
      <c r="E355" s="213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 t="str">
        <f>IFERROR(__xludf.DUMMYFUNCTION("""COMPUTED_VALUE"""),"")</f>
        <v/>
      </c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</row>
    <row r="356">
      <c r="A356" s="210" t="str">
        <f t="shared" si="1"/>
        <v/>
      </c>
      <c r="B356" s="210">
        <f>IFERROR(__xludf.DUMMYFUNCTION("""COMPUTED_VALUE"""),18.0)</f>
        <v>18</v>
      </c>
      <c r="C356" s="211" t="str">
        <f>IFERROR(__xludf.DUMMYFUNCTION("""COMPUTED_VALUE"""),"5º A")</f>
        <v>5º A</v>
      </c>
      <c r="D356" s="212"/>
      <c r="E356" s="213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 t="str">
        <f>IFERROR(__xludf.DUMMYFUNCTION("""COMPUTED_VALUE"""),"")</f>
        <v/>
      </c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</row>
    <row r="357">
      <c r="A357" s="210" t="str">
        <f t="shared" si="1"/>
        <v/>
      </c>
      <c r="B357" s="210">
        <f>IFERROR(__xludf.DUMMYFUNCTION("""COMPUTED_VALUE"""),18.0)</f>
        <v>18</v>
      </c>
      <c r="C357" s="211" t="str">
        <f>IFERROR(__xludf.DUMMYFUNCTION("""COMPUTED_VALUE"""),"5º B")</f>
        <v>5º B</v>
      </c>
      <c r="D357" s="212"/>
      <c r="E357" s="213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 t="str">
        <f>IFERROR(__xludf.DUMMYFUNCTION("""COMPUTED_VALUE"""),"")</f>
        <v/>
      </c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</row>
    <row r="358">
      <c r="A358" s="210" t="str">
        <f t="shared" si="1"/>
        <v/>
      </c>
      <c r="B358" s="210">
        <f>IFERROR(__xludf.DUMMYFUNCTION("""COMPUTED_VALUE"""),19.0)</f>
        <v>19</v>
      </c>
      <c r="C358" s="211" t="str">
        <f>IFERROR(__xludf.DUMMYFUNCTION("""COMPUTED_VALUE"""),"5º A")</f>
        <v>5º A</v>
      </c>
      <c r="D358" s="212"/>
      <c r="E358" s="213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 t="str">
        <f>IFERROR(__xludf.DUMMYFUNCTION("""COMPUTED_VALUE"""),"")</f>
        <v/>
      </c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</row>
    <row r="359">
      <c r="A359" s="210" t="str">
        <f t="shared" si="1"/>
        <v/>
      </c>
      <c r="B359" s="210">
        <f>IFERROR(__xludf.DUMMYFUNCTION("""COMPUTED_VALUE"""),19.0)</f>
        <v>19</v>
      </c>
      <c r="C359" s="211" t="str">
        <f>IFERROR(__xludf.DUMMYFUNCTION("""COMPUTED_VALUE"""),"5º B")</f>
        <v>5º B</v>
      </c>
      <c r="D359" s="212"/>
      <c r="E359" s="213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 t="str">
        <f>IFERROR(__xludf.DUMMYFUNCTION("""COMPUTED_VALUE"""),"")</f>
        <v/>
      </c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</row>
    <row r="360">
      <c r="A360" s="210" t="str">
        <f t="shared" si="1"/>
        <v/>
      </c>
      <c r="B360" s="210">
        <f>IFERROR(__xludf.DUMMYFUNCTION("""COMPUTED_VALUE"""),20.0)</f>
        <v>20</v>
      </c>
      <c r="C360" s="211" t="str">
        <f>IFERROR(__xludf.DUMMYFUNCTION("""COMPUTED_VALUE"""),"5º A")</f>
        <v>5º A</v>
      </c>
      <c r="D360" s="212"/>
      <c r="E360" s="213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 t="str">
        <f>IFERROR(__xludf.DUMMYFUNCTION("""COMPUTED_VALUE"""),"")</f>
        <v/>
      </c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</row>
    <row r="361">
      <c r="A361" s="210" t="str">
        <f t="shared" si="1"/>
        <v/>
      </c>
      <c r="B361" s="210">
        <f>IFERROR(__xludf.DUMMYFUNCTION("""COMPUTED_VALUE"""),20.0)</f>
        <v>20</v>
      </c>
      <c r="C361" s="211" t="str">
        <f>IFERROR(__xludf.DUMMYFUNCTION("""COMPUTED_VALUE"""),"5º B")</f>
        <v>5º B</v>
      </c>
      <c r="D361" s="212"/>
      <c r="E361" s="213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 t="str">
        <f>IFERROR(__xludf.DUMMYFUNCTION("""COMPUTED_VALUE"""),"")</f>
        <v/>
      </c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</row>
    <row r="362">
      <c r="A362" s="210" t="str">
        <f t="shared" si="1"/>
        <v/>
      </c>
      <c r="B362" s="210">
        <f>IFERROR(__xludf.DUMMYFUNCTION("""COMPUTED_VALUE"""),21.0)</f>
        <v>21</v>
      </c>
      <c r="C362" s="211" t="str">
        <f>IFERROR(__xludf.DUMMYFUNCTION("""COMPUTED_VALUE"""),"5º A")</f>
        <v>5º A</v>
      </c>
      <c r="D362" s="212"/>
      <c r="E362" s="213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 t="str">
        <f>IFERROR(__xludf.DUMMYFUNCTION("""COMPUTED_VALUE"""),"")</f>
        <v/>
      </c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</row>
    <row r="363">
      <c r="A363" s="210" t="str">
        <f t="shared" si="1"/>
        <v/>
      </c>
      <c r="B363" s="210">
        <f>IFERROR(__xludf.DUMMYFUNCTION("""COMPUTED_VALUE"""),21.0)</f>
        <v>21</v>
      </c>
      <c r="C363" s="211" t="str">
        <f>IFERROR(__xludf.DUMMYFUNCTION("""COMPUTED_VALUE"""),"5º B")</f>
        <v>5º B</v>
      </c>
      <c r="D363" s="212"/>
      <c r="E363" s="213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 t="str">
        <f>IFERROR(__xludf.DUMMYFUNCTION("""COMPUTED_VALUE"""),"")</f>
        <v/>
      </c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</row>
    <row r="364">
      <c r="A364" s="210" t="str">
        <f t="shared" si="1"/>
        <v/>
      </c>
      <c r="B364" s="210">
        <f>IFERROR(__xludf.DUMMYFUNCTION("""COMPUTED_VALUE"""),22.0)</f>
        <v>22</v>
      </c>
      <c r="C364" s="211" t="str">
        <f>IFERROR(__xludf.DUMMYFUNCTION("""COMPUTED_VALUE"""),"5º A")</f>
        <v>5º A</v>
      </c>
      <c r="D364" s="212"/>
      <c r="E364" s="213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 t="str">
        <f>IFERROR(__xludf.DUMMYFUNCTION("""COMPUTED_VALUE"""),"")</f>
        <v/>
      </c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</row>
    <row r="365">
      <c r="A365" s="210" t="str">
        <f t="shared" si="1"/>
        <v/>
      </c>
      <c r="B365" s="210">
        <f>IFERROR(__xludf.DUMMYFUNCTION("""COMPUTED_VALUE"""),22.0)</f>
        <v>22</v>
      </c>
      <c r="C365" s="211" t="str">
        <f>IFERROR(__xludf.DUMMYFUNCTION("""COMPUTED_VALUE"""),"5º B")</f>
        <v>5º B</v>
      </c>
      <c r="D365" s="212"/>
      <c r="E365" s="213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 t="str">
        <f>IFERROR(__xludf.DUMMYFUNCTION("""COMPUTED_VALUE"""),"")</f>
        <v/>
      </c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</row>
    <row r="366">
      <c r="A366" s="210" t="str">
        <f t="shared" si="1"/>
        <v/>
      </c>
      <c r="B366" s="210">
        <f>IFERROR(__xludf.DUMMYFUNCTION("""COMPUTED_VALUE"""),23.0)</f>
        <v>23</v>
      </c>
      <c r="C366" s="211" t="str">
        <f>IFERROR(__xludf.DUMMYFUNCTION("""COMPUTED_VALUE"""),"5º A")</f>
        <v>5º A</v>
      </c>
      <c r="D366" s="212"/>
      <c r="E366" s="213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 t="str">
        <f>IFERROR(__xludf.DUMMYFUNCTION("""COMPUTED_VALUE"""),"")</f>
        <v/>
      </c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</row>
    <row r="367">
      <c r="A367" s="210" t="str">
        <f t="shared" si="1"/>
        <v/>
      </c>
      <c r="B367" s="210">
        <f>IFERROR(__xludf.DUMMYFUNCTION("""COMPUTED_VALUE"""),23.0)</f>
        <v>23</v>
      </c>
      <c r="C367" s="211" t="str">
        <f>IFERROR(__xludf.DUMMYFUNCTION("""COMPUTED_VALUE"""),"5º B")</f>
        <v>5º B</v>
      </c>
      <c r="D367" s="212"/>
      <c r="E367" s="213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 t="str">
        <f>IFERROR(__xludf.DUMMYFUNCTION("""COMPUTED_VALUE"""),"")</f>
        <v/>
      </c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</row>
    <row r="368">
      <c r="A368" s="210" t="str">
        <f t="shared" si="1"/>
        <v/>
      </c>
      <c r="B368" s="210">
        <f>IFERROR(__xludf.DUMMYFUNCTION("""COMPUTED_VALUE"""),24.0)</f>
        <v>24</v>
      </c>
      <c r="C368" s="211" t="str">
        <f>IFERROR(__xludf.DUMMYFUNCTION("""COMPUTED_VALUE"""),"5º A")</f>
        <v>5º A</v>
      </c>
      <c r="D368" s="212"/>
      <c r="E368" s="213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 t="str">
        <f>IFERROR(__xludf.DUMMYFUNCTION("""COMPUTED_VALUE"""),"")</f>
        <v/>
      </c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</row>
    <row r="369">
      <c r="A369" s="210" t="str">
        <f t="shared" si="1"/>
        <v/>
      </c>
      <c r="B369" s="210">
        <f>IFERROR(__xludf.DUMMYFUNCTION("""COMPUTED_VALUE"""),24.0)</f>
        <v>24</v>
      </c>
      <c r="C369" s="211" t="str">
        <f>IFERROR(__xludf.DUMMYFUNCTION("""COMPUTED_VALUE"""),"5º B")</f>
        <v>5º B</v>
      </c>
      <c r="D369" s="212"/>
      <c r="E369" s="213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 t="str">
        <f>IFERROR(__xludf.DUMMYFUNCTION("""COMPUTED_VALUE"""),"")</f>
        <v/>
      </c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</row>
    <row r="370">
      <c r="A370" s="210" t="str">
        <f t="shared" si="1"/>
        <v/>
      </c>
      <c r="B370" s="210">
        <f>IFERROR(__xludf.DUMMYFUNCTION("""COMPUTED_VALUE"""),25.0)</f>
        <v>25</v>
      </c>
      <c r="C370" s="211" t="str">
        <f>IFERROR(__xludf.DUMMYFUNCTION("""COMPUTED_VALUE"""),"5º A")</f>
        <v>5º A</v>
      </c>
      <c r="D370" s="212"/>
      <c r="E370" s="213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 t="str">
        <f>IFERROR(__xludf.DUMMYFUNCTION("""COMPUTED_VALUE"""),"")</f>
        <v/>
      </c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</row>
    <row r="371">
      <c r="A371" s="210" t="str">
        <f t="shared" si="1"/>
        <v/>
      </c>
      <c r="B371" s="210">
        <f>IFERROR(__xludf.DUMMYFUNCTION("""COMPUTED_VALUE"""),25.0)</f>
        <v>25</v>
      </c>
      <c r="C371" s="211" t="str">
        <f>IFERROR(__xludf.DUMMYFUNCTION("""COMPUTED_VALUE"""),"5º B")</f>
        <v>5º B</v>
      </c>
      <c r="D371" s="212"/>
      <c r="E371" s="213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 t="str">
        <f>IFERROR(__xludf.DUMMYFUNCTION("""COMPUTED_VALUE"""),"")</f>
        <v/>
      </c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</row>
    <row r="372">
      <c r="A372" s="210" t="str">
        <f t="shared" si="1"/>
        <v/>
      </c>
      <c r="B372" s="210">
        <f>IFERROR(__xludf.DUMMYFUNCTION("""COMPUTED_VALUE"""),26.0)</f>
        <v>26</v>
      </c>
      <c r="C372" s="211" t="str">
        <f>IFERROR(__xludf.DUMMYFUNCTION("""COMPUTED_VALUE"""),"5º A")</f>
        <v>5º A</v>
      </c>
      <c r="D372" s="212"/>
      <c r="E372" s="213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 t="str">
        <f>IFERROR(__xludf.DUMMYFUNCTION("""COMPUTED_VALUE"""),"")</f>
        <v/>
      </c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</row>
    <row r="373">
      <c r="A373" s="210" t="str">
        <f t="shared" si="1"/>
        <v/>
      </c>
      <c r="B373" s="210">
        <f>IFERROR(__xludf.DUMMYFUNCTION("""COMPUTED_VALUE"""),26.0)</f>
        <v>26</v>
      </c>
      <c r="C373" s="211" t="str">
        <f>IFERROR(__xludf.DUMMYFUNCTION("""COMPUTED_VALUE"""),"5º B")</f>
        <v>5º B</v>
      </c>
      <c r="D373" s="212"/>
      <c r="E373" s="213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 t="str">
        <f>IFERROR(__xludf.DUMMYFUNCTION("""COMPUTED_VALUE"""),"")</f>
        <v/>
      </c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</row>
    <row r="374">
      <c r="A374" s="210" t="str">
        <f t="shared" si="1"/>
        <v/>
      </c>
      <c r="B374" s="210">
        <f>IFERROR(__xludf.DUMMYFUNCTION("""COMPUTED_VALUE"""),27.0)</f>
        <v>27</v>
      </c>
      <c r="C374" s="211" t="str">
        <f>IFERROR(__xludf.DUMMYFUNCTION("""COMPUTED_VALUE"""),"5º A")</f>
        <v>5º A</v>
      </c>
      <c r="D374" s="212"/>
      <c r="E374" s="213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 t="str">
        <f>IFERROR(__xludf.DUMMYFUNCTION("""COMPUTED_VALUE"""),"")</f>
        <v/>
      </c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</row>
    <row r="375">
      <c r="A375" s="210" t="str">
        <f t="shared" si="1"/>
        <v/>
      </c>
      <c r="B375" s="210">
        <f>IFERROR(__xludf.DUMMYFUNCTION("""COMPUTED_VALUE"""),27.0)</f>
        <v>27</v>
      </c>
      <c r="C375" s="211" t="str">
        <f>IFERROR(__xludf.DUMMYFUNCTION("""COMPUTED_VALUE"""),"5º B")</f>
        <v>5º B</v>
      </c>
      <c r="D375" s="212"/>
      <c r="E375" s="213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 t="str">
        <f>IFERROR(__xludf.DUMMYFUNCTION("""COMPUTED_VALUE"""),"")</f>
        <v/>
      </c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</row>
    <row r="376">
      <c r="A376" s="210" t="str">
        <f t="shared" si="1"/>
        <v/>
      </c>
      <c r="B376" s="210">
        <f>IFERROR(__xludf.DUMMYFUNCTION("""COMPUTED_VALUE"""),28.0)</f>
        <v>28</v>
      </c>
      <c r="C376" s="211" t="str">
        <f>IFERROR(__xludf.DUMMYFUNCTION("""COMPUTED_VALUE"""),"5º A")</f>
        <v>5º A</v>
      </c>
      <c r="D376" s="212"/>
      <c r="E376" s="213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 t="str">
        <f>IFERROR(__xludf.DUMMYFUNCTION("""COMPUTED_VALUE"""),"")</f>
        <v/>
      </c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</row>
    <row r="377">
      <c r="A377" s="210" t="str">
        <f t="shared" si="1"/>
        <v/>
      </c>
      <c r="B377" s="210">
        <f>IFERROR(__xludf.DUMMYFUNCTION("""COMPUTED_VALUE"""),28.0)</f>
        <v>28</v>
      </c>
      <c r="C377" s="211" t="str">
        <f>IFERROR(__xludf.DUMMYFUNCTION("""COMPUTED_VALUE"""),"5º B")</f>
        <v>5º B</v>
      </c>
      <c r="D377" s="212"/>
      <c r="E377" s="213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 t="str">
        <f>IFERROR(__xludf.DUMMYFUNCTION("""COMPUTED_VALUE"""),"")</f>
        <v/>
      </c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</row>
    <row r="378">
      <c r="A378" s="210" t="str">
        <f t="shared" si="1"/>
        <v/>
      </c>
      <c r="B378" s="210">
        <f>IFERROR(__xludf.DUMMYFUNCTION("""COMPUTED_VALUE"""),29.0)</f>
        <v>29</v>
      </c>
      <c r="C378" s="211" t="str">
        <f>IFERROR(__xludf.DUMMYFUNCTION("""COMPUTED_VALUE"""),"5º A")</f>
        <v>5º A</v>
      </c>
      <c r="D378" s="212"/>
      <c r="E378" s="213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 t="str">
        <f>IFERROR(__xludf.DUMMYFUNCTION("""COMPUTED_VALUE"""),"")</f>
        <v/>
      </c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</row>
    <row r="379">
      <c r="A379" s="210" t="str">
        <f t="shared" si="1"/>
        <v/>
      </c>
      <c r="B379" s="210">
        <f>IFERROR(__xludf.DUMMYFUNCTION("""COMPUTED_VALUE"""),29.0)</f>
        <v>29</v>
      </c>
      <c r="C379" s="211" t="str">
        <f>IFERROR(__xludf.DUMMYFUNCTION("""COMPUTED_VALUE"""),"5º B")</f>
        <v>5º B</v>
      </c>
      <c r="D379" s="212"/>
      <c r="E379" s="213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 t="str">
        <f>IFERROR(__xludf.DUMMYFUNCTION("""COMPUTED_VALUE"""),"")</f>
        <v/>
      </c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</row>
    <row r="380">
      <c r="A380" s="210" t="str">
        <f t="shared" si="1"/>
        <v/>
      </c>
      <c r="B380" s="210">
        <f>IFERROR(__xludf.DUMMYFUNCTION("""COMPUTED_VALUE"""),30.0)</f>
        <v>30</v>
      </c>
      <c r="C380" s="211" t="str">
        <f>IFERROR(__xludf.DUMMYFUNCTION("""COMPUTED_VALUE"""),"5º A")</f>
        <v>5º A</v>
      </c>
      <c r="D380" s="212"/>
      <c r="E380" s="213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 t="str">
        <f>IFERROR(__xludf.DUMMYFUNCTION("""COMPUTED_VALUE"""),"")</f>
        <v/>
      </c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</row>
    <row r="381">
      <c r="A381" s="210" t="str">
        <f t="shared" si="1"/>
        <v/>
      </c>
      <c r="B381" s="210">
        <f>IFERROR(__xludf.DUMMYFUNCTION("""COMPUTED_VALUE"""),30.0)</f>
        <v>30</v>
      </c>
      <c r="C381" s="211" t="str">
        <f>IFERROR(__xludf.DUMMYFUNCTION("""COMPUTED_VALUE"""),"5º B")</f>
        <v>5º B</v>
      </c>
      <c r="D381" s="212"/>
      <c r="E381" s="213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 t="str">
        <f>IFERROR(__xludf.DUMMYFUNCTION("""COMPUTED_VALUE"""),"")</f>
        <v/>
      </c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</row>
    <row r="382">
      <c r="A382" s="210" t="str">
        <f t="shared" si="1"/>
        <v/>
      </c>
      <c r="B382" s="210">
        <f>IFERROR(__xludf.DUMMYFUNCTION("""COMPUTED_VALUE"""),31.0)</f>
        <v>31</v>
      </c>
      <c r="C382" s="211" t="str">
        <f>IFERROR(__xludf.DUMMYFUNCTION("""COMPUTED_VALUE"""),"5º A")</f>
        <v>5º A</v>
      </c>
      <c r="D382" s="212"/>
      <c r="E382" s="213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 t="str">
        <f>IFERROR(__xludf.DUMMYFUNCTION("""COMPUTED_VALUE"""),"")</f>
        <v/>
      </c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</row>
    <row r="383">
      <c r="A383" s="210" t="str">
        <f t="shared" si="1"/>
        <v/>
      </c>
      <c r="B383" s="210">
        <f>IFERROR(__xludf.DUMMYFUNCTION("""COMPUTED_VALUE"""),31.0)</f>
        <v>31</v>
      </c>
      <c r="C383" s="211" t="str">
        <f>IFERROR(__xludf.DUMMYFUNCTION("""COMPUTED_VALUE"""),"5º B")</f>
        <v>5º B</v>
      </c>
      <c r="D383" s="212"/>
      <c r="E383" s="213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 t="str">
        <f>IFERROR(__xludf.DUMMYFUNCTION("""COMPUTED_VALUE"""),"")</f>
        <v/>
      </c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</row>
    <row r="384">
      <c r="A384" s="210" t="str">
        <f t="shared" si="1"/>
        <v/>
      </c>
      <c r="B384" s="210">
        <f>IFERROR(__xludf.DUMMYFUNCTION("""COMPUTED_VALUE"""),32.0)</f>
        <v>32</v>
      </c>
      <c r="C384" s="211" t="str">
        <f>IFERROR(__xludf.DUMMYFUNCTION("""COMPUTED_VALUE"""),"5º A")</f>
        <v>5º A</v>
      </c>
      <c r="D384" s="212"/>
      <c r="E384" s="213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 t="str">
        <f>IFERROR(__xludf.DUMMYFUNCTION("""COMPUTED_VALUE"""),"")</f>
        <v/>
      </c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</row>
    <row r="385">
      <c r="A385" s="210" t="str">
        <f t="shared" si="1"/>
        <v/>
      </c>
      <c r="B385" s="210">
        <f>IFERROR(__xludf.DUMMYFUNCTION("""COMPUTED_VALUE"""),32.0)</f>
        <v>32</v>
      </c>
      <c r="C385" s="211" t="str">
        <f>IFERROR(__xludf.DUMMYFUNCTION("""COMPUTED_VALUE"""),"5º B")</f>
        <v>5º B</v>
      </c>
      <c r="D385" s="212"/>
      <c r="E385" s="213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 t="str">
        <f>IFERROR(__xludf.DUMMYFUNCTION("""COMPUTED_VALUE"""),"")</f>
        <v/>
      </c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</row>
    <row r="386">
      <c r="A386" s="210" t="str">
        <f t="shared" si="1"/>
        <v/>
      </c>
      <c r="B386" s="210">
        <f>IFERROR(__xludf.DUMMYFUNCTION("""COMPUTED_VALUE"""),33.0)</f>
        <v>33</v>
      </c>
      <c r="C386" s="211" t="str">
        <f>IFERROR(__xludf.DUMMYFUNCTION("""COMPUTED_VALUE"""),"5º A")</f>
        <v>5º A</v>
      </c>
      <c r="D386" s="212"/>
      <c r="E386" s="213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 t="str">
        <f>IFERROR(__xludf.DUMMYFUNCTION("""COMPUTED_VALUE"""),"")</f>
        <v/>
      </c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</row>
    <row r="387">
      <c r="A387" s="210" t="str">
        <f t="shared" si="1"/>
        <v/>
      </c>
      <c r="B387" s="210">
        <f>IFERROR(__xludf.DUMMYFUNCTION("""COMPUTED_VALUE"""),33.0)</f>
        <v>33</v>
      </c>
      <c r="C387" s="211" t="str">
        <f>IFERROR(__xludf.DUMMYFUNCTION("""COMPUTED_VALUE"""),"5º B")</f>
        <v>5º B</v>
      </c>
      <c r="D387" s="212"/>
      <c r="E387" s="213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 t="str">
        <f>IFERROR(__xludf.DUMMYFUNCTION("""COMPUTED_VALUE"""),"")</f>
        <v/>
      </c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</row>
    <row r="388">
      <c r="A388" s="210" t="str">
        <f t="shared" si="1"/>
        <v/>
      </c>
      <c r="B388" s="210">
        <f>IFERROR(__xludf.DUMMYFUNCTION("""COMPUTED_VALUE"""),34.0)</f>
        <v>34</v>
      </c>
      <c r="C388" s="211" t="str">
        <f>IFERROR(__xludf.DUMMYFUNCTION("""COMPUTED_VALUE"""),"5º A")</f>
        <v>5º A</v>
      </c>
      <c r="D388" s="212"/>
      <c r="E388" s="213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 t="str">
        <f>IFERROR(__xludf.DUMMYFUNCTION("""COMPUTED_VALUE"""),"")</f>
        <v/>
      </c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</row>
    <row r="389">
      <c r="A389" s="210" t="str">
        <f t="shared" si="1"/>
        <v/>
      </c>
      <c r="B389" s="210">
        <f>IFERROR(__xludf.DUMMYFUNCTION("""COMPUTED_VALUE"""),34.0)</f>
        <v>34</v>
      </c>
      <c r="C389" s="211" t="str">
        <f>IFERROR(__xludf.DUMMYFUNCTION("""COMPUTED_VALUE"""),"5º B")</f>
        <v>5º B</v>
      </c>
      <c r="D389" s="212"/>
      <c r="E389" s="213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 t="str">
        <f>IFERROR(__xludf.DUMMYFUNCTION("""COMPUTED_VALUE"""),"")</f>
        <v/>
      </c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</row>
    <row r="390">
      <c r="A390" s="210" t="str">
        <f t="shared" si="1"/>
        <v/>
      </c>
      <c r="B390" s="210">
        <f>IFERROR(__xludf.DUMMYFUNCTION("""COMPUTED_VALUE"""),35.0)</f>
        <v>35</v>
      </c>
      <c r="C390" s="211" t="str">
        <f>IFERROR(__xludf.DUMMYFUNCTION("""COMPUTED_VALUE"""),"5º A")</f>
        <v>5º A</v>
      </c>
      <c r="D390" s="212"/>
      <c r="E390" s="213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 t="str">
        <f>IFERROR(__xludf.DUMMYFUNCTION("""COMPUTED_VALUE"""),"")</f>
        <v/>
      </c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</row>
    <row r="391">
      <c r="A391" s="210" t="str">
        <f t="shared" si="1"/>
        <v/>
      </c>
      <c r="B391" s="210">
        <f>IFERROR(__xludf.DUMMYFUNCTION("""COMPUTED_VALUE"""),35.0)</f>
        <v>35</v>
      </c>
      <c r="C391" s="211" t="str">
        <f>IFERROR(__xludf.DUMMYFUNCTION("""COMPUTED_VALUE"""),"5º B")</f>
        <v>5º B</v>
      </c>
      <c r="D391" s="212"/>
      <c r="E391" s="213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 t="str">
        <f>IFERROR(__xludf.DUMMYFUNCTION("""COMPUTED_VALUE"""),"")</f>
        <v/>
      </c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</row>
    <row r="392">
      <c r="A392" s="210" t="str">
        <f t="shared" si="1"/>
        <v/>
      </c>
      <c r="B392" s="210">
        <f>IFERROR(__xludf.DUMMYFUNCTION("""COMPUTED_VALUE"""),36.0)</f>
        <v>36</v>
      </c>
      <c r="C392" s="211" t="str">
        <f>IFERROR(__xludf.DUMMYFUNCTION("""COMPUTED_VALUE"""),"5º A")</f>
        <v>5º A</v>
      </c>
      <c r="D392" s="212"/>
      <c r="E392" s="213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 t="str">
        <f>IFERROR(__xludf.DUMMYFUNCTION("""COMPUTED_VALUE"""),"")</f>
        <v/>
      </c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</row>
    <row r="393">
      <c r="A393" s="210" t="str">
        <f t="shared" si="1"/>
        <v/>
      </c>
      <c r="B393" s="210">
        <f>IFERROR(__xludf.DUMMYFUNCTION("""COMPUTED_VALUE"""),36.0)</f>
        <v>36</v>
      </c>
      <c r="C393" s="211" t="str">
        <f>IFERROR(__xludf.DUMMYFUNCTION("""COMPUTED_VALUE"""),"5º B")</f>
        <v>5º B</v>
      </c>
      <c r="D393" s="212"/>
      <c r="E393" s="213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 t="str">
        <f>IFERROR(__xludf.DUMMYFUNCTION("""COMPUTED_VALUE"""),"")</f>
        <v/>
      </c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</row>
    <row r="394">
      <c r="A394" s="210" t="str">
        <f t="shared" si="1"/>
        <v/>
      </c>
      <c r="B394" s="210">
        <f>IFERROR(__xludf.DUMMYFUNCTION("""COMPUTED_VALUE"""),37.0)</f>
        <v>37</v>
      </c>
      <c r="C394" s="211" t="str">
        <f>IFERROR(__xludf.DUMMYFUNCTION("""COMPUTED_VALUE"""),"5º A")</f>
        <v>5º A</v>
      </c>
      <c r="D394" s="212"/>
      <c r="E394" s="213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 t="str">
        <f>IFERROR(__xludf.DUMMYFUNCTION("""COMPUTED_VALUE"""),"")</f>
        <v/>
      </c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</row>
    <row r="395">
      <c r="A395" s="210" t="str">
        <f t="shared" si="1"/>
        <v/>
      </c>
      <c r="B395" s="210">
        <f>IFERROR(__xludf.DUMMYFUNCTION("""COMPUTED_VALUE"""),37.0)</f>
        <v>37</v>
      </c>
      <c r="C395" s="211" t="str">
        <f>IFERROR(__xludf.DUMMYFUNCTION("""COMPUTED_VALUE"""),"5º B")</f>
        <v>5º B</v>
      </c>
      <c r="D395" s="212"/>
      <c r="E395" s="213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 t="str">
        <f>IFERROR(__xludf.DUMMYFUNCTION("""COMPUTED_VALUE"""),"")</f>
        <v/>
      </c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</row>
    <row r="396">
      <c r="A396" s="210" t="str">
        <f t="shared" si="1"/>
        <v/>
      </c>
      <c r="B396" s="210">
        <f>IFERROR(__xludf.DUMMYFUNCTION("""COMPUTED_VALUE"""),38.0)</f>
        <v>38</v>
      </c>
      <c r="C396" s="211" t="str">
        <f>IFERROR(__xludf.DUMMYFUNCTION("""COMPUTED_VALUE"""),"5º A")</f>
        <v>5º A</v>
      </c>
      <c r="D396" s="212"/>
      <c r="E396" s="213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 t="str">
        <f>IFERROR(__xludf.DUMMYFUNCTION("""COMPUTED_VALUE"""),"")</f>
        <v/>
      </c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</row>
    <row r="397">
      <c r="A397" s="210" t="str">
        <f t="shared" si="1"/>
        <v/>
      </c>
      <c r="B397" s="210">
        <f>IFERROR(__xludf.DUMMYFUNCTION("""COMPUTED_VALUE"""),38.0)</f>
        <v>38</v>
      </c>
      <c r="C397" s="211" t="str">
        <f>IFERROR(__xludf.DUMMYFUNCTION("""COMPUTED_VALUE"""),"5º B")</f>
        <v>5º B</v>
      </c>
      <c r="D397" s="212"/>
      <c r="E397" s="213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 t="str">
        <f>IFERROR(__xludf.DUMMYFUNCTION("""COMPUTED_VALUE"""),"")</f>
        <v/>
      </c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</row>
    <row r="398">
      <c r="A398" s="210" t="str">
        <f t="shared" si="1"/>
        <v/>
      </c>
      <c r="B398" s="210">
        <f>IFERROR(__xludf.DUMMYFUNCTION("""COMPUTED_VALUE"""),39.0)</f>
        <v>39</v>
      </c>
      <c r="C398" s="211" t="str">
        <f>IFERROR(__xludf.DUMMYFUNCTION("""COMPUTED_VALUE"""),"5º A")</f>
        <v>5º A</v>
      </c>
      <c r="D398" s="212"/>
      <c r="E398" s="213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 t="str">
        <f>IFERROR(__xludf.DUMMYFUNCTION("""COMPUTED_VALUE"""),"")</f>
        <v/>
      </c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</row>
    <row r="399">
      <c r="A399" s="210" t="str">
        <f t="shared" si="1"/>
        <v/>
      </c>
      <c r="B399" s="210">
        <f>IFERROR(__xludf.DUMMYFUNCTION("""COMPUTED_VALUE"""),39.0)</f>
        <v>39</v>
      </c>
      <c r="C399" s="211" t="str">
        <f>IFERROR(__xludf.DUMMYFUNCTION("""COMPUTED_VALUE"""),"5º B")</f>
        <v>5º B</v>
      </c>
      <c r="D399" s="212"/>
      <c r="E399" s="213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 t="str">
        <f>IFERROR(__xludf.DUMMYFUNCTION("""COMPUTED_VALUE"""),"")</f>
        <v/>
      </c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</row>
    <row r="400">
      <c r="A400" s="210" t="str">
        <f t="shared" si="1"/>
        <v/>
      </c>
      <c r="B400" s="210">
        <f>IFERROR(__xludf.DUMMYFUNCTION("""COMPUTED_VALUE"""),40.0)</f>
        <v>40</v>
      </c>
      <c r="C400" s="211" t="str">
        <f>IFERROR(__xludf.DUMMYFUNCTION("""COMPUTED_VALUE"""),"5º A")</f>
        <v>5º A</v>
      </c>
      <c r="D400" s="212"/>
      <c r="E400" s="213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 t="str">
        <f>IFERROR(__xludf.DUMMYFUNCTION("""COMPUTED_VALUE"""),"")</f>
        <v/>
      </c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</row>
    <row r="401">
      <c r="A401" s="210" t="str">
        <f t="shared" si="1"/>
        <v/>
      </c>
      <c r="B401" s="210">
        <f>IFERROR(__xludf.DUMMYFUNCTION("""COMPUTED_VALUE"""),40.0)</f>
        <v>40</v>
      </c>
      <c r="C401" s="211" t="str">
        <f>IFERROR(__xludf.DUMMYFUNCTION("""COMPUTED_VALUE"""),"5º B")</f>
        <v>5º B</v>
      </c>
      <c r="D401" s="212"/>
      <c r="E401" s="213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 t="str">
        <f>IFERROR(__xludf.DUMMYFUNCTION("""COMPUTED_VALUE"""),"")</f>
        <v/>
      </c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</row>
    <row r="402">
      <c r="A402" s="210" t="str">
        <f t="shared" si="1"/>
        <v>Gabriel Aluzzo</v>
      </c>
      <c r="B402" s="210">
        <f>IFERROR(__xludf.DUMMYFUNCTION("""COMPUTED_VALUE"""),1.0)</f>
        <v>1</v>
      </c>
      <c r="C402" s="211" t="str">
        <f>IFERROR(__xludf.DUMMYFUNCTION("""COMPUTED_VALUE"""),"6º A")</f>
        <v>6º A</v>
      </c>
      <c r="D402" s="212"/>
      <c r="E402" s="213"/>
      <c r="F402" s="212" t="str">
        <f>IFERROR(__xludf.DUMMYFUNCTION("""COMPUTED_VALUE"""),"Grupo P")</f>
        <v>Grupo P</v>
      </c>
      <c r="G402" s="212" t="str">
        <f>IFERROR(__xludf.DUMMYFUNCTION("""COMPUTED_VALUE"""),"si")</f>
        <v>si</v>
      </c>
      <c r="H402" s="212"/>
      <c r="I402" s="212">
        <f>IFERROR(__xludf.DUMMYFUNCTION("""COMPUTED_VALUE"""),2.0)</f>
        <v>2</v>
      </c>
      <c r="J402" s="212"/>
      <c r="K402" s="212" t="str">
        <f>IFERROR(__xludf.DUMMYFUNCTION("""COMPUTED_VALUE"""),"Arte")</f>
        <v>Arte</v>
      </c>
      <c r="L402" s="212" t="str">
        <f>IFERROR(__xludf.DUMMYFUNCTION("""COMPUTED_VALUE"""),"Gabriel Aluzzo")</f>
        <v>Gabriel Aluzzo</v>
      </c>
      <c r="M402" s="212"/>
      <c r="N402" s="212"/>
      <c r="O402" s="212" t="str">
        <f>IFERROR(__xludf.DUMMYFUNCTION("""COMPUTED_VALUE"""),"Gabriel Aluzzo")</f>
        <v>Gabriel Aluzzo</v>
      </c>
      <c r="P402" s="212" t="str">
        <f>IFERROR(__xludf.DUMMYFUNCTION("""COMPUTED_VALUE"""),"Expresion")</f>
        <v>Expresion</v>
      </c>
      <c r="Q402" s="212" t="str">
        <f>IFERROR(__xludf.DUMMYFUNCTION("""COMPUTED_VALUE"""),"Mantiene")</f>
        <v>Mantiene</v>
      </c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</row>
    <row r="403">
      <c r="A403" s="210" t="str">
        <f t="shared" si="1"/>
        <v>Gabriel Aluzzo</v>
      </c>
      <c r="B403" s="210">
        <f>IFERROR(__xludf.DUMMYFUNCTION("""COMPUTED_VALUE"""),1.0)</f>
        <v>1</v>
      </c>
      <c r="C403" s="211" t="str">
        <f>IFERROR(__xludf.DUMMYFUNCTION("""COMPUTED_VALUE"""),"6º B")</f>
        <v>6º B</v>
      </c>
      <c r="D403" s="212"/>
      <c r="E403" s="213"/>
      <c r="F403" s="212" t="str">
        <f>IFERROR(__xludf.DUMMYFUNCTION("""COMPUTED_VALUE"""),"Grupo S")</f>
        <v>Grupo S</v>
      </c>
      <c r="G403" s="212" t="str">
        <f>IFERROR(__xludf.DUMMYFUNCTION("""COMPUTED_VALUE"""),"si")</f>
        <v>si</v>
      </c>
      <c r="H403" s="212"/>
      <c r="I403" s="212">
        <f>IFERROR(__xludf.DUMMYFUNCTION("""COMPUTED_VALUE"""),2.0)</f>
        <v>2</v>
      </c>
      <c r="J403" s="212"/>
      <c r="K403" s="212" t="str">
        <f>IFERROR(__xludf.DUMMYFUNCTION("""COMPUTED_VALUE"""),"Arte")</f>
        <v>Arte</v>
      </c>
      <c r="L403" s="212" t="str">
        <f>IFERROR(__xludf.DUMMYFUNCTION("""COMPUTED_VALUE"""),"Gabriel Aluzzo")</f>
        <v>Gabriel Aluzzo</v>
      </c>
      <c r="M403" s="212"/>
      <c r="N403" s="212"/>
      <c r="O403" s="212" t="str">
        <f>IFERROR(__xludf.DUMMYFUNCTION("""COMPUTED_VALUE"""),"Gabriel Aluzzo")</f>
        <v>Gabriel Aluzzo</v>
      </c>
      <c r="P403" s="212" t="str">
        <f>IFERROR(__xludf.DUMMYFUNCTION("""COMPUTED_VALUE"""),"Expresion")</f>
        <v>Expresion</v>
      </c>
      <c r="Q403" s="212" t="str">
        <f>IFERROR(__xludf.DUMMYFUNCTION("""COMPUTED_VALUE"""),"Mantiene")</f>
        <v>Mantiene</v>
      </c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</row>
    <row r="404">
      <c r="A404" s="210" t="str">
        <f t="shared" si="1"/>
        <v>SE BAJAN</v>
      </c>
      <c r="B404" s="210">
        <f>IFERROR(__xludf.DUMMYFUNCTION("""COMPUTED_VALUE"""),1.0)</f>
        <v>1</v>
      </c>
      <c r="C404" s="211" t="str">
        <f>IFERROR(__xludf.DUMMYFUNCTION("""COMPUTED_VALUE"""),"6º D")</f>
        <v>6º D</v>
      </c>
      <c r="D404" s="212"/>
      <c r="E404" s="213"/>
      <c r="F404" s="212" t="str">
        <f>IFERROR(__xludf.DUMMYFUNCTION("""COMPUTED_VALUE"""),"Grupo O")</f>
        <v>Grupo O</v>
      </c>
      <c r="G404" s="212" t="str">
        <f>IFERROR(__xludf.DUMMYFUNCTION("""COMPUTED_VALUE"""),"si")</f>
        <v>si</v>
      </c>
      <c r="H404" s="212"/>
      <c r="I404" s="212">
        <f>IFERROR(__xludf.DUMMYFUNCTION("""COMPUTED_VALUE"""),2.0)</f>
        <v>2</v>
      </c>
      <c r="J404" s="212"/>
      <c r="K404" s="212" t="str">
        <f>IFERROR(__xludf.DUMMYFUNCTION("""COMPUTED_VALUE"""),"Arte")</f>
        <v>Arte</v>
      </c>
      <c r="L404" s="212" t="str">
        <f>IFERROR(__xludf.DUMMYFUNCTION("""COMPUTED_VALUE"""),"Gabriel Aluzzo")</f>
        <v>Gabriel Aluzzo</v>
      </c>
      <c r="M404" s="212"/>
      <c r="N404" s="212"/>
      <c r="O404" s="212" t="str">
        <f>IFERROR(__xludf.DUMMYFUNCTION("""COMPUTED_VALUE"""),"SE BAJAN")</f>
        <v>SE BAJAN</v>
      </c>
      <c r="P404" s="212" t="str">
        <f>IFERROR(__xludf.DUMMYFUNCTION("""COMPUTED_VALUE"""),"Expresion")</f>
        <v>Expresion</v>
      </c>
      <c r="Q404" s="212" t="str">
        <f>IFERROR(__xludf.DUMMYFUNCTION("""COMPUTED_VALUE"""),"BAJA de CURSO")</f>
        <v>BAJA de CURSO</v>
      </c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</row>
    <row r="405">
      <c r="A405" s="210" t="str">
        <f t="shared" si="1"/>
        <v>Luciana Natalia Cabrera</v>
      </c>
      <c r="B405" s="210">
        <f>IFERROR(__xludf.DUMMYFUNCTION("""COMPUTED_VALUE"""),2.0)</f>
        <v>2</v>
      </c>
      <c r="C405" s="211" t="str">
        <f>IFERROR(__xludf.DUMMYFUNCTION("""COMPUTED_VALUE"""),"6º A")</f>
        <v>6º A</v>
      </c>
      <c r="D405" s="212"/>
      <c r="E405" s="213"/>
      <c r="F405" s="212" t="str">
        <f>IFERROR(__xludf.DUMMYFUNCTION("""COMPUTED_VALUE"""),"Grupo P")</f>
        <v>Grupo P</v>
      </c>
      <c r="G405" s="212" t="str">
        <f>IFERROR(__xludf.DUMMYFUNCTION("""COMPUTED_VALUE"""),"si")</f>
        <v>si</v>
      </c>
      <c r="H405" s="212"/>
      <c r="I405" s="212">
        <f>IFERROR(__xludf.DUMMYFUNCTION("""COMPUTED_VALUE"""),2.0)</f>
        <v>2</v>
      </c>
      <c r="J405" s="212"/>
      <c r="K405" s="212" t="str">
        <f>IFERROR(__xludf.DUMMYFUNCTION("""COMPUTED_VALUE"""),"Desafíos de la Argentina Contemporánea")</f>
        <v>Desafíos de la Argentina Contemporánea</v>
      </c>
      <c r="L405" s="212" t="str">
        <f>IFERROR(__xludf.DUMMYFUNCTION("""COMPUTED_VALUE"""),"Luciana Natalia Cabrera")</f>
        <v>Luciana Natalia Cabrera</v>
      </c>
      <c r="M405" s="212"/>
      <c r="N405" s="212"/>
      <c r="O405" s="212" t="str">
        <f>IFERROR(__xludf.DUMMYFUNCTION("""COMPUTED_VALUE"""),"Luciana Natalia Cabrera")</f>
        <v>Luciana Natalia Cabrera</v>
      </c>
      <c r="P405" s="212" t="str">
        <f>IFERROR(__xludf.DUMMYFUNCTION("""COMPUTED_VALUE"""),"Humanas")</f>
        <v>Humanas</v>
      </c>
      <c r="Q405" s="212" t="str">
        <f>IFERROR(__xludf.DUMMYFUNCTION("""COMPUTED_VALUE"""),"Mantiene")</f>
        <v>Mantiene</v>
      </c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</row>
    <row r="406">
      <c r="A406" s="210" t="str">
        <f t="shared" si="1"/>
        <v>Carolina Ferrari Aldaz</v>
      </c>
      <c r="B406" s="210">
        <f>IFERROR(__xludf.DUMMYFUNCTION("""COMPUTED_VALUE"""),2.0)</f>
        <v>2</v>
      </c>
      <c r="C406" s="211" t="str">
        <f>IFERROR(__xludf.DUMMYFUNCTION("""COMPUTED_VALUE"""),"6º B")</f>
        <v>6º B</v>
      </c>
      <c r="D406" s="212"/>
      <c r="E406" s="213"/>
      <c r="F406" s="212" t="str">
        <f>IFERROR(__xludf.DUMMYFUNCTION("""COMPUTED_VALUE"""),"Grupo S")</f>
        <v>Grupo S</v>
      </c>
      <c r="G406" s="212" t="str">
        <f>IFERROR(__xludf.DUMMYFUNCTION("""COMPUTED_VALUE"""),"si")</f>
        <v>si</v>
      </c>
      <c r="H406" s="212"/>
      <c r="I406" s="212">
        <f>IFERROR(__xludf.DUMMYFUNCTION("""COMPUTED_VALUE"""),2.0)</f>
        <v>2</v>
      </c>
      <c r="J406" s="212"/>
      <c r="K406" s="212" t="str">
        <f>IFERROR(__xludf.DUMMYFUNCTION("""COMPUTED_VALUE"""),"Desafíos de la Argentina Contemporánea")</f>
        <v>Desafíos de la Argentina Contemporánea</v>
      </c>
      <c r="L406" s="212" t="str">
        <f>IFERROR(__xludf.DUMMYFUNCTION("""COMPUTED_VALUE"""),"Carolina Ferrari Aldaz")</f>
        <v>Carolina Ferrari Aldaz</v>
      </c>
      <c r="M406" s="212"/>
      <c r="N406" s="212"/>
      <c r="O406" s="212" t="str">
        <f>IFERROR(__xludf.DUMMYFUNCTION("""COMPUTED_VALUE"""),"Carolina Ferrari Aldaz")</f>
        <v>Carolina Ferrari Aldaz</v>
      </c>
      <c r="P406" s="212" t="str">
        <f>IFERROR(__xludf.DUMMYFUNCTION("""COMPUTED_VALUE"""),"Humanas")</f>
        <v>Humanas</v>
      </c>
      <c r="Q406" s="212" t="str">
        <f>IFERROR(__xludf.DUMMYFUNCTION("""COMPUTED_VALUE"""),"Mantiene")</f>
        <v>Mantiene</v>
      </c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</row>
    <row r="407">
      <c r="A407" s="210" t="str">
        <f t="shared" si="1"/>
        <v>SE BAJAN</v>
      </c>
      <c r="B407" s="210">
        <f>IFERROR(__xludf.DUMMYFUNCTION("""COMPUTED_VALUE"""),2.0)</f>
        <v>2</v>
      </c>
      <c r="C407" s="211" t="str">
        <f>IFERROR(__xludf.DUMMYFUNCTION("""COMPUTED_VALUE"""),"6º D")</f>
        <v>6º D</v>
      </c>
      <c r="D407" s="212"/>
      <c r="E407" s="213"/>
      <c r="F407" s="212" t="str">
        <f>IFERROR(__xludf.DUMMYFUNCTION("""COMPUTED_VALUE"""),"Grupo O")</f>
        <v>Grupo O</v>
      </c>
      <c r="G407" s="212" t="str">
        <f>IFERROR(__xludf.DUMMYFUNCTION("""COMPUTED_VALUE"""),"si")</f>
        <v>si</v>
      </c>
      <c r="H407" s="212"/>
      <c r="I407" s="212"/>
      <c r="J407" s="212"/>
      <c r="K407" s="212" t="str">
        <f>IFERROR(__xludf.DUMMYFUNCTION("""COMPUTED_VALUE"""),"Desafíos de la Argentina Contemporánea")</f>
        <v>Desafíos de la Argentina Contemporánea</v>
      </c>
      <c r="L407" s="212" t="str">
        <f>IFERROR(__xludf.DUMMYFUNCTION("""COMPUTED_VALUE"""),"Carolina Ferrari Aldaz")</f>
        <v>Carolina Ferrari Aldaz</v>
      </c>
      <c r="M407" s="212"/>
      <c r="N407" s="212"/>
      <c r="O407" s="212" t="str">
        <f>IFERROR(__xludf.DUMMYFUNCTION("""COMPUTED_VALUE"""),"SE BAJAN")</f>
        <v>SE BAJAN</v>
      </c>
      <c r="P407" s="212" t="str">
        <f>IFERROR(__xludf.DUMMYFUNCTION("""COMPUTED_VALUE"""),"Humanas")</f>
        <v>Humanas</v>
      </c>
      <c r="Q407" s="212" t="str">
        <f>IFERROR(__xludf.DUMMYFUNCTION("""COMPUTED_VALUE"""),"BAJA de CURSO")</f>
        <v>BAJA de CURSO</v>
      </c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</row>
    <row r="408">
      <c r="A408" s="210" t="str">
        <f t="shared" si="1"/>
        <v>Marina Aberg Cobo</v>
      </c>
      <c r="B408" s="210">
        <f>IFERROR(__xludf.DUMMYFUNCTION("""COMPUTED_VALUE"""),3.0)</f>
        <v>3</v>
      </c>
      <c r="C408" s="211" t="str">
        <f>IFERROR(__xludf.DUMMYFUNCTION("""COMPUTED_VALUE"""),"6º A")</f>
        <v>6º A</v>
      </c>
      <c r="D408" s="212"/>
      <c r="E408" s="213"/>
      <c r="F408" s="212" t="str">
        <f>IFERROR(__xludf.DUMMYFUNCTION("""COMPUTED_VALUE"""),"Grupo P")</f>
        <v>Grupo P</v>
      </c>
      <c r="G408" s="212" t="str">
        <f>IFERROR(__xludf.DUMMYFUNCTION("""COMPUTED_VALUE"""),"si")</f>
        <v>si</v>
      </c>
      <c r="H408" s="212"/>
      <c r="I408" s="212">
        <f>IFERROR(__xludf.DUMMYFUNCTION("""COMPUTED_VALUE"""),3.0)</f>
        <v>3</v>
      </c>
      <c r="J408" s="212"/>
      <c r="K408" s="212" t="str">
        <f>IFERROR(__xludf.DUMMYFUNCTION("""COMPUTED_VALUE"""),"Economics")</f>
        <v>Economics</v>
      </c>
      <c r="L408" s="212" t="str">
        <f>IFERROR(__xludf.DUMMYFUNCTION("""COMPUTED_VALUE"""),"Marina Aberg Cobo")</f>
        <v>Marina Aberg Cobo</v>
      </c>
      <c r="M408" s="212"/>
      <c r="N408" s="212"/>
      <c r="O408" s="212" t="str">
        <f>IFERROR(__xludf.DUMMYFUNCTION("""COMPUTED_VALUE"""),"Marina Aberg Cobo")</f>
        <v>Marina Aberg Cobo</v>
      </c>
      <c r="P408" s="212" t="str">
        <f>IFERROR(__xludf.DUMMYFUNCTION("""COMPUTED_VALUE"""),"Humanas")</f>
        <v>Humanas</v>
      </c>
      <c r="Q408" s="212" t="str">
        <f>IFERROR(__xludf.DUMMYFUNCTION("""COMPUTED_VALUE"""),"Mantiene")</f>
        <v>Mantiene</v>
      </c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</row>
    <row r="409">
      <c r="A409" s="210" t="str">
        <f t="shared" si="1"/>
        <v>Marina Aberg Cobo</v>
      </c>
      <c r="B409" s="210">
        <f>IFERROR(__xludf.DUMMYFUNCTION("""COMPUTED_VALUE"""),3.0)</f>
        <v>3</v>
      </c>
      <c r="C409" s="211" t="str">
        <f>IFERROR(__xludf.DUMMYFUNCTION("""COMPUTED_VALUE"""),"6º B")</f>
        <v>6º B</v>
      </c>
      <c r="D409" s="212"/>
      <c r="E409" s="213"/>
      <c r="F409" s="212" t="str">
        <f>IFERROR(__xludf.DUMMYFUNCTION("""COMPUTED_VALUE"""),"Grupo S")</f>
        <v>Grupo S</v>
      </c>
      <c r="G409" s="212" t="str">
        <f>IFERROR(__xludf.DUMMYFUNCTION("""COMPUTED_VALUE"""),"si")</f>
        <v>si</v>
      </c>
      <c r="H409" s="212"/>
      <c r="I409" s="212">
        <f>IFERROR(__xludf.DUMMYFUNCTION("""COMPUTED_VALUE"""),3.0)</f>
        <v>3</v>
      </c>
      <c r="J409" s="212"/>
      <c r="K409" s="212" t="str">
        <f>IFERROR(__xludf.DUMMYFUNCTION("""COMPUTED_VALUE"""),"Economics")</f>
        <v>Economics</v>
      </c>
      <c r="L409" s="212" t="str">
        <f>IFERROR(__xludf.DUMMYFUNCTION("""COMPUTED_VALUE"""),"Marina Aberg Cobo")</f>
        <v>Marina Aberg Cobo</v>
      </c>
      <c r="M409" s="212"/>
      <c r="N409" s="212"/>
      <c r="O409" s="212" t="str">
        <f>IFERROR(__xludf.DUMMYFUNCTION("""COMPUTED_VALUE"""),"Marina Aberg Cobo")</f>
        <v>Marina Aberg Cobo</v>
      </c>
      <c r="P409" s="212" t="str">
        <f>IFERROR(__xludf.DUMMYFUNCTION("""COMPUTED_VALUE"""),"Humanas")</f>
        <v>Humanas</v>
      </c>
      <c r="Q409" s="212" t="str">
        <f>IFERROR(__xludf.DUMMYFUNCTION("""COMPUTED_VALUE"""),"Mantiene")</f>
        <v>Mantiene</v>
      </c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</row>
    <row r="410">
      <c r="A410" s="210" t="str">
        <f t="shared" si="1"/>
        <v>SE BAJAN</v>
      </c>
      <c r="B410" s="210">
        <f>IFERROR(__xludf.DUMMYFUNCTION("""COMPUTED_VALUE"""),3.0)</f>
        <v>3</v>
      </c>
      <c r="C410" s="211" t="str">
        <f>IFERROR(__xludf.DUMMYFUNCTION("""COMPUTED_VALUE"""),"6º D")</f>
        <v>6º D</v>
      </c>
      <c r="D410" s="212"/>
      <c r="E410" s="213"/>
      <c r="F410" s="212" t="str">
        <f>IFERROR(__xludf.DUMMYFUNCTION("""COMPUTED_VALUE"""),"Grupo O")</f>
        <v>Grupo O</v>
      </c>
      <c r="G410" s="212" t="str">
        <f>IFERROR(__xludf.DUMMYFUNCTION("""COMPUTED_VALUE"""),"si")</f>
        <v>si</v>
      </c>
      <c r="H410" s="212"/>
      <c r="I410" s="212"/>
      <c r="J410" s="212"/>
      <c r="K410" s="212" t="str">
        <f>IFERROR(__xludf.DUMMYFUNCTION("""COMPUTED_VALUE"""),"Economics")</f>
        <v>Economics</v>
      </c>
      <c r="L410" s="212" t="str">
        <f>IFERROR(__xludf.DUMMYFUNCTION("""COMPUTED_VALUE"""),"Marina Aberg Cobo")</f>
        <v>Marina Aberg Cobo</v>
      </c>
      <c r="M410" s="212"/>
      <c r="N410" s="212"/>
      <c r="O410" s="212" t="str">
        <f>IFERROR(__xludf.DUMMYFUNCTION("""COMPUTED_VALUE"""),"SE BAJAN")</f>
        <v>SE BAJAN</v>
      </c>
      <c r="P410" s="212" t="str">
        <f>IFERROR(__xludf.DUMMYFUNCTION("""COMPUTED_VALUE"""),"Humanas")</f>
        <v>Humanas</v>
      </c>
      <c r="Q410" s="212" t="str">
        <f>IFERROR(__xludf.DUMMYFUNCTION("""COMPUTED_VALUE"""),"BAJA de CURSO")</f>
        <v>BAJA de CURSO</v>
      </c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</row>
    <row r="411">
      <c r="A411" s="210" t="str">
        <f t="shared" si="1"/>
        <v>Maria Laura Muiño</v>
      </c>
      <c r="B411" s="210">
        <f>IFERROR(__xludf.DUMMYFUNCTION("""COMPUTED_VALUE"""),4.0)</f>
        <v>4</v>
      </c>
      <c r="C411" s="211" t="str">
        <f>IFERROR(__xludf.DUMMYFUNCTION("""COMPUTED_VALUE"""),"6º A")</f>
        <v>6º A</v>
      </c>
      <c r="D411" s="212"/>
      <c r="E411" s="213"/>
      <c r="F411" s="212"/>
      <c r="G411" s="212" t="str">
        <f>IFERROR(__xludf.DUMMYFUNCTION("""COMPUTED_VALUE"""),"si")</f>
        <v>si</v>
      </c>
      <c r="H411" s="212"/>
      <c r="I411" s="212">
        <f>IFERROR(__xludf.DUMMYFUNCTION("""COMPUTED_VALUE"""),4.0)</f>
        <v>4</v>
      </c>
      <c r="J411" s="212"/>
      <c r="K411" s="212" t="str">
        <f>IFERROR(__xludf.DUMMYFUNCTION("""COMPUTED_VALUE"""),"Educación Física")</f>
        <v>Educación Física</v>
      </c>
      <c r="L411" s="212" t="str">
        <f>IFERROR(__xludf.DUMMYFUNCTION("""COMPUTED_VALUE"""),"Maria Laura Muiño")</f>
        <v>Maria Laura Muiño</v>
      </c>
      <c r="M411" s="212" t="str">
        <f>IFERROR(__xludf.DUMMYFUNCTION("""COMPUTED_VALUE"""),"Fernando Xavier Valle")</f>
        <v>Fernando Xavier Valle</v>
      </c>
      <c r="N411" s="212"/>
      <c r="O411" s="212" t="str">
        <f>IFERROR(__xludf.DUMMYFUNCTION("""COMPUTED_VALUE"""),"Maria Laura Muiño")</f>
        <v>Maria Laura Muiño</v>
      </c>
      <c r="P411" s="212" t="str">
        <f>IFERROR(__xludf.DUMMYFUNCTION("""COMPUTED_VALUE"""),"Educación Física")</f>
        <v>Educación Física</v>
      </c>
      <c r="Q411" s="212" t="str">
        <f>IFERROR(__xludf.DUMMYFUNCTION("""COMPUTED_VALUE"""),"Mantiene")</f>
        <v>Mantiene</v>
      </c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</row>
    <row r="412">
      <c r="A412" s="210" t="str">
        <f t="shared" si="1"/>
        <v>Diego Millet</v>
      </c>
      <c r="B412" s="210">
        <f>IFERROR(__xludf.DUMMYFUNCTION("""COMPUTED_VALUE"""),4.0)</f>
        <v>4</v>
      </c>
      <c r="C412" s="211" t="str">
        <f>IFERROR(__xludf.DUMMYFUNCTION("""COMPUTED_VALUE"""),"6º B")</f>
        <v>6º B</v>
      </c>
      <c r="D412" s="212"/>
      <c r="E412" s="213"/>
      <c r="F412" s="212"/>
      <c r="G412" s="212" t="str">
        <f>IFERROR(__xludf.DUMMYFUNCTION("""COMPUTED_VALUE"""),"si")</f>
        <v>si</v>
      </c>
      <c r="H412" s="212"/>
      <c r="I412" s="212">
        <f>IFERROR(__xludf.DUMMYFUNCTION("""COMPUTED_VALUE"""),4.0)</f>
        <v>4</v>
      </c>
      <c r="J412" s="212"/>
      <c r="K412" s="212" t="str">
        <f>IFERROR(__xludf.DUMMYFUNCTION("""COMPUTED_VALUE"""),"Educación Física")</f>
        <v>Educación Física</v>
      </c>
      <c r="L412" s="212" t="str">
        <f>IFERROR(__xludf.DUMMYFUNCTION("""COMPUTED_VALUE"""),"Diego Millet")</f>
        <v>Diego Millet</v>
      </c>
      <c r="M412" s="212" t="str">
        <f>IFERROR(__xludf.DUMMYFUNCTION("""COMPUTED_VALUE"""),"Fernando Xavier Valle")</f>
        <v>Fernando Xavier Valle</v>
      </c>
      <c r="N412" s="212"/>
      <c r="O412" s="212" t="str">
        <f>IFERROR(__xludf.DUMMYFUNCTION("""COMPUTED_VALUE"""),"Diego Millet")</f>
        <v>Diego Millet</v>
      </c>
      <c r="P412" s="212" t="str">
        <f>IFERROR(__xludf.DUMMYFUNCTION("""COMPUTED_VALUE"""),"Educación Física")</f>
        <v>Educación Física</v>
      </c>
      <c r="Q412" s="212" t="str">
        <f>IFERROR(__xludf.DUMMYFUNCTION("""COMPUTED_VALUE"""),"Mantiene")</f>
        <v>Mantiene</v>
      </c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</row>
    <row r="413">
      <c r="A413" s="210" t="str">
        <f t="shared" si="1"/>
        <v>SE BAJAN</v>
      </c>
      <c r="B413" s="210">
        <f>IFERROR(__xludf.DUMMYFUNCTION("""COMPUTED_VALUE"""),4.0)</f>
        <v>4</v>
      </c>
      <c r="C413" s="211" t="str">
        <f>IFERROR(__xludf.DUMMYFUNCTION("""COMPUTED_VALUE"""),"6º D")</f>
        <v>6º D</v>
      </c>
      <c r="D413" s="212"/>
      <c r="E413" s="213"/>
      <c r="F413" s="212"/>
      <c r="G413" s="212" t="str">
        <f>IFERROR(__xludf.DUMMYFUNCTION("""COMPUTED_VALUE"""),"si")</f>
        <v>si</v>
      </c>
      <c r="H413" s="212"/>
      <c r="I413" s="212">
        <f>IFERROR(__xludf.DUMMYFUNCTION("""COMPUTED_VALUE"""),4.0)</f>
        <v>4</v>
      </c>
      <c r="J413" s="212"/>
      <c r="K413" s="212" t="str">
        <f>IFERROR(__xludf.DUMMYFUNCTION("""COMPUTED_VALUE"""),"Educación Física")</f>
        <v>Educación Física</v>
      </c>
      <c r="L413" s="212" t="str">
        <f>IFERROR(__xludf.DUMMYFUNCTION("""COMPUTED_VALUE"""),"Nicolás Leonel Mai")</f>
        <v>Nicolás Leonel Mai</v>
      </c>
      <c r="M413" s="212" t="str">
        <f>IFERROR(__xludf.DUMMYFUNCTION("""COMPUTED_VALUE"""),"Fernando Xavier Valle")</f>
        <v>Fernando Xavier Valle</v>
      </c>
      <c r="N413" s="212"/>
      <c r="O413" s="212" t="str">
        <f>IFERROR(__xludf.DUMMYFUNCTION("""COMPUTED_VALUE"""),"SE BAJAN")</f>
        <v>SE BAJAN</v>
      </c>
      <c r="P413" s="212" t="str">
        <f>IFERROR(__xludf.DUMMYFUNCTION("""COMPUTED_VALUE"""),"Educación Física")</f>
        <v>Educación Física</v>
      </c>
      <c r="Q413" s="212" t="str">
        <f>IFERROR(__xludf.DUMMYFUNCTION("""COMPUTED_VALUE"""),"BAJA de CURSO")</f>
        <v>BAJA de CURSO</v>
      </c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</row>
    <row r="414">
      <c r="A414" s="210" t="str">
        <f t="shared" si="1"/>
        <v>Juan Bautista De Las Carreras</v>
      </c>
      <c r="B414" s="210">
        <f>IFERROR(__xludf.DUMMYFUNCTION("""COMPUTED_VALUE"""),5.0)</f>
        <v>5</v>
      </c>
      <c r="C414" s="211" t="str">
        <f>IFERROR(__xludf.DUMMYFUNCTION("""COMPUTED_VALUE"""),"6º A")</f>
        <v>6º A</v>
      </c>
      <c r="D414" s="212"/>
      <c r="E414" s="213"/>
      <c r="F414" s="212" t="str">
        <f>IFERROR(__xludf.DUMMYFUNCTION("""COMPUTED_VALUE"""),"Grupo P")</f>
        <v>Grupo P</v>
      </c>
      <c r="G414" s="212" t="str">
        <f>IFERROR(__xludf.DUMMYFUNCTION("""COMPUTED_VALUE"""),"si")</f>
        <v>si</v>
      </c>
      <c r="H414" s="212"/>
      <c r="I414" s="212">
        <f>IFERROR(__xludf.DUMMYFUNCTION("""COMPUTED_VALUE"""),2.0)</f>
        <v>2</v>
      </c>
      <c r="J414" s="212"/>
      <c r="K414" s="212" t="str">
        <f>IFERROR(__xludf.DUMMYFUNCTION("""COMPUTED_VALUE"""),"Filosofía")</f>
        <v>Filosofía</v>
      </c>
      <c r="L414" s="212" t="str">
        <f>IFERROR(__xludf.DUMMYFUNCTION("""COMPUTED_VALUE"""),"Juan Bautista De Las Carreras")</f>
        <v>Juan Bautista De Las Carreras</v>
      </c>
      <c r="M414" s="212"/>
      <c r="N414" s="212"/>
      <c r="O414" s="212" t="str">
        <f>IFERROR(__xludf.DUMMYFUNCTION("""COMPUTED_VALUE"""),"Juan Bautista De Las Carreras")</f>
        <v>Juan Bautista De Las Carreras</v>
      </c>
      <c r="P414" s="212" t="str">
        <f>IFERROR(__xludf.DUMMYFUNCTION("""COMPUTED_VALUE"""),"Humanas")</f>
        <v>Humanas</v>
      </c>
      <c r="Q414" s="212" t="str">
        <f>IFERROR(__xludf.DUMMYFUNCTION("""COMPUTED_VALUE"""),"Mantiene")</f>
        <v>Mantiene</v>
      </c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</row>
    <row r="415">
      <c r="A415" s="210" t="str">
        <f t="shared" si="1"/>
        <v>Juan Bautista De Las Carreras</v>
      </c>
      <c r="B415" s="210">
        <f>IFERROR(__xludf.DUMMYFUNCTION("""COMPUTED_VALUE"""),5.0)</f>
        <v>5</v>
      </c>
      <c r="C415" s="211" t="str">
        <f>IFERROR(__xludf.DUMMYFUNCTION("""COMPUTED_VALUE"""),"6º B")</f>
        <v>6º B</v>
      </c>
      <c r="D415" s="212"/>
      <c r="E415" s="213"/>
      <c r="F415" s="212" t="str">
        <f>IFERROR(__xludf.DUMMYFUNCTION("""COMPUTED_VALUE"""),"Grupo S")</f>
        <v>Grupo S</v>
      </c>
      <c r="G415" s="212" t="str">
        <f>IFERROR(__xludf.DUMMYFUNCTION("""COMPUTED_VALUE"""),"si")</f>
        <v>si</v>
      </c>
      <c r="H415" s="212"/>
      <c r="I415" s="212">
        <f>IFERROR(__xludf.DUMMYFUNCTION("""COMPUTED_VALUE"""),2.0)</f>
        <v>2</v>
      </c>
      <c r="J415" s="212"/>
      <c r="K415" s="212" t="str">
        <f>IFERROR(__xludf.DUMMYFUNCTION("""COMPUTED_VALUE"""),"Filosofía")</f>
        <v>Filosofía</v>
      </c>
      <c r="L415" s="212" t="str">
        <f>IFERROR(__xludf.DUMMYFUNCTION("""COMPUTED_VALUE"""),"Juan Bautista De Las Carreras")</f>
        <v>Juan Bautista De Las Carreras</v>
      </c>
      <c r="M415" s="212"/>
      <c r="N415" s="212"/>
      <c r="O415" s="212" t="str">
        <f>IFERROR(__xludf.DUMMYFUNCTION("""COMPUTED_VALUE"""),"Juan Bautista De Las Carreras")</f>
        <v>Juan Bautista De Las Carreras</v>
      </c>
      <c r="P415" s="212" t="str">
        <f>IFERROR(__xludf.DUMMYFUNCTION("""COMPUTED_VALUE"""),"Humanas")</f>
        <v>Humanas</v>
      </c>
      <c r="Q415" s="212" t="str">
        <f>IFERROR(__xludf.DUMMYFUNCTION("""COMPUTED_VALUE"""),"Mantiene")</f>
        <v>Mantiene</v>
      </c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</row>
    <row r="416">
      <c r="A416" s="210" t="str">
        <f t="shared" si="1"/>
        <v>SE BAJAN</v>
      </c>
      <c r="B416" s="210">
        <f>IFERROR(__xludf.DUMMYFUNCTION("""COMPUTED_VALUE"""),5.0)</f>
        <v>5</v>
      </c>
      <c r="C416" s="211" t="str">
        <f>IFERROR(__xludf.DUMMYFUNCTION("""COMPUTED_VALUE"""),"6º D")</f>
        <v>6º D</v>
      </c>
      <c r="D416" s="212"/>
      <c r="E416" s="213"/>
      <c r="F416" s="212" t="str">
        <f>IFERROR(__xludf.DUMMYFUNCTION("""COMPUTED_VALUE"""),"Grupo O")</f>
        <v>Grupo O</v>
      </c>
      <c r="G416" s="212" t="str">
        <f>IFERROR(__xludf.DUMMYFUNCTION("""COMPUTED_VALUE"""),"si")</f>
        <v>si</v>
      </c>
      <c r="H416" s="212"/>
      <c r="I416" s="212"/>
      <c r="J416" s="212"/>
      <c r="K416" s="212" t="str">
        <f>IFERROR(__xludf.DUMMYFUNCTION("""COMPUTED_VALUE"""),"Filosofía")</f>
        <v>Filosofía</v>
      </c>
      <c r="L416" s="212" t="str">
        <f>IFERROR(__xludf.DUMMYFUNCTION("""COMPUTED_VALUE"""),"Juan Bautista De Las Carreras")</f>
        <v>Juan Bautista De Las Carreras</v>
      </c>
      <c r="M416" s="212"/>
      <c r="N416" s="212"/>
      <c r="O416" s="212" t="str">
        <f>IFERROR(__xludf.DUMMYFUNCTION("""COMPUTED_VALUE"""),"SE BAJAN")</f>
        <v>SE BAJAN</v>
      </c>
      <c r="P416" s="212" t="str">
        <f>IFERROR(__xludf.DUMMYFUNCTION("""COMPUTED_VALUE"""),"Humanas")</f>
        <v>Humanas</v>
      </c>
      <c r="Q416" s="212" t="str">
        <f>IFERROR(__xludf.DUMMYFUNCTION("""COMPUTED_VALUE"""),"BAJA de CURSO")</f>
        <v>BAJA de CURSO</v>
      </c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</row>
    <row r="417">
      <c r="A417" s="210" t="str">
        <f t="shared" si="1"/>
        <v>Marcos Berro García</v>
      </c>
      <c r="B417" s="210">
        <f>IFERROR(__xludf.DUMMYFUNCTION("""COMPUTED_VALUE"""),6.0)</f>
        <v>6</v>
      </c>
      <c r="C417" s="211" t="str">
        <f>IFERROR(__xludf.DUMMYFUNCTION("""COMPUTED_VALUE"""),"6º A")</f>
        <v>6º A</v>
      </c>
      <c r="D417" s="212"/>
      <c r="E417" s="213"/>
      <c r="F417" s="212" t="str">
        <f>IFERROR(__xludf.DUMMYFUNCTION("""COMPUTED_VALUE"""),"Grupo P")</f>
        <v>Grupo P</v>
      </c>
      <c r="G417" s="212"/>
      <c r="H417" s="212"/>
      <c r="I417" s="212"/>
      <c r="J417" s="212"/>
      <c r="K417" s="212" t="str">
        <f>IFERROR(__xludf.DUMMYFUNCTION("""COMPUTED_VALUE"""),"Formación Católica")</f>
        <v>Formación Católica</v>
      </c>
      <c r="L417" s="212" t="str">
        <f>IFERROR(__xludf.DUMMYFUNCTION("""COMPUTED_VALUE"""),"María Guadalupe Blasco")</f>
        <v>María Guadalupe Blasco</v>
      </c>
      <c r="M417" s="212" t="str">
        <f>IFERROR(__xludf.DUMMYFUNCTION("""COMPUTED_VALUE"""),"Helena Pérez Mendoza")</f>
        <v>Helena Pérez Mendoza</v>
      </c>
      <c r="N417" s="212"/>
      <c r="O417" s="212" t="str">
        <f>IFERROR(__xludf.DUMMYFUNCTION("""COMPUTED_VALUE"""),"Marcos Berro García")</f>
        <v>Marcos Berro García</v>
      </c>
      <c r="P417" s="212" t="str">
        <f>IFERROR(__xludf.DUMMYFUNCTION("""COMPUTED_VALUE"""),"Formación Católica")</f>
        <v>Formación Católica</v>
      </c>
      <c r="Q417" s="212" t="str">
        <f>IFERROR(__xludf.DUMMYFUNCTION("""COMPUTED_VALUE"""),"Nuevo")</f>
        <v>Nuevo</v>
      </c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</row>
    <row r="418">
      <c r="A418" s="210" t="str">
        <f t="shared" si="1"/>
        <v>Marcos Berro García</v>
      </c>
      <c r="B418" s="210">
        <f>IFERROR(__xludf.DUMMYFUNCTION("""COMPUTED_VALUE"""),6.0)</f>
        <v>6</v>
      </c>
      <c r="C418" s="211" t="str">
        <f>IFERROR(__xludf.DUMMYFUNCTION("""COMPUTED_VALUE"""),"6º B")</f>
        <v>6º B</v>
      </c>
      <c r="D418" s="212"/>
      <c r="E418" s="213"/>
      <c r="F418" s="212" t="str">
        <f>IFERROR(__xludf.DUMMYFUNCTION("""COMPUTED_VALUE"""),"Grupo O")</f>
        <v>Grupo O</v>
      </c>
      <c r="G418" s="212"/>
      <c r="H418" s="212"/>
      <c r="I418" s="212">
        <f>IFERROR(__xludf.DUMMYFUNCTION("""COMPUTED_VALUE"""),2.0)</f>
        <v>2</v>
      </c>
      <c r="J418" s="212"/>
      <c r="K418" s="212" t="str">
        <f>IFERROR(__xludf.DUMMYFUNCTION("""COMPUTED_VALUE"""),"Formación Católica")</f>
        <v>Formación Católica</v>
      </c>
      <c r="L418" s="212" t="str">
        <f>IFERROR(__xludf.DUMMYFUNCTION("""COMPUTED_VALUE"""),"Marcos Berro García")</f>
        <v>Marcos Berro García</v>
      </c>
      <c r="M418" s="212"/>
      <c r="N418" s="212"/>
      <c r="O418" s="212" t="str">
        <f>IFERROR(__xludf.DUMMYFUNCTION("""COMPUTED_VALUE"""),"Marcos Berro García")</f>
        <v>Marcos Berro García</v>
      </c>
      <c r="P418" s="212" t="str">
        <f>IFERROR(__xludf.DUMMYFUNCTION("""COMPUTED_VALUE"""),"Formación Católica")</f>
        <v>Formación Católica</v>
      </c>
      <c r="Q418" s="212" t="str">
        <f>IFERROR(__xludf.DUMMYFUNCTION("""COMPUTED_VALUE"""),"Mantiene")</f>
        <v>Mantiene</v>
      </c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</row>
    <row r="419">
      <c r="A419" s="210" t="str">
        <f t="shared" si="1"/>
        <v>SE BAJAN</v>
      </c>
      <c r="B419" s="210">
        <f>IFERROR(__xludf.DUMMYFUNCTION("""COMPUTED_VALUE"""),6.0)</f>
        <v>6</v>
      </c>
      <c r="C419" s="211" t="str">
        <f>IFERROR(__xludf.DUMMYFUNCTION("""COMPUTED_VALUE"""),"6º D")</f>
        <v>6º D</v>
      </c>
      <c r="D419" s="212"/>
      <c r="E419" s="213"/>
      <c r="F419" s="212" t="str">
        <f>IFERROR(__xludf.DUMMYFUNCTION("""COMPUTED_VALUE"""),"Grupo S")</f>
        <v>Grupo S</v>
      </c>
      <c r="G419" s="212"/>
      <c r="H419" s="212"/>
      <c r="I419" s="212"/>
      <c r="J419" s="212"/>
      <c r="K419" s="212" t="str">
        <f>IFERROR(__xludf.DUMMYFUNCTION("""COMPUTED_VALUE"""),"Formación Católica")</f>
        <v>Formación Católica</v>
      </c>
      <c r="L419" s="212" t="str">
        <f>IFERROR(__xludf.DUMMYFUNCTION("""COMPUTED_VALUE"""),"Marcos Berro García")</f>
        <v>Marcos Berro García</v>
      </c>
      <c r="M419" s="212"/>
      <c r="N419" s="212"/>
      <c r="O419" s="212" t="str">
        <f>IFERROR(__xludf.DUMMYFUNCTION("""COMPUTED_VALUE"""),"SE BAJAN")</f>
        <v>SE BAJAN</v>
      </c>
      <c r="P419" s="212" t="str">
        <f>IFERROR(__xludf.DUMMYFUNCTION("""COMPUTED_VALUE"""),"Formación Católica")</f>
        <v>Formación Católica</v>
      </c>
      <c r="Q419" s="212" t="str">
        <f>IFERROR(__xludf.DUMMYFUNCTION("""COMPUTED_VALUE"""),"BAJA de CURSO")</f>
        <v>BAJA de CURSO</v>
      </c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</row>
    <row r="420">
      <c r="A420" s="210" t="str">
        <f t="shared" si="1"/>
        <v>Cecilia Moirano</v>
      </c>
      <c r="B420" s="210">
        <f>IFERROR(__xludf.DUMMYFUNCTION("""COMPUTED_VALUE"""),7.0)</f>
        <v>7</v>
      </c>
      <c r="C420" s="211" t="str">
        <f>IFERROR(__xludf.DUMMYFUNCTION("""COMPUTED_VALUE"""),"6º A")</f>
        <v>6º A</v>
      </c>
      <c r="D420" s="212"/>
      <c r="E420" s="213"/>
      <c r="F420" s="212" t="str">
        <f>IFERROR(__xludf.DUMMYFUNCTION("""COMPUTED_VALUE"""),"Grupo P")</f>
        <v>Grupo P</v>
      </c>
      <c r="G420" s="212" t="str">
        <f>IFERROR(__xludf.DUMMYFUNCTION("""COMPUTED_VALUE"""),"si")</f>
        <v>si</v>
      </c>
      <c r="H420" s="212"/>
      <c r="I420" s="212">
        <f>IFERROR(__xludf.DUMMYFUNCTION("""COMPUTED_VALUE"""),2.0)</f>
        <v>2</v>
      </c>
      <c r="J420" s="212"/>
      <c r="K420" s="212" t="str">
        <f>IFERROR(__xludf.DUMMYFUNCTION("""COMPUTED_VALUE"""),"Global Perspectives")</f>
        <v>Global Perspectives</v>
      </c>
      <c r="L420" s="212" t="str">
        <f>IFERROR(__xludf.DUMMYFUNCTION("""COMPUTED_VALUE"""),"Cecilia Moirano")</f>
        <v>Cecilia Moirano</v>
      </c>
      <c r="M420" s="212"/>
      <c r="N420" s="212"/>
      <c r="O420" s="212" t="str">
        <f>IFERROR(__xludf.DUMMYFUNCTION("""COMPUTED_VALUE"""),"Cecilia Moirano")</f>
        <v>Cecilia Moirano</v>
      </c>
      <c r="P420" s="212" t="str">
        <f>IFERROR(__xludf.DUMMYFUNCTION("""COMPUTED_VALUE"""),"Humanas")</f>
        <v>Humanas</v>
      </c>
      <c r="Q420" s="212" t="str">
        <f>IFERROR(__xludf.DUMMYFUNCTION("""COMPUTED_VALUE"""),"Mantiene")</f>
        <v>Mantiene</v>
      </c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</row>
    <row r="421">
      <c r="A421" s="210" t="str">
        <f t="shared" si="1"/>
        <v>Cecilia Moirano</v>
      </c>
      <c r="B421" s="210">
        <f>IFERROR(__xludf.DUMMYFUNCTION("""COMPUTED_VALUE"""),7.0)</f>
        <v>7</v>
      </c>
      <c r="C421" s="211" t="str">
        <f>IFERROR(__xludf.DUMMYFUNCTION("""COMPUTED_VALUE"""),"6º B")</f>
        <v>6º B</v>
      </c>
      <c r="D421" s="212"/>
      <c r="E421" s="213"/>
      <c r="F421" s="212" t="str">
        <f>IFERROR(__xludf.DUMMYFUNCTION("""COMPUTED_VALUE"""),"Grupo S")</f>
        <v>Grupo S</v>
      </c>
      <c r="G421" s="212" t="str">
        <f>IFERROR(__xludf.DUMMYFUNCTION("""COMPUTED_VALUE"""),"si")</f>
        <v>si</v>
      </c>
      <c r="H421" s="212"/>
      <c r="I421" s="212">
        <f>IFERROR(__xludf.DUMMYFUNCTION("""COMPUTED_VALUE"""),2.0)</f>
        <v>2</v>
      </c>
      <c r="J421" s="212"/>
      <c r="K421" s="212" t="str">
        <f>IFERROR(__xludf.DUMMYFUNCTION("""COMPUTED_VALUE"""),"Global Perspectives")</f>
        <v>Global Perspectives</v>
      </c>
      <c r="L421" s="212" t="str">
        <f>IFERROR(__xludf.DUMMYFUNCTION("""COMPUTED_VALUE"""),"Cecilia Moirano")</f>
        <v>Cecilia Moirano</v>
      </c>
      <c r="M421" s="212"/>
      <c r="N421" s="212"/>
      <c r="O421" s="212" t="str">
        <f>IFERROR(__xludf.DUMMYFUNCTION("""COMPUTED_VALUE"""),"Cecilia Moirano")</f>
        <v>Cecilia Moirano</v>
      </c>
      <c r="P421" s="212" t="str">
        <f>IFERROR(__xludf.DUMMYFUNCTION("""COMPUTED_VALUE"""),"Humanas")</f>
        <v>Humanas</v>
      </c>
      <c r="Q421" s="212" t="str">
        <f>IFERROR(__xludf.DUMMYFUNCTION("""COMPUTED_VALUE"""),"Mantiene")</f>
        <v>Mantiene</v>
      </c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</row>
    <row r="422">
      <c r="A422" s="210" t="str">
        <f t="shared" si="1"/>
        <v>SE BAJAN</v>
      </c>
      <c r="B422" s="210">
        <f>IFERROR(__xludf.DUMMYFUNCTION("""COMPUTED_VALUE"""),7.0)</f>
        <v>7</v>
      </c>
      <c r="C422" s="211" t="str">
        <f>IFERROR(__xludf.DUMMYFUNCTION("""COMPUTED_VALUE"""),"6º D")</f>
        <v>6º D</v>
      </c>
      <c r="D422" s="212"/>
      <c r="E422" s="213"/>
      <c r="F422" s="212" t="str">
        <f>IFERROR(__xludf.DUMMYFUNCTION("""COMPUTED_VALUE"""),"Grupo O")</f>
        <v>Grupo O</v>
      </c>
      <c r="G422" s="212" t="str">
        <f>IFERROR(__xludf.DUMMYFUNCTION("""COMPUTED_VALUE"""),"si")</f>
        <v>si</v>
      </c>
      <c r="H422" s="212"/>
      <c r="I422" s="212"/>
      <c r="J422" s="212"/>
      <c r="K422" s="212" t="str">
        <f>IFERROR(__xludf.DUMMYFUNCTION("""COMPUTED_VALUE"""),"Global Perspectives")</f>
        <v>Global Perspectives</v>
      </c>
      <c r="L422" s="212" t="str">
        <f>IFERROR(__xludf.DUMMYFUNCTION("""COMPUTED_VALUE"""),"Cecilia Moirano")</f>
        <v>Cecilia Moirano</v>
      </c>
      <c r="M422" s="212"/>
      <c r="N422" s="212"/>
      <c r="O422" s="212" t="str">
        <f>IFERROR(__xludf.DUMMYFUNCTION("""COMPUTED_VALUE"""),"SE BAJAN")</f>
        <v>SE BAJAN</v>
      </c>
      <c r="P422" s="212" t="str">
        <f>IFERROR(__xludf.DUMMYFUNCTION("""COMPUTED_VALUE"""),"Humanas")</f>
        <v>Humanas</v>
      </c>
      <c r="Q422" s="212" t="str">
        <f>IFERROR(__xludf.DUMMYFUNCTION("""COMPUTED_VALUE"""),"BAJA de CURSO")</f>
        <v>BAJA de CURSO</v>
      </c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</row>
    <row r="423">
      <c r="A423" s="210" t="str">
        <f t="shared" si="1"/>
        <v>María Candelaria Roca González Del Solar</v>
      </c>
      <c r="B423" s="210">
        <f>IFERROR(__xludf.DUMMYFUNCTION("""COMPUTED_VALUE"""),8.0)</f>
        <v>8</v>
      </c>
      <c r="C423" s="211" t="str">
        <f>IFERROR(__xludf.DUMMYFUNCTION("""COMPUTED_VALUE"""),"6º A")</f>
        <v>6º A</v>
      </c>
      <c r="D423" s="212"/>
      <c r="E423" s="213"/>
      <c r="F423" s="212" t="str">
        <f>IFERROR(__xludf.DUMMYFUNCTION("""COMPUTED_VALUE"""),"Grupo P")</f>
        <v>Grupo P</v>
      </c>
      <c r="G423" s="212" t="str">
        <f>IFERROR(__xludf.DUMMYFUNCTION("""COMPUTED_VALUE"""),"si")</f>
        <v>si</v>
      </c>
      <c r="H423" s="212"/>
      <c r="I423" s="212">
        <f>IFERROR(__xludf.DUMMYFUNCTION("""COMPUTED_VALUE"""),2.0)</f>
        <v>2</v>
      </c>
      <c r="J423" s="212"/>
      <c r="K423" s="212" t="str">
        <f>IFERROR(__xludf.DUMMYFUNCTION("""COMPUTED_VALUE"""),"International Affairs")</f>
        <v>International Affairs</v>
      </c>
      <c r="L423" s="212" t="str">
        <f>IFERROR(__xludf.DUMMYFUNCTION("""COMPUTED_VALUE"""),"María Candelaria Roca González Del Solar")</f>
        <v>María Candelaria Roca González Del Solar</v>
      </c>
      <c r="M423" s="212"/>
      <c r="N423" s="212"/>
      <c r="O423" s="212" t="str">
        <f>IFERROR(__xludf.DUMMYFUNCTION("""COMPUTED_VALUE"""),"María Candelaria Roca González Del Solar")</f>
        <v>María Candelaria Roca González Del Solar</v>
      </c>
      <c r="P423" s="212" t="str">
        <f>IFERROR(__xludf.DUMMYFUNCTION("""COMPUTED_VALUE"""),"Humanas")</f>
        <v>Humanas</v>
      </c>
      <c r="Q423" s="212" t="str">
        <f>IFERROR(__xludf.DUMMYFUNCTION("""COMPUTED_VALUE"""),"Mantiene")</f>
        <v>Mantiene</v>
      </c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</row>
    <row r="424">
      <c r="A424" s="210" t="str">
        <f t="shared" si="1"/>
        <v>María Candelaria Roca González Del Solar</v>
      </c>
      <c r="B424" s="210">
        <f>IFERROR(__xludf.DUMMYFUNCTION("""COMPUTED_VALUE"""),8.0)</f>
        <v>8</v>
      </c>
      <c r="C424" s="211" t="str">
        <f>IFERROR(__xludf.DUMMYFUNCTION("""COMPUTED_VALUE"""),"6º B")</f>
        <v>6º B</v>
      </c>
      <c r="D424" s="212"/>
      <c r="E424" s="213"/>
      <c r="F424" s="212" t="str">
        <f>IFERROR(__xludf.DUMMYFUNCTION("""COMPUTED_VALUE"""),"Grupo S")</f>
        <v>Grupo S</v>
      </c>
      <c r="G424" s="212" t="str">
        <f>IFERROR(__xludf.DUMMYFUNCTION("""COMPUTED_VALUE"""),"si")</f>
        <v>si</v>
      </c>
      <c r="H424" s="212"/>
      <c r="I424" s="212">
        <f>IFERROR(__xludf.DUMMYFUNCTION("""COMPUTED_VALUE"""),2.0)</f>
        <v>2</v>
      </c>
      <c r="J424" s="212"/>
      <c r="K424" s="212" t="str">
        <f>IFERROR(__xludf.DUMMYFUNCTION("""COMPUTED_VALUE"""),"International Affairs")</f>
        <v>International Affairs</v>
      </c>
      <c r="L424" s="212" t="str">
        <f>IFERROR(__xludf.DUMMYFUNCTION("""COMPUTED_VALUE"""),"María Candelaria Roca González Del Solar")</f>
        <v>María Candelaria Roca González Del Solar</v>
      </c>
      <c r="M424" s="212"/>
      <c r="N424" s="212"/>
      <c r="O424" s="212" t="str">
        <f>IFERROR(__xludf.DUMMYFUNCTION("""COMPUTED_VALUE"""),"María Candelaria Roca González Del Solar")</f>
        <v>María Candelaria Roca González Del Solar</v>
      </c>
      <c r="P424" s="212" t="str">
        <f>IFERROR(__xludf.DUMMYFUNCTION("""COMPUTED_VALUE"""),"Humanas")</f>
        <v>Humanas</v>
      </c>
      <c r="Q424" s="212" t="str">
        <f>IFERROR(__xludf.DUMMYFUNCTION("""COMPUTED_VALUE"""),"Mantiene")</f>
        <v>Mantiene</v>
      </c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</row>
    <row r="425">
      <c r="A425" s="210" t="str">
        <f t="shared" si="1"/>
        <v>SE BAJAN</v>
      </c>
      <c r="B425" s="210">
        <f>IFERROR(__xludf.DUMMYFUNCTION("""COMPUTED_VALUE"""),8.0)</f>
        <v>8</v>
      </c>
      <c r="C425" s="211" t="str">
        <f>IFERROR(__xludf.DUMMYFUNCTION("""COMPUTED_VALUE"""),"6º D")</f>
        <v>6º D</v>
      </c>
      <c r="D425" s="212"/>
      <c r="E425" s="213"/>
      <c r="F425" s="212" t="str">
        <f>IFERROR(__xludf.DUMMYFUNCTION("""COMPUTED_VALUE"""),"Grupo O")</f>
        <v>Grupo O</v>
      </c>
      <c r="G425" s="212" t="str">
        <f>IFERROR(__xludf.DUMMYFUNCTION("""COMPUTED_VALUE"""),"si")</f>
        <v>si</v>
      </c>
      <c r="H425" s="212"/>
      <c r="I425" s="212"/>
      <c r="J425" s="212"/>
      <c r="K425" s="212" t="str">
        <f>IFERROR(__xludf.DUMMYFUNCTION("""COMPUTED_VALUE"""),"International Affairs")</f>
        <v>International Affairs</v>
      </c>
      <c r="L425" s="212" t="str">
        <f>IFERROR(__xludf.DUMMYFUNCTION("""COMPUTED_VALUE"""),"María Candelaria Roca González Del Solar")</f>
        <v>María Candelaria Roca González Del Solar</v>
      </c>
      <c r="M425" s="212"/>
      <c r="N425" s="212"/>
      <c r="O425" s="212" t="str">
        <f>IFERROR(__xludf.DUMMYFUNCTION("""COMPUTED_VALUE"""),"SE BAJAN")</f>
        <v>SE BAJAN</v>
      </c>
      <c r="P425" s="212" t="str">
        <f>IFERROR(__xludf.DUMMYFUNCTION("""COMPUTED_VALUE"""),"Humanas")</f>
        <v>Humanas</v>
      </c>
      <c r="Q425" s="212" t="str">
        <f>IFERROR(__xludf.DUMMYFUNCTION("""COMPUTED_VALUE"""),"BAJA de CURSO")</f>
        <v>BAJA de CURSO</v>
      </c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</row>
    <row r="426">
      <c r="A426" s="210" t="str">
        <f t="shared" si="1"/>
        <v>Helena Pérez Mendoza</v>
      </c>
      <c r="B426" s="210">
        <f>IFERROR(__xludf.DUMMYFUNCTION("""COMPUTED_VALUE"""),9.0)</f>
        <v>9</v>
      </c>
      <c r="C426" s="211" t="str">
        <f>IFERROR(__xludf.DUMMYFUNCTION("""COMPUTED_VALUE"""),"6º A")</f>
        <v>6º A</v>
      </c>
      <c r="D426" s="212"/>
      <c r="E426" s="213"/>
      <c r="F426" s="212" t="str">
        <f>IFERROR(__xludf.DUMMYFUNCTION("""COMPUTED_VALUE"""),"Grupo P")</f>
        <v>Grupo P</v>
      </c>
      <c r="G426" s="212"/>
      <c r="H426" s="212"/>
      <c r="I426" s="212">
        <f>IFERROR(__xludf.DUMMYFUNCTION("""COMPUTED_VALUE"""),1.0)</f>
        <v>1</v>
      </c>
      <c r="J426" s="212"/>
      <c r="K426" s="212" t="str">
        <f>IFERROR(__xludf.DUMMYFUNCTION("""COMPUTED_VALUE"""),"Liderazgo al Servicio")</f>
        <v>Liderazgo al Servicio</v>
      </c>
      <c r="L426" s="212" t="str">
        <f>IFERROR(__xludf.DUMMYFUNCTION("""COMPUTED_VALUE"""),"María Guadalupe Blasco")</f>
        <v>María Guadalupe Blasco</v>
      </c>
      <c r="M426" s="212" t="str">
        <f>IFERROR(__xludf.DUMMYFUNCTION("""COMPUTED_VALUE"""),"Helena Pérez Mendoza")</f>
        <v>Helena Pérez Mendoza</v>
      </c>
      <c r="N426" s="212"/>
      <c r="O426" s="212" t="str">
        <f>IFERROR(__xludf.DUMMYFUNCTION("""COMPUTED_VALUE"""),"Helena Pérez Mendoza")</f>
        <v>Helena Pérez Mendoza</v>
      </c>
      <c r="P426" s="212" t="str">
        <f>IFERROR(__xludf.DUMMYFUNCTION("""COMPUTED_VALUE"""),"Formación Católica")</f>
        <v>Formación Católica</v>
      </c>
      <c r="Q426" s="212" t="str">
        <f>IFERROR(__xludf.DUMMYFUNCTION("""COMPUTED_VALUE"""),"Nuevo")</f>
        <v>Nuevo</v>
      </c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</row>
    <row r="427">
      <c r="A427" s="210" t="str">
        <f t="shared" si="1"/>
        <v>María Guadalupe Blasco</v>
      </c>
      <c r="B427" s="210">
        <f>IFERROR(__xludf.DUMMYFUNCTION("""COMPUTED_VALUE"""),9.0)</f>
        <v>9</v>
      </c>
      <c r="C427" s="211" t="str">
        <f>IFERROR(__xludf.DUMMYFUNCTION("""COMPUTED_VALUE"""),"6º B")</f>
        <v>6º B</v>
      </c>
      <c r="D427" s="212"/>
      <c r="E427" s="213"/>
      <c r="F427" s="212" t="str">
        <f>IFERROR(__xludf.DUMMYFUNCTION("""COMPUTED_VALUE"""),"Grupo S")</f>
        <v>Grupo S</v>
      </c>
      <c r="G427" s="212"/>
      <c r="H427" s="212"/>
      <c r="I427" s="212">
        <f>IFERROR(__xludf.DUMMYFUNCTION("""COMPUTED_VALUE"""),1.0)</f>
        <v>1</v>
      </c>
      <c r="J427" s="212"/>
      <c r="K427" s="212" t="str">
        <f>IFERROR(__xludf.DUMMYFUNCTION("""COMPUTED_VALUE"""),"Liderazgo al Servicio")</f>
        <v>Liderazgo al Servicio</v>
      </c>
      <c r="L427" s="212" t="str">
        <f>IFERROR(__xludf.DUMMYFUNCTION("""COMPUTED_VALUE"""),"Agustín Cometto")</f>
        <v>Agustín Cometto</v>
      </c>
      <c r="M427" s="212"/>
      <c r="N427" s="212"/>
      <c r="O427" s="212" t="str">
        <f>IFERROR(__xludf.DUMMYFUNCTION("""COMPUTED_VALUE"""),"María Guadalupe Blasco")</f>
        <v>María Guadalupe Blasco</v>
      </c>
      <c r="P427" s="212" t="str">
        <f>IFERROR(__xludf.DUMMYFUNCTION("""COMPUTED_VALUE"""),"Formación Católica")</f>
        <v>Formación Católica</v>
      </c>
      <c r="Q427" s="212" t="str">
        <f>IFERROR(__xludf.DUMMYFUNCTION("""COMPUTED_VALUE"""),"Nuevo x baja de profesor")</f>
        <v>Nuevo x baja de profesor</v>
      </c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</row>
    <row r="428">
      <c r="A428" s="210" t="str">
        <f t="shared" si="1"/>
        <v>SE BAJAN</v>
      </c>
      <c r="B428" s="210">
        <f>IFERROR(__xludf.DUMMYFUNCTION("""COMPUTED_VALUE"""),9.0)</f>
        <v>9</v>
      </c>
      <c r="C428" s="211" t="str">
        <f>IFERROR(__xludf.DUMMYFUNCTION("""COMPUTED_VALUE"""),"6º D")</f>
        <v>6º D</v>
      </c>
      <c r="D428" s="212"/>
      <c r="E428" s="213"/>
      <c r="F428" s="212" t="str">
        <f>IFERROR(__xludf.DUMMYFUNCTION("""COMPUTED_VALUE"""),"Grupo O")</f>
        <v>Grupo O</v>
      </c>
      <c r="G428" s="212"/>
      <c r="H428" s="212"/>
      <c r="I428" s="212">
        <f>IFERROR(__xludf.DUMMYFUNCTION("""COMPUTED_VALUE"""),1.0)</f>
        <v>1</v>
      </c>
      <c r="J428" s="212"/>
      <c r="K428" s="212" t="str">
        <f>IFERROR(__xludf.DUMMYFUNCTION("""COMPUTED_VALUE"""),"Liderazgo al Servicio")</f>
        <v>Liderazgo al Servicio</v>
      </c>
      <c r="L428" s="212" t="str">
        <f>IFERROR(__xludf.DUMMYFUNCTION("""COMPUTED_VALUE"""),"Agustín Cometto")</f>
        <v>Agustín Cometto</v>
      </c>
      <c r="M428" s="212"/>
      <c r="N428" s="212"/>
      <c r="O428" s="212" t="str">
        <f>IFERROR(__xludf.DUMMYFUNCTION("""COMPUTED_VALUE"""),"SE BAJAN")</f>
        <v>SE BAJAN</v>
      </c>
      <c r="P428" s="212" t="str">
        <f>IFERROR(__xludf.DUMMYFUNCTION("""COMPUTED_VALUE"""),"Formación Católica")</f>
        <v>Formación Católica</v>
      </c>
      <c r="Q428" s="212" t="str">
        <f>IFERROR(__xludf.DUMMYFUNCTION("""COMPUTED_VALUE"""),"BAJA de CURSO")</f>
        <v>BAJA de CURSO</v>
      </c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</row>
    <row r="429">
      <c r="A429" s="210" t="str">
        <f t="shared" si="1"/>
        <v>Roberta Ludueña</v>
      </c>
      <c r="B429" s="210">
        <f>IFERROR(__xludf.DUMMYFUNCTION("""COMPUTED_VALUE"""),10.0)</f>
        <v>10</v>
      </c>
      <c r="C429" s="211" t="str">
        <f>IFERROR(__xludf.DUMMYFUNCTION("""COMPUTED_VALUE"""),"6º A")</f>
        <v>6º A</v>
      </c>
      <c r="D429" s="212"/>
      <c r="E429" s="213"/>
      <c r="F429" s="212" t="str">
        <f>IFERROR(__xludf.DUMMYFUNCTION("""COMPUTED_VALUE"""),"Grupo P")</f>
        <v>Grupo P</v>
      </c>
      <c r="G429" s="212" t="str">
        <f>IFERROR(__xludf.DUMMYFUNCTION("""COMPUTED_VALUE"""),"si")</f>
        <v>si</v>
      </c>
      <c r="H429" s="212"/>
      <c r="I429" s="212">
        <f>IFERROR(__xludf.DUMMYFUNCTION("""COMPUTED_VALUE"""),3.0)</f>
        <v>3</v>
      </c>
      <c r="J429" s="212"/>
      <c r="K429" s="212" t="str">
        <f>IFERROR(__xludf.DUMMYFUNCTION("""COMPUTED_VALUE"""),"Literatura")</f>
        <v>Literatura</v>
      </c>
      <c r="L429" s="212" t="str">
        <f>IFERROR(__xludf.DUMMYFUNCTION("""COMPUTED_VALUE"""),"Roberta Ludueña")</f>
        <v>Roberta Ludueña</v>
      </c>
      <c r="M429" s="212"/>
      <c r="N429" s="212"/>
      <c r="O429" s="212" t="str">
        <f>IFERROR(__xludf.DUMMYFUNCTION("""COMPUTED_VALUE"""),"Roberta Ludueña")</f>
        <v>Roberta Ludueña</v>
      </c>
      <c r="P429" s="212" t="str">
        <f>IFERROR(__xludf.DUMMYFUNCTION("""COMPUTED_VALUE"""),"Expresion")</f>
        <v>Expresion</v>
      </c>
      <c r="Q429" s="212" t="str">
        <f>IFERROR(__xludf.DUMMYFUNCTION("""COMPUTED_VALUE"""),"Mantiene")</f>
        <v>Mantiene</v>
      </c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</row>
    <row r="430">
      <c r="A430" s="210" t="str">
        <f t="shared" si="1"/>
        <v>Mercedes Vitullo</v>
      </c>
      <c r="B430" s="210">
        <f>IFERROR(__xludf.DUMMYFUNCTION("""COMPUTED_VALUE"""),10.0)</f>
        <v>10</v>
      </c>
      <c r="C430" s="211" t="str">
        <f>IFERROR(__xludf.DUMMYFUNCTION("""COMPUTED_VALUE"""),"6º B")</f>
        <v>6º B</v>
      </c>
      <c r="D430" s="212"/>
      <c r="E430" s="213"/>
      <c r="F430" s="212" t="str">
        <f>IFERROR(__xludf.DUMMYFUNCTION("""COMPUTED_VALUE"""),"Grupo S")</f>
        <v>Grupo S</v>
      </c>
      <c r="G430" s="212" t="str">
        <f>IFERROR(__xludf.DUMMYFUNCTION("""COMPUTED_VALUE"""),"si")</f>
        <v>si</v>
      </c>
      <c r="H430" s="212"/>
      <c r="I430" s="212">
        <f>IFERROR(__xludf.DUMMYFUNCTION("""COMPUTED_VALUE"""),3.0)</f>
        <v>3</v>
      </c>
      <c r="J430" s="212"/>
      <c r="K430" s="212" t="str">
        <f>IFERROR(__xludf.DUMMYFUNCTION("""COMPUTED_VALUE"""),"Literatura")</f>
        <v>Literatura</v>
      </c>
      <c r="L430" s="212" t="str">
        <f>IFERROR(__xludf.DUMMYFUNCTION("""COMPUTED_VALUE"""),"Roberta Ludueña")</f>
        <v>Roberta Ludueña</v>
      </c>
      <c r="M430" s="212"/>
      <c r="N430" s="212"/>
      <c r="O430" s="212" t="str">
        <f>IFERROR(__xludf.DUMMYFUNCTION("""COMPUTED_VALUE"""),"Mercedes Vitullo")</f>
        <v>Mercedes Vitullo</v>
      </c>
      <c r="P430" s="212" t="str">
        <f>IFERROR(__xludf.DUMMYFUNCTION("""COMPUTED_VALUE"""),"Expresion")</f>
        <v>Expresion</v>
      </c>
      <c r="Q430" s="212" t="str">
        <f>IFERROR(__xludf.DUMMYFUNCTION("""COMPUTED_VALUE"""),"Nuevo")</f>
        <v>Nuevo</v>
      </c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</row>
    <row r="431">
      <c r="A431" s="210" t="str">
        <f t="shared" si="1"/>
        <v>SE BAJAN</v>
      </c>
      <c r="B431" s="210">
        <f>IFERROR(__xludf.DUMMYFUNCTION("""COMPUTED_VALUE"""),10.0)</f>
        <v>10</v>
      </c>
      <c r="C431" s="211" t="str">
        <f>IFERROR(__xludf.DUMMYFUNCTION("""COMPUTED_VALUE"""),"6º D")</f>
        <v>6º D</v>
      </c>
      <c r="D431" s="212"/>
      <c r="E431" s="213"/>
      <c r="F431" s="212" t="str">
        <f>IFERROR(__xludf.DUMMYFUNCTION("""COMPUTED_VALUE"""),"Grupo O")</f>
        <v>Grupo O</v>
      </c>
      <c r="G431" s="212" t="str">
        <f>IFERROR(__xludf.DUMMYFUNCTION("""COMPUTED_VALUE"""),"si")</f>
        <v>si</v>
      </c>
      <c r="H431" s="212"/>
      <c r="I431" s="212">
        <f>IFERROR(__xludf.DUMMYFUNCTION("""COMPUTED_VALUE"""),3.0)</f>
        <v>3</v>
      </c>
      <c r="J431" s="212"/>
      <c r="K431" s="212" t="str">
        <f>IFERROR(__xludf.DUMMYFUNCTION("""COMPUTED_VALUE"""),"Literatura")</f>
        <v>Literatura</v>
      </c>
      <c r="L431" s="212" t="str">
        <f>IFERROR(__xludf.DUMMYFUNCTION("""COMPUTED_VALUE"""),"Roberta Ludueña")</f>
        <v>Roberta Ludueña</v>
      </c>
      <c r="M431" s="212"/>
      <c r="N431" s="212"/>
      <c r="O431" s="212" t="str">
        <f>IFERROR(__xludf.DUMMYFUNCTION("""COMPUTED_VALUE"""),"SE BAJAN")</f>
        <v>SE BAJAN</v>
      </c>
      <c r="P431" s="212" t="str">
        <f>IFERROR(__xludf.DUMMYFUNCTION("""COMPUTED_VALUE"""),"Expresion")</f>
        <v>Expresion</v>
      </c>
      <c r="Q431" s="212" t="str">
        <f>IFERROR(__xludf.DUMMYFUNCTION("""COMPUTED_VALUE"""),"BAJA de CURSO")</f>
        <v>BAJA de CURSO</v>
      </c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</row>
    <row r="432">
      <c r="A432" s="210" t="str">
        <f t="shared" si="1"/>
        <v>Mercedes Vitullo</v>
      </c>
      <c r="B432" s="210">
        <f>IFERROR(__xludf.DUMMYFUNCTION("""COMPUTED_VALUE"""),11.0)</f>
        <v>11</v>
      </c>
      <c r="C432" s="211" t="str">
        <f>IFERROR(__xludf.DUMMYFUNCTION("""COMPUTED_VALUE"""),"6º A")</f>
        <v>6º A</v>
      </c>
      <c r="D432" s="212"/>
      <c r="E432" s="213"/>
      <c r="F432" s="212" t="str">
        <f>IFERROR(__xludf.DUMMYFUNCTION("""COMPUTED_VALUE"""),"Grupo P")</f>
        <v>Grupo P</v>
      </c>
      <c r="G432" s="212" t="str">
        <f>IFERROR(__xludf.DUMMYFUNCTION("""COMPUTED_VALUE"""),"si")</f>
        <v>si</v>
      </c>
      <c r="H432" s="212"/>
      <c r="I432" s="212">
        <f>IFERROR(__xludf.DUMMYFUNCTION("""COMPUTED_VALUE"""),4.0)</f>
        <v>4</v>
      </c>
      <c r="J432" s="212"/>
      <c r="K432" s="212" t="str">
        <f>IFERROR(__xludf.DUMMYFUNCTION("""COMPUTED_VALUE"""),"Literature")</f>
        <v>Literature</v>
      </c>
      <c r="L432" s="212" t="str">
        <f>IFERROR(__xludf.DUMMYFUNCTION("""COMPUTED_VALUE"""),"María Martha D'Adamo")</f>
        <v>María Martha D'Adamo</v>
      </c>
      <c r="M432" s="212"/>
      <c r="N432" s="212"/>
      <c r="O432" s="212" t="str">
        <f>IFERROR(__xludf.DUMMYFUNCTION("""COMPUTED_VALUE"""),"Mercedes Vitullo")</f>
        <v>Mercedes Vitullo</v>
      </c>
      <c r="P432" s="212" t="str">
        <f>IFERROR(__xludf.DUMMYFUNCTION("""COMPUTED_VALUE"""),"Expresion")</f>
        <v>Expresion</v>
      </c>
      <c r="Q432" s="212" t="str">
        <f>IFERROR(__xludf.DUMMYFUNCTION("""COMPUTED_VALUE"""),"Nuevo x baja de profesor")</f>
        <v>Nuevo x baja de profesor</v>
      </c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</row>
    <row r="433">
      <c r="A433" s="210" t="str">
        <f t="shared" si="1"/>
        <v>Mercedes Vitullo</v>
      </c>
      <c r="B433" s="210">
        <f>IFERROR(__xludf.DUMMYFUNCTION("""COMPUTED_VALUE"""),11.0)</f>
        <v>11</v>
      </c>
      <c r="C433" s="211" t="str">
        <f>IFERROR(__xludf.DUMMYFUNCTION("""COMPUTED_VALUE"""),"6º B")</f>
        <v>6º B</v>
      </c>
      <c r="D433" s="212"/>
      <c r="E433" s="213"/>
      <c r="F433" s="212" t="str">
        <f>IFERROR(__xludf.DUMMYFUNCTION("""COMPUTED_VALUE"""),"Grupo S")</f>
        <v>Grupo S</v>
      </c>
      <c r="G433" s="212" t="str">
        <f>IFERROR(__xludf.DUMMYFUNCTION("""COMPUTED_VALUE"""),"si")</f>
        <v>si</v>
      </c>
      <c r="H433" s="212"/>
      <c r="I433" s="212">
        <f>IFERROR(__xludf.DUMMYFUNCTION("""COMPUTED_VALUE"""),4.0)</f>
        <v>4</v>
      </c>
      <c r="J433" s="212"/>
      <c r="K433" s="212" t="str">
        <f>IFERROR(__xludf.DUMMYFUNCTION("""COMPUTED_VALUE"""),"Literature")</f>
        <v>Literature</v>
      </c>
      <c r="L433" s="212" t="str">
        <f>IFERROR(__xludf.DUMMYFUNCTION("""COMPUTED_VALUE"""),"Astrid Vanina Santa Maria")</f>
        <v>Astrid Vanina Santa Maria</v>
      </c>
      <c r="M433" s="212"/>
      <c r="N433" s="212"/>
      <c r="O433" s="212" t="str">
        <f>IFERROR(__xludf.DUMMYFUNCTION("""COMPUTED_VALUE"""),"Mercedes Vitullo")</f>
        <v>Mercedes Vitullo</v>
      </c>
      <c r="P433" s="212" t="str">
        <f>IFERROR(__xludf.DUMMYFUNCTION("""COMPUTED_VALUE"""),"Expresion")</f>
        <v>Expresion</v>
      </c>
      <c r="Q433" s="212" t="str">
        <f>IFERROR(__xludf.DUMMYFUNCTION("""COMPUTED_VALUE"""),"Nuevo")</f>
        <v>Nuevo</v>
      </c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</row>
    <row r="434">
      <c r="A434" s="210" t="str">
        <f t="shared" si="1"/>
        <v>SE BAJAN</v>
      </c>
      <c r="B434" s="210">
        <f>IFERROR(__xludf.DUMMYFUNCTION("""COMPUTED_VALUE"""),11.0)</f>
        <v>11</v>
      </c>
      <c r="C434" s="211" t="str">
        <f>IFERROR(__xludf.DUMMYFUNCTION("""COMPUTED_VALUE"""),"6º D")</f>
        <v>6º D</v>
      </c>
      <c r="D434" s="212"/>
      <c r="E434" s="213"/>
      <c r="F434" s="212" t="str">
        <f>IFERROR(__xludf.DUMMYFUNCTION("""COMPUTED_VALUE"""),"Grupo O")</f>
        <v>Grupo O</v>
      </c>
      <c r="G434" s="212" t="str">
        <f>IFERROR(__xludf.DUMMYFUNCTION("""COMPUTED_VALUE"""),"si")</f>
        <v>si</v>
      </c>
      <c r="H434" s="212"/>
      <c r="I434" s="212">
        <f>IFERROR(__xludf.DUMMYFUNCTION("""COMPUTED_VALUE"""),4.0)</f>
        <v>4</v>
      </c>
      <c r="J434" s="212"/>
      <c r="K434" s="212" t="str">
        <f>IFERROR(__xludf.DUMMYFUNCTION("""COMPUTED_VALUE"""),"Literature")</f>
        <v>Literature</v>
      </c>
      <c r="L434" s="212" t="str">
        <f>IFERROR(__xludf.DUMMYFUNCTION("""COMPUTED_VALUE"""),"Astrid Vanina Santa Maria")</f>
        <v>Astrid Vanina Santa Maria</v>
      </c>
      <c r="M434" s="212"/>
      <c r="N434" s="212"/>
      <c r="O434" s="212" t="str">
        <f>IFERROR(__xludf.DUMMYFUNCTION("""COMPUTED_VALUE"""),"SE BAJAN")</f>
        <v>SE BAJAN</v>
      </c>
      <c r="P434" s="212" t="str">
        <f>IFERROR(__xludf.DUMMYFUNCTION("""COMPUTED_VALUE"""),"Expresion")</f>
        <v>Expresion</v>
      </c>
      <c r="Q434" s="212" t="str">
        <f>IFERROR(__xludf.DUMMYFUNCTION("""COMPUTED_VALUE"""),"BAJA de CURSO")</f>
        <v>BAJA de CURSO</v>
      </c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</row>
    <row r="435">
      <c r="A435" s="210" t="str">
        <f t="shared" si="1"/>
        <v>Lucila Lago</v>
      </c>
      <c r="B435" s="210">
        <f>IFERROR(__xludf.DUMMYFUNCTION("""COMPUTED_VALUE"""),12.0)</f>
        <v>12</v>
      </c>
      <c r="C435" s="211" t="str">
        <f>IFERROR(__xludf.DUMMYFUNCTION("""COMPUTED_VALUE"""),"6º A")</f>
        <v>6º A</v>
      </c>
      <c r="D435" s="212"/>
      <c r="E435" s="213"/>
      <c r="F435" s="212" t="str">
        <f>IFERROR(__xludf.DUMMYFUNCTION("""COMPUTED_VALUE"""),"MatB2")</f>
        <v>MatB2</v>
      </c>
      <c r="G435" s="212" t="str">
        <f>IFERROR(__xludf.DUMMYFUNCTION("""COMPUTED_VALUE"""),"si")</f>
        <v>si</v>
      </c>
      <c r="H435" s="212"/>
      <c r="I435" s="212">
        <f>IFERROR(__xludf.DUMMYFUNCTION("""COMPUTED_VALUE"""),6.0)</f>
        <v>6</v>
      </c>
      <c r="J435" s="212"/>
      <c r="K435" s="212" t="str">
        <f>IFERROR(__xludf.DUMMYFUNCTION("""COMPUTED_VALUE"""),"Maths")</f>
        <v>Maths</v>
      </c>
      <c r="L435" s="212" t="str">
        <f>IFERROR(__xludf.DUMMYFUNCTION("""COMPUTED_VALUE"""),"Camila Belen Blazquez Parodi")</f>
        <v>Camila Belen Blazquez Parodi</v>
      </c>
      <c r="M435" s="212"/>
      <c r="N435" s="212"/>
      <c r="O435" s="212" t="str">
        <f>IFERROR(__xludf.DUMMYFUNCTION("""COMPUTED_VALUE"""),"Lucila Lago")</f>
        <v>Lucila Lago</v>
      </c>
      <c r="P435" s="212" t="str">
        <f>IFERROR(__xludf.DUMMYFUNCTION("""COMPUTED_VALUE"""),"Exactas")</f>
        <v>Exactas</v>
      </c>
      <c r="Q435" s="212" t="str">
        <f>IFERROR(__xludf.DUMMYFUNCTION("""COMPUTED_VALUE"""),"Nuevo x baja de profesor")</f>
        <v>Nuevo x baja de profesor</v>
      </c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</row>
    <row r="436">
      <c r="A436" s="210" t="str">
        <f t="shared" si="1"/>
        <v>Silvana Morel</v>
      </c>
      <c r="B436" s="210">
        <f>IFERROR(__xludf.DUMMYFUNCTION("""COMPUTED_VALUE"""),12.0)</f>
        <v>12</v>
      </c>
      <c r="C436" s="211" t="str">
        <f>IFERROR(__xludf.DUMMYFUNCTION("""COMPUTED_VALUE"""),"6º B")</f>
        <v>6º B</v>
      </c>
      <c r="D436" s="212"/>
      <c r="E436" s="213"/>
      <c r="F436" s="212" t="str">
        <f>IFERROR(__xludf.DUMMYFUNCTION("""COMPUTED_VALUE"""),"MatB1")</f>
        <v>MatB1</v>
      </c>
      <c r="G436" s="212" t="str">
        <f>IFERROR(__xludf.DUMMYFUNCTION("""COMPUTED_VALUE"""),"si")</f>
        <v>si</v>
      </c>
      <c r="H436" s="212"/>
      <c r="I436" s="212">
        <f>IFERROR(__xludf.DUMMYFUNCTION("""COMPUTED_VALUE"""),6.0)</f>
        <v>6</v>
      </c>
      <c r="J436" s="212"/>
      <c r="K436" s="212" t="str">
        <f>IFERROR(__xludf.DUMMYFUNCTION("""COMPUTED_VALUE"""),"Maths")</f>
        <v>Maths</v>
      </c>
      <c r="L436" s="212" t="str">
        <f>IFERROR(__xludf.DUMMYFUNCTION("""COMPUTED_VALUE"""),"Facundo Terrana")</f>
        <v>Facundo Terrana</v>
      </c>
      <c r="M436" s="212"/>
      <c r="N436" s="212"/>
      <c r="O436" s="212" t="str">
        <f>IFERROR(__xludf.DUMMYFUNCTION("""COMPUTED_VALUE"""),"Silvana Morel")</f>
        <v>Silvana Morel</v>
      </c>
      <c r="P436" s="212" t="str">
        <f>IFERROR(__xludf.DUMMYFUNCTION("""COMPUTED_VALUE"""),"Exactas")</f>
        <v>Exactas</v>
      </c>
      <c r="Q436" s="212" t="str">
        <f>IFERROR(__xludf.DUMMYFUNCTION("""COMPUTED_VALUE"""),"Nuevo")</f>
        <v>Nuevo</v>
      </c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</row>
    <row r="437">
      <c r="A437" s="210" t="str">
        <f t="shared" si="1"/>
        <v>SE BAJAN</v>
      </c>
      <c r="B437" s="210">
        <f>IFERROR(__xludf.DUMMYFUNCTION("""COMPUTED_VALUE"""),12.0)</f>
        <v>12</v>
      </c>
      <c r="C437" s="211" t="str">
        <f>IFERROR(__xludf.DUMMYFUNCTION("""COMPUTED_VALUE"""),"6º D")</f>
        <v>6º D</v>
      </c>
      <c r="D437" s="212"/>
      <c r="E437" s="213"/>
      <c r="F437" s="212" t="str">
        <f>IFERROR(__xludf.DUMMYFUNCTION("""COMPUTED_VALUE"""),"MatAv")</f>
        <v>MatAv</v>
      </c>
      <c r="G437" s="212" t="str">
        <f>IFERROR(__xludf.DUMMYFUNCTION("""COMPUTED_VALUE"""),"si")</f>
        <v>si</v>
      </c>
      <c r="H437" s="212"/>
      <c r="I437" s="212">
        <f>IFERROR(__xludf.DUMMYFUNCTION("""COMPUTED_VALUE"""),6.0)</f>
        <v>6</v>
      </c>
      <c r="J437" s="212"/>
      <c r="K437" s="212" t="str">
        <f>IFERROR(__xludf.DUMMYFUNCTION("""COMPUTED_VALUE"""),"Maths")</f>
        <v>Maths</v>
      </c>
      <c r="L437" s="212" t="str">
        <f>IFERROR(__xludf.DUMMYFUNCTION("""COMPUTED_VALUE"""),"Lucila Lago")</f>
        <v>Lucila Lago</v>
      </c>
      <c r="M437" s="212"/>
      <c r="N437" s="212"/>
      <c r="O437" s="212" t="str">
        <f>IFERROR(__xludf.DUMMYFUNCTION("""COMPUTED_VALUE"""),"SE BAJAN")</f>
        <v>SE BAJAN</v>
      </c>
      <c r="P437" s="212" t="str">
        <f>IFERROR(__xludf.DUMMYFUNCTION("""COMPUTED_VALUE"""),"Exactas")</f>
        <v>Exactas</v>
      </c>
      <c r="Q437" s="212" t="str">
        <f>IFERROR(__xludf.DUMMYFUNCTION("""COMPUTED_VALUE"""),"BAJA de CURSO")</f>
        <v>BAJA de CURSO</v>
      </c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</row>
    <row r="438">
      <c r="A438" s="210" t="str">
        <f t="shared" si="1"/>
        <v>Andrea Paez</v>
      </c>
      <c r="B438" s="210">
        <f>IFERROR(__xludf.DUMMYFUNCTION("""COMPUTED_VALUE"""),13.0)</f>
        <v>13</v>
      </c>
      <c r="C438" s="211" t="str">
        <f>IFERROR(__xludf.DUMMYFUNCTION("""COMPUTED_VALUE"""),"6º A")</f>
        <v>6º A</v>
      </c>
      <c r="D438" s="212"/>
      <c r="E438" s="213"/>
      <c r="F438" s="212"/>
      <c r="G438" s="212"/>
      <c r="H438" s="212"/>
      <c r="I438" s="212">
        <f>IFERROR(__xludf.DUMMYFUNCTION("""COMPUTED_VALUE"""),1.0)</f>
        <v>1</v>
      </c>
      <c r="J438" s="212"/>
      <c r="K438" s="212" t="str">
        <f>IFERROR(__xludf.DUMMYFUNCTION("""COMPUTED_VALUE"""),"Orientación")</f>
        <v>Orientación</v>
      </c>
      <c r="L438" s="212" t="str">
        <f>IFERROR(__xludf.DUMMYFUNCTION("""COMPUTED_VALUE"""),"Andrea Paez")</f>
        <v>Andrea Paez</v>
      </c>
      <c r="M438" s="212"/>
      <c r="N438" s="212"/>
      <c r="O438" s="212" t="str">
        <f>IFERROR(__xludf.DUMMYFUNCTION("""COMPUTED_VALUE"""),"Andrea Paez")</f>
        <v>Andrea Paez</v>
      </c>
      <c r="P438" s="212" t="str">
        <f>IFERROR(__xludf.DUMMYFUNCTION("""COMPUTED_VALUE"""),"Orientacion")</f>
        <v>Orientacion</v>
      </c>
      <c r="Q438" s="212" t="str">
        <f>IFERROR(__xludf.DUMMYFUNCTION("""COMPUTED_VALUE"""),"Mantiene")</f>
        <v>Mantiene</v>
      </c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</row>
    <row r="439">
      <c r="A439" s="210" t="str">
        <f t="shared" si="1"/>
        <v>Lucas Gerk</v>
      </c>
      <c r="B439" s="210">
        <f>IFERROR(__xludf.DUMMYFUNCTION("""COMPUTED_VALUE"""),13.0)</f>
        <v>13</v>
      </c>
      <c r="C439" s="211" t="str">
        <f>IFERROR(__xludf.DUMMYFUNCTION("""COMPUTED_VALUE"""),"6º B")</f>
        <v>6º B</v>
      </c>
      <c r="D439" s="212"/>
      <c r="E439" s="213"/>
      <c r="F439" s="212"/>
      <c r="G439" s="212"/>
      <c r="H439" s="212"/>
      <c r="I439" s="212">
        <f>IFERROR(__xludf.DUMMYFUNCTION("""COMPUTED_VALUE"""),1.0)</f>
        <v>1</v>
      </c>
      <c r="J439" s="212"/>
      <c r="K439" s="212" t="str">
        <f>IFERROR(__xludf.DUMMYFUNCTION("""COMPUTED_VALUE"""),"Orientación")</f>
        <v>Orientación</v>
      </c>
      <c r="L439" s="212" t="str">
        <f>IFERROR(__xludf.DUMMYFUNCTION("""COMPUTED_VALUE"""),"Lucas Gerk")</f>
        <v>Lucas Gerk</v>
      </c>
      <c r="M439" s="212"/>
      <c r="N439" s="212"/>
      <c r="O439" s="212" t="str">
        <f>IFERROR(__xludf.DUMMYFUNCTION("""COMPUTED_VALUE"""),"Lucas Gerk")</f>
        <v>Lucas Gerk</v>
      </c>
      <c r="P439" s="212" t="str">
        <f>IFERROR(__xludf.DUMMYFUNCTION("""COMPUTED_VALUE"""),"Orientacion")</f>
        <v>Orientacion</v>
      </c>
      <c r="Q439" s="212" t="str">
        <f>IFERROR(__xludf.DUMMYFUNCTION("""COMPUTED_VALUE"""),"Mantiene")</f>
        <v>Mantiene</v>
      </c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</row>
    <row r="440">
      <c r="A440" s="210" t="str">
        <f t="shared" si="1"/>
        <v>SE BAJAN</v>
      </c>
      <c r="B440" s="210">
        <f>IFERROR(__xludf.DUMMYFUNCTION("""COMPUTED_VALUE"""),13.0)</f>
        <v>13</v>
      </c>
      <c r="C440" s="211" t="str">
        <f>IFERROR(__xludf.DUMMYFUNCTION("""COMPUTED_VALUE"""),"6º D")</f>
        <v>6º D</v>
      </c>
      <c r="D440" s="212"/>
      <c r="E440" s="213"/>
      <c r="F440" s="212"/>
      <c r="G440" s="212"/>
      <c r="H440" s="212"/>
      <c r="I440" s="212">
        <f>IFERROR(__xludf.DUMMYFUNCTION("""COMPUTED_VALUE"""),1.0)</f>
        <v>1</v>
      </c>
      <c r="J440" s="212"/>
      <c r="K440" s="212" t="str">
        <f>IFERROR(__xludf.DUMMYFUNCTION("""COMPUTED_VALUE"""),"Orientación")</f>
        <v>Orientación</v>
      </c>
      <c r="L440" s="212" t="str">
        <f>IFERROR(__xludf.DUMMYFUNCTION("""COMPUTED_VALUE"""),"Juan Bautista De Las Carreras")</f>
        <v>Juan Bautista De Las Carreras</v>
      </c>
      <c r="M440" s="212"/>
      <c r="N440" s="212"/>
      <c r="O440" s="212" t="str">
        <f>IFERROR(__xludf.DUMMYFUNCTION("""COMPUTED_VALUE"""),"SE BAJAN")</f>
        <v>SE BAJAN</v>
      </c>
      <c r="P440" s="212" t="str">
        <f>IFERROR(__xludf.DUMMYFUNCTION("""COMPUTED_VALUE"""),"Orientacion")</f>
        <v>Orientacion</v>
      </c>
      <c r="Q440" s="212" t="str">
        <f>IFERROR(__xludf.DUMMYFUNCTION("""COMPUTED_VALUE"""),"BAJA de CURSO")</f>
        <v>BAJA de CURSO</v>
      </c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</row>
    <row r="441">
      <c r="A441" s="210" t="str">
        <f t="shared" si="1"/>
        <v>Clara Gobbée</v>
      </c>
      <c r="B441" s="210">
        <f>IFERROR(__xludf.DUMMYFUNCTION("""COMPUTED_VALUE"""),14.0)</f>
        <v>14</v>
      </c>
      <c r="C441" s="211" t="str">
        <f>IFERROR(__xludf.DUMMYFUNCTION("""COMPUTED_VALUE"""),"6º A")</f>
        <v>6º A</v>
      </c>
      <c r="D441" s="212"/>
      <c r="E441" s="213"/>
      <c r="F441" s="212" t="str">
        <f>IFERROR(__xludf.DUMMYFUNCTION("""COMPUTED_VALUE"""),"Grupo P")</f>
        <v>Grupo P</v>
      </c>
      <c r="G441" s="212"/>
      <c r="H441" s="212"/>
      <c r="I441" s="212">
        <f>IFERROR(__xludf.DUMMYFUNCTION("""COMPUTED_VALUE"""),1.0)</f>
        <v>1</v>
      </c>
      <c r="J441" s="212"/>
      <c r="K441" s="212" t="str">
        <f>IFERROR(__xludf.DUMMYFUNCTION("""COMPUTED_VALUE"""),"Orientación Vocacional")</f>
        <v>Orientación Vocacional</v>
      </c>
      <c r="L441" s="212" t="str">
        <f>IFERROR(__xludf.DUMMYFUNCTION("""COMPUTED_VALUE"""),"Clara Gobbée")</f>
        <v>Clara Gobbée</v>
      </c>
      <c r="M441" s="212"/>
      <c r="N441" s="212"/>
      <c r="O441" s="212" t="str">
        <f>IFERROR(__xludf.DUMMYFUNCTION("""COMPUTED_VALUE"""),"Clara Gobbée")</f>
        <v>Clara Gobbée</v>
      </c>
      <c r="P441" s="212" t="str">
        <f>IFERROR(__xludf.DUMMYFUNCTION("""COMPUTED_VALUE"""),"Orientacion")</f>
        <v>Orientacion</v>
      </c>
      <c r="Q441" s="212" t="str">
        <f>IFERROR(__xludf.DUMMYFUNCTION("""COMPUTED_VALUE"""),"Mantiene")</f>
        <v>Mantiene</v>
      </c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</row>
    <row r="442">
      <c r="A442" s="210" t="str">
        <f t="shared" si="1"/>
        <v>Clara Gobbée</v>
      </c>
      <c r="B442" s="210">
        <f>IFERROR(__xludf.DUMMYFUNCTION("""COMPUTED_VALUE"""),14.0)</f>
        <v>14</v>
      </c>
      <c r="C442" s="211" t="str">
        <f>IFERROR(__xludf.DUMMYFUNCTION("""COMPUTED_VALUE"""),"6º B")</f>
        <v>6º B</v>
      </c>
      <c r="D442" s="212"/>
      <c r="E442" s="213"/>
      <c r="F442" s="212" t="str">
        <f>IFERROR(__xludf.DUMMYFUNCTION("""COMPUTED_VALUE"""),"Grupo S")</f>
        <v>Grupo S</v>
      </c>
      <c r="G442" s="212"/>
      <c r="H442" s="212"/>
      <c r="I442" s="212">
        <f>IFERROR(__xludf.DUMMYFUNCTION("""COMPUTED_VALUE"""),1.0)</f>
        <v>1</v>
      </c>
      <c r="J442" s="212"/>
      <c r="K442" s="212" t="str">
        <f>IFERROR(__xludf.DUMMYFUNCTION("""COMPUTED_VALUE"""),"Orientación Vocacional")</f>
        <v>Orientación Vocacional</v>
      </c>
      <c r="L442" s="212" t="str">
        <f>IFERROR(__xludf.DUMMYFUNCTION("""COMPUTED_VALUE"""),"Clara Gobbée")</f>
        <v>Clara Gobbée</v>
      </c>
      <c r="M442" s="212"/>
      <c r="N442" s="212"/>
      <c r="O442" s="212" t="str">
        <f>IFERROR(__xludf.DUMMYFUNCTION("""COMPUTED_VALUE"""),"Clara Gobbée")</f>
        <v>Clara Gobbée</v>
      </c>
      <c r="P442" s="212" t="str">
        <f>IFERROR(__xludf.DUMMYFUNCTION("""COMPUTED_VALUE"""),"Orientacion")</f>
        <v>Orientacion</v>
      </c>
      <c r="Q442" s="212" t="str">
        <f>IFERROR(__xludf.DUMMYFUNCTION("""COMPUTED_VALUE"""),"Mantiene")</f>
        <v>Mantiene</v>
      </c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</row>
    <row r="443">
      <c r="A443" s="210" t="str">
        <f t="shared" si="1"/>
        <v>SE BAJAN</v>
      </c>
      <c r="B443" s="210">
        <f>IFERROR(__xludf.DUMMYFUNCTION("""COMPUTED_VALUE"""),14.0)</f>
        <v>14</v>
      </c>
      <c r="C443" s="211" t="str">
        <f>IFERROR(__xludf.DUMMYFUNCTION("""COMPUTED_VALUE"""),"6º D")</f>
        <v>6º D</v>
      </c>
      <c r="D443" s="212"/>
      <c r="E443" s="213"/>
      <c r="F443" s="212" t="str">
        <f>IFERROR(__xludf.DUMMYFUNCTION("""COMPUTED_VALUE"""),"Grupo O")</f>
        <v>Grupo O</v>
      </c>
      <c r="G443" s="212"/>
      <c r="H443" s="212"/>
      <c r="I443" s="212">
        <f>IFERROR(__xludf.DUMMYFUNCTION("""COMPUTED_VALUE"""),1.0)</f>
        <v>1</v>
      </c>
      <c r="J443" s="212"/>
      <c r="K443" s="212" t="str">
        <f>IFERROR(__xludf.DUMMYFUNCTION("""COMPUTED_VALUE"""),"Orientación Vocacional")</f>
        <v>Orientación Vocacional</v>
      </c>
      <c r="L443" s="212" t="str">
        <f>IFERROR(__xludf.DUMMYFUNCTION("""COMPUTED_VALUE"""),"Clara Gobbée")</f>
        <v>Clara Gobbée</v>
      </c>
      <c r="M443" s="212"/>
      <c r="N443" s="212"/>
      <c r="O443" s="212" t="str">
        <f>IFERROR(__xludf.DUMMYFUNCTION("""COMPUTED_VALUE"""),"SE BAJAN")</f>
        <v>SE BAJAN</v>
      </c>
      <c r="P443" s="212" t="str">
        <f>IFERROR(__xludf.DUMMYFUNCTION("""COMPUTED_VALUE"""),"Orientacion")</f>
        <v>Orientacion</v>
      </c>
      <c r="Q443" s="212" t="str">
        <f>IFERROR(__xludf.DUMMYFUNCTION("""COMPUTED_VALUE"""),"BAJA de CURSO")</f>
        <v>BAJA de CURSO</v>
      </c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</row>
    <row r="444">
      <c r="A444" s="210" t="str">
        <f t="shared" si="1"/>
        <v>Anechina</v>
      </c>
      <c r="B444" s="210">
        <f>IFERROR(__xludf.DUMMYFUNCTION("""COMPUTED_VALUE"""),15.0)</f>
        <v>15</v>
      </c>
      <c r="C444" s="211" t="str">
        <f>IFERROR(__xludf.DUMMYFUNCTION("""COMPUTED_VALUE"""),"6º A")</f>
        <v>6º A</v>
      </c>
      <c r="D444" s="212"/>
      <c r="E444" s="213"/>
      <c r="F444" s="212" t="str">
        <f>IFERROR(__xludf.DUMMYFUNCTION("""COMPUTED_VALUE"""),"Grupo P")</f>
        <v>Grupo P</v>
      </c>
      <c r="G444" s="212"/>
      <c r="H444" s="212"/>
      <c r="I444" s="212">
        <f>IFERROR(__xludf.DUMMYFUNCTION("""COMPUTED_VALUE"""),2.0)</f>
        <v>2</v>
      </c>
      <c r="J444" s="212"/>
      <c r="K444" s="212" t="str">
        <f>IFERROR(__xludf.DUMMYFUNCTION("""COMPUTED_VALUE"""),"Portugués")</f>
        <v>Portugués</v>
      </c>
      <c r="L444" s="212" t="str">
        <f>IFERROR(__xludf.DUMMYFUNCTION("""COMPUTED_VALUE"""),"Valeria Denise Carmona")</f>
        <v>Valeria Denise Carmona</v>
      </c>
      <c r="M444" s="212"/>
      <c r="N444" s="212"/>
      <c r="O444" s="212" t="str">
        <f>IFERROR(__xludf.DUMMYFUNCTION("""COMPUTED_VALUE"""),"Anechina")</f>
        <v>Anechina</v>
      </c>
      <c r="P444" s="212" t="str">
        <f>IFERROR(__xludf.DUMMYFUNCTION("""COMPUTED_VALUE"""),"Expresion")</f>
        <v>Expresion</v>
      </c>
      <c r="Q444" s="212" t="str">
        <f>IFERROR(__xludf.DUMMYFUNCTION("""COMPUTED_VALUE"""),"Nuevo")</f>
        <v>Nuevo</v>
      </c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</row>
    <row r="445">
      <c r="A445" s="210" t="str">
        <f t="shared" si="1"/>
        <v>Anechina</v>
      </c>
      <c r="B445" s="210">
        <f>IFERROR(__xludf.DUMMYFUNCTION("""COMPUTED_VALUE"""),15.0)</f>
        <v>15</v>
      </c>
      <c r="C445" s="211" t="str">
        <f>IFERROR(__xludf.DUMMYFUNCTION("""COMPUTED_VALUE"""),"6º B")</f>
        <v>6º B</v>
      </c>
      <c r="D445" s="212"/>
      <c r="E445" s="213"/>
      <c r="F445" s="212" t="str">
        <f>IFERROR(__xludf.DUMMYFUNCTION("""COMPUTED_VALUE"""),"Grupo S")</f>
        <v>Grupo S</v>
      </c>
      <c r="G445" s="212"/>
      <c r="H445" s="212"/>
      <c r="I445" s="212">
        <f>IFERROR(__xludf.DUMMYFUNCTION("""COMPUTED_VALUE"""),2.0)</f>
        <v>2</v>
      </c>
      <c r="J445" s="212"/>
      <c r="K445" s="212" t="str">
        <f>IFERROR(__xludf.DUMMYFUNCTION("""COMPUTED_VALUE"""),"Portugués")</f>
        <v>Portugués</v>
      </c>
      <c r="L445" s="212" t="str">
        <f>IFERROR(__xludf.DUMMYFUNCTION("""COMPUTED_VALUE"""),"Valeria Denise Carmona")</f>
        <v>Valeria Denise Carmona</v>
      </c>
      <c r="M445" s="212"/>
      <c r="N445" s="212"/>
      <c r="O445" s="212" t="str">
        <f>IFERROR(__xludf.DUMMYFUNCTION("""COMPUTED_VALUE"""),"Anechina")</f>
        <v>Anechina</v>
      </c>
      <c r="P445" s="212" t="str">
        <f>IFERROR(__xludf.DUMMYFUNCTION("""COMPUTED_VALUE"""),"Expresion")</f>
        <v>Expresion</v>
      </c>
      <c r="Q445" s="212" t="str">
        <f>IFERROR(__xludf.DUMMYFUNCTION("""COMPUTED_VALUE"""),"Nuevo")</f>
        <v>Nuevo</v>
      </c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</row>
    <row r="446">
      <c r="A446" s="210" t="str">
        <f t="shared" si="1"/>
        <v>SE BAJAN</v>
      </c>
      <c r="B446" s="210">
        <f>IFERROR(__xludf.DUMMYFUNCTION("""COMPUTED_VALUE"""),15.0)</f>
        <v>15</v>
      </c>
      <c r="C446" s="211" t="str">
        <f>IFERROR(__xludf.DUMMYFUNCTION("""COMPUTED_VALUE"""),"6º D")</f>
        <v>6º D</v>
      </c>
      <c r="D446" s="212"/>
      <c r="E446" s="213"/>
      <c r="F446" s="212" t="str">
        <f>IFERROR(__xludf.DUMMYFUNCTION("""COMPUTED_VALUE"""),"Grupo O")</f>
        <v>Grupo O</v>
      </c>
      <c r="G446" s="212"/>
      <c r="H446" s="212"/>
      <c r="I446" s="212">
        <f>IFERROR(__xludf.DUMMYFUNCTION("""COMPUTED_VALUE"""),2.0)</f>
        <v>2</v>
      </c>
      <c r="J446" s="212"/>
      <c r="K446" s="212" t="str">
        <f>IFERROR(__xludf.DUMMYFUNCTION("""COMPUTED_VALUE"""),"Portugués")</f>
        <v>Portugués</v>
      </c>
      <c r="L446" s="212" t="str">
        <f>IFERROR(__xludf.DUMMYFUNCTION("""COMPUTED_VALUE"""),"Norma Beatriz Kimmel")</f>
        <v>Norma Beatriz Kimmel</v>
      </c>
      <c r="M446" s="212"/>
      <c r="N446" s="212"/>
      <c r="O446" s="212" t="str">
        <f>IFERROR(__xludf.DUMMYFUNCTION("""COMPUTED_VALUE"""),"SE BAJAN")</f>
        <v>SE BAJAN</v>
      </c>
      <c r="P446" s="212" t="str">
        <f>IFERROR(__xludf.DUMMYFUNCTION("""COMPUTED_VALUE"""),"Expresion")</f>
        <v>Expresion</v>
      </c>
      <c r="Q446" s="212" t="str">
        <f>IFERROR(__xludf.DUMMYFUNCTION("""COMPUTED_VALUE"""),"BAJA de CURSO")</f>
        <v>BAJA de CURSO</v>
      </c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</row>
    <row r="447">
      <c r="A447" s="210" t="str">
        <f t="shared" si="1"/>
        <v>Valeria Cerruti</v>
      </c>
      <c r="B447" s="210">
        <f>IFERROR(__xludf.DUMMYFUNCTION("""COMPUTED_VALUE"""),16.0)</f>
        <v>16</v>
      </c>
      <c r="C447" s="211" t="str">
        <f>IFERROR(__xludf.DUMMYFUNCTION("""COMPUTED_VALUE"""),"6º A")</f>
        <v>6º A</v>
      </c>
      <c r="D447" s="212"/>
      <c r="E447" s="213"/>
      <c r="F447" s="212" t="str">
        <f>IFERROR(__xludf.DUMMYFUNCTION("""COMPUTED_VALUE"""),"Grupo P")</f>
        <v>Grupo P</v>
      </c>
      <c r="G447" s="212"/>
      <c r="H447" s="212"/>
      <c r="I447" s="212">
        <f>IFERROR(__xludf.DUMMYFUNCTION("""COMPUTED_VALUE"""),2.0)</f>
        <v>2</v>
      </c>
      <c r="J447" s="212"/>
      <c r="K447" s="212" t="str">
        <f>IFERROR(__xludf.DUMMYFUNCTION("""COMPUTED_VALUE"""),"Science")</f>
        <v>Science</v>
      </c>
      <c r="L447" s="212" t="str">
        <f>IFERROR(__xludf.DUMMYFUNCTION("""COMPUTED_VALUE"""),"Pablo Baeck")</f>
        <v>Pablo Baeck</v>
      </c>
      <c r="M447" s="212"/>
      <c r="N447" s="212"/>
      <c r="O447" s="212" t="str">
        <f>IFERROR(__xludf.DUMMYFUNCTION("""COMPUTED_VALUE"""),"Valeria Cerruti")</f>
        <v>Valeria Cerruti</v>
      </c>
      <c r="P447" s="212" t="str">
        <f>IFERROR(__xludf.DUMMYFUNCTION("""COMPUTED_VALUE"""),"Exactas")</f>
        <v>Exactas</v>
      </c>
      <c r="Q447" s="212" t="str">
        <f>IFERROR(__xludf.DUMMYFUNCTION("""COMPUTED_VALUE"""),"Nuevo x baja de profesor")</f>
        <v>Nuevo x baja de profesor</v>
      </c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</row>
    <row r="448">
      <c r="A448" s="210" t="str">
        <f t="shared" si="1"/>
        <v>Cecilia Moirano</v>
      </c>
      <c r="B448" s="210">
        <f>IFERROR(__xludf.DUMMYFUNCTION("""COMPUTED_VALUE"""),16.0)</f>
        <v>16</v>
      </c>
      <c r="C448" s="211" t="str">
        <f>IFERROR(__xludf.DUMMYFUNCTION("""COMPUTED_VALUE"""),"6º B")</f>
        <v>6º B</v>
      </c>
      <c r="D448" s="212"/>
      <c r="E448" s="213"/>
      <c r="F448" s="212" t="str">
        <f>IFERROR(__xludf.DUMMYFUNCTION("""COMPUTED_VALUE"""),"Grupo S")</f>
        <v>Grupo S</v>
      </c>
      <c r="G448" s="212"/>
      <c r="H448" s="212"/>
      <c r="I448" s="212">
        <f>IFERROR(__xludf.DUMMYFUNCTION("""COMPUTED_VALUE"""),2.0)</f>
        <v>2</v>
      </c>
      <c r="J448" s="212"/>
      <c r="K448" s="212" t="str">
        <f>IFERROR(__xludf.DUMMYFUNCTION("""COMPUTED_VALUE"""),"Science")</f>
        <v>Science</v>
      </c>
      <c r="L448" s="212" t="str">
        <f>IFERROR(__xludf.DUMMYFUNCTION("""COMPUTED_VALUE"""),"Pablo Baeck")</f>
        <v>Pablo Baeck</v>
      </c>
      <c r="M448" s="212"/>
      <c r="N448" s="212"/>
      <c r="O448" s="212" t="str">
        <f>IFERROR(__xludf.DUMMYFUNCTION("""COMPUTED_VALUE"""),"Cecilia Moirano")</f>
        <v>Cecilia Moirano</v>
      </c>
      <c r="P448" s="212" t="str">
        <f>IFERROR(__xludf.DUMMYFUNCTION("""COMPUTED_VALUE"""),"Exactas")</f>
        <v>Exactas</v>
      </c>
      <c r="Q448" s="212" t="str">
        <f>IFERROR(__xludf.DUMMYFUNCTION("""COMPUTED_VALUE"""),"Nuevo")</f>
        <v>Nuevo</v>
      </c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</row>
    <row r="449">
      <c r="A449" s="210" t="str">
        <f t="shared" si="1"/>
        <v>SE BAJAN</v>
      </c>
      <c r="B449" s="210">
        <f>IFERROR(__xludf.DUMMYFUNCTION("""COMPUTED_VALUE"""),16.0)</f>
        <v>16</v>
      </c>
      <c r="C449" s="211" t="str">
        <f>IFERROR(__xludf.DUMMYFUNCTION("""COMPUTED_VALUE"""),"6º D")</f>
        <v>6º D</v>
      </c>
      <c r="D449" s="212"/>
      <c r="E449" s="213"/>
      <c r="F449" s="212" t="str">
        <f>IFERROR(__xludf.DUMMYFUNCTION("""COMPUTED_VALUE"""),"Grupo O")</f>
        <v>Grupo O</v>
      </c>
      <c r="G449" s="212"/>
      <c r="H449" s="212"/>
      <c r="I449" s="212">
        <f>IFERROR(__xludf.DUMMYFUNCTION("""COMPUTED_VALUE"""),2.0)</f>
        <v>2</v>
      </c>
      <c r="J449" s="212"/>
      <c r="K449" s="212" t="str">
        <f>IFERROR(__xludf.DUMMYFUNCTION("""COMPUTED_VALUE"""),"Science")</f>
        <v>Science</v>
      </c>
      <c r="L449" s="212" t="str">
        <f>IFERROR(__xludf.DUMMYFUNCTION("""COMPUTED_VALUE"""),"Pablo Baeck")</f>
        <v>Pablo Baeck</v>
      </c>
      <c r="M449" s="212"/>
      <c r="N449" s="212"/>
      <c r="O449" s="212" t="str">
        <f>IFERROR(__xludf.DUMMYFUNCTION("""COMPUTED_VALUE"""),"SE BAJAN")</f>
        <v>SE BAJAN</v>
      </c>
      <c r="P449" s="212" t="str">
        <f>IFERROR(__xludf.DUMMYFUNCTION("""COMPUTED_VALUE"""),"Exactas")</f>
        <v>Exactas</v>
      </c>
      <c r="Q449" s="212" t="str">
        <f>IFERROR(__xludf.DUMMYFUNCTION("""COMPUTED_VALUE"""),"BAJA de CURSO")</f>
        <v>BAJA de CURSO</v>
      </c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</row>
    <row r="450">
      <c r="A450" s="210" t="str">
        <f t="shared" si="1"/>
        <v>Verónica María Bonadeo</v>
      </c>
      <c r="B450" s="210">
        <f>IFERROR(__xludf.DUMMYFUNCTION("""COMPUTED_VALUE"""),17.0)</f>
        <v>17</v>
      </c>
      <c r="C450" s="211" t="str">
        <f>IFERROR(__xludf.DUMMYFUNCTION("""COMPUTED_VALUE"""),"6º A")</f>
        <v>6º A</v>
      </c>
      <c r="D450" s="212"/>
      <c r="E450" s="213"/>
      <c r="F450" s="212" t="str">
        <f>IFERROR(__xludf.DUMMYFUNCTION("""COMPUTED_VALUE"""),"Grupo P")</f>
        <v>Grupo P</v>
      </c>
      <c r="G450" s="212"/>
      <c r="H450" s="212"/>
      <c r="I450" s="212">
        <f>IFERROR(__xludf.DUMMYFUNCTION("""COMPUTED_VALUE"""),2.0)</f>
        <v>2</v>
      </c>
      <c r="J450" s="212"/>
      <c r="K450" s="212" t="str">
        <f>IFERROR(__xludf.DUMMYFUNCTION("""COMPUTED_VALUE"""),"Web Design")</f>
        <v>Web Design</v>
      </c>
      <c r="L450" s="212" t="str">
        <f>IFERROR(__xludf.DUMMYFUNCTION("""COMPUTED_VALUE"""),"Verónica María Bonadeo")</f>
        <v>Verónica María Bonadeo</v>
      </c>
      <c r="M450" s="212"/>
      <c r="N450" s="212"/>
      <c r="O450" s="212" t="str">
        <f>IFERROR(__xludf.DUMMYFUNCTION("""COMPUTED_VALUE"""),"Verónica María Bonadeo")</f>
        <v>Verónica María Bonadeo</v>
      </c>
      <c r="P450" s="212" t="str">
        <f>IFERROR(__xludf.DUMMYFUNCTION("""COMPUTED_VALUE"""),"Tecnologia")</f>
        <v>Tecnologia</v>
      </c>
      <c r="Q450" s="212" t="str">
        <f>IFERROR(__xludf.DUMMYFUNCTION("""COMPUTED_VALUE"""),"Mantiene")</f>
        <v>Mantiene</v>
      </c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</row>
    <row r="451">
      <c r="A451" s="210" t="str">
        <f t="shared" si="1"/>
        <v>Eduardo Gabriel Rougier</v>
      </c>
      <c r="B451" s="210">
        <f>IFERROR(__xludf.DUMMYFUNCTION("""COMPUTED_VALUE"""),17.0)</f>
        <v>17</v>
      </c>
      <c r="C451" s="211" t="str">
        <f>IFERROR(__xludf.DUMMYFUNCTION("""COMPUTED_VALUE"""),"6º B")</f>
        <v>6º B</v>
      </c>
      <c r="D451" s="212"/>
      <c r="E451" s="213"/>
      <c r="F451" s="212" t="str">
        <f>IFERROR(__xludf.DUMMYFUNCTION("""COMPUTED_VALUE"""),"Grupo S")</f>
        <v>Grupo S</v>
      </c>
      <c r="G451" s="212"/>
      <c r="H451" s="212"/>
      <c r="I451" s="212">
        <f>IFERROR(__xludf.DUMMYFUNCTION("""COMPUTED_VALUE"""),2.0)</f>
        <v>2</v>
      </c>
      <c r="J451" s="212"/>
      <c r="K451" s="212" t="str">
        <f>IFERROR(__xludf.DUMMYFUNCTION("""COMPUTED_VALUE"""),"Web Design")</f>
        <v>Web Design</v>
      </c>
      <c r="L451" s="212" t="str">
        <f>IFERROR(__xludf.DUMMYFUNCTION("""COMPUTED_VALUE"""),"Verónica María Bonadeo")</f>
        <v>Verónica María Bonadeo</v>
      </c>
      <c r="M451" s="212"/>
      <c r="N451" s="212"/>
      <c r="O451" s="212" t="str">
        <f>IFERROR(__xludf.DUMMYFUNCTION("""COMPUTED_VALUE"""),"Eduardo Gabriel Rougier")</f>
        <v>Eduardo Gabriel Rougier</v>
      </c>
      <c r="P451" s="212" t="str">
        <f>IFERROR(__xludf.DUMMYFUNCTION("""COMPUTED_VALUE"""),"Tecnologia")</f>
        <v>Tecnologia</v>
      </c>
      <c r="Q451" s="212" t="str">
        <f>IFERROR(__xludf.DUMMYFUNCTION("""COMPUTED_VALUE"""),"Nuevo")</f>
        <v>Nuevo</v>
      </c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</row>
    <row r="452">
      <c r="A452" s="210" t="str">
        <f t="shared" si="1"/>
        <v>SE BAJAN</v>
      </c>
      <c r="B452" s="210">
        <f>IFERROR(__xludf.DUMMYFUNCTION("""COMPUTED_VALUE"""),17.0)</f>
        <v>17</v>
      </c>
      <c r="C452" s="211" t="str">
        <f>IFERROR(__xludf.DUMMYFUNCTION("""COMPUTED_VALUE"""),"6º D")</f>
        <v>6º D</v>
      </c>
      <c r="D452" s="212"/>
      <c r="E452" s="213"/>
      <c r="F452" s="212" t="str">
        <f>IFERROR(__xludf.DUMMYFUNCTION("""COMPUTED_VALUE"""),"Grupo O")</f>
        <v>Grupo O</v>
      </c>
      <c r="G452" s="212"/>
      <c r="H452" s="212"/>
      <c r="I452" s="212"/>
      <c r="J452" s="212"/>
      <c r="K452" s="212" t="str">
        <f>IFERROR(__xludf.DUMMYFUNCTION("""COMPUTED_VALUE"""),"Web Design")</f>
        <v>Web Design</v>
      </c>
      <c r="L452" s="212" t="str">
        <f>IFERROR(__xludf.DUMMYFUNCTION("""COMPUTED_VALUE"""),"Eduardo Gabriel Rougier")</f>
        <v>Eduardo Gabriel Rougier</v>
      </c>
      <c r="M452" s="212" t="str">
        <f>IFERROR(__xludf.DUMMYFUNCTION("""COMPUTED_VALUE"""),"Verónica María Bonadeo")</f>
        <v>Verónica María Bonadeo</v>
      </c>
      <c r="N452" s="212"/>
      <c r="O452" s="212" t="str">
        <f>IFERROR(__xludf.DUMMYFUNCTION("""COMPUTED_VALUE"""),"SE BAJAN")</f>
        <v>SE BAJAN</v>
      </c>
      <c r="P452" s="212" t="str">
        <f>IFERROR(__xludf.DUMMYFUNCTION("""COMPUTED_VALUE"""),"Tecnologia")</f>
        <v>Tecnologia</v>
      </c>
      <c r="Q452" s="212" t="str">
        <f>IFERROR(__xludf.DUMMYFUNCTION("""COMPUTED_VALUE"""),"BAJA de CURSO")</f>
        <v>BAJA de CURSO</v>
      </c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</row>
    <row r="453">
      <c r="A453" s="210" t="str">
        <f t="shared" si="1"/>
        <v/>
      </c>
      <c r="B453" s="210">
        <f>IFERROR(__xludf.DUMMYFUNCTION("""COMPUTED_VALUE"""),18.0)</f>
        <v>18</v>
      </c>
      <c r="C453" s="211" t="str">
        <f>IFERROR(__xludf.DUMMYFUNCTION("""COMPUTED_VALUE"""),"6º A")</f>
        <v>6º A</v>
      </c>
      <c r="D453" s="212"/>
      <c r="E453" s="213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 t="str">
        <f>IFERROR(__xludf.DUMMYFUNCTION("""COMPUTED_VALUE"""),"")</f>
        <v/>
      </c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</row>
    <row r="454">
      <c r="A454" s="210" t="str">
        <f t="shared" si="1"/>
        <v/>
      </c>
      <c r="B454" s="210">
        <f>IFERROR(__xludf.DUMMYFUNCTION("""COMPUTED_VALUE"""),18.0)</f>
        <v>18</v>
      </c>
      <c r="C454" s="211" t="str">
        <f>IFERROR(__xludf.DUMMYFUNCTION("""COMPUTED_VALUE"""),"6º B")</f>
        <v>6º B</v>
      </c>
      <c r="D454" s="212"/>
      <c r="E454" s="213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 t="str">
        <f>IFERROR(__xludf.DUMMYFUNCTION("""COMPUTED_VALUE"""),"")</f>
        <v/>
      </c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</row>
    <row r="455">
      <c r="A455" s="210" t="str">
        <f t="shared" si="1"/>
        <v/>
      </c>
      <c r="B455" s="210">
        <f>IFERROR(__xludf.DUMMYFUNCTION("""COMPUTED_VALUE"""),18.0)</f>
        <v>18</v>
      </c>
      <c r="C455" s="211" t="str">
        <f>IFERROR(__xludf.DUMMYFUNCTION("""COMPUTED_VALUE"""),"6º D")</f>
        <v>6º D</v>
      </c>
      <c r="D455" s="212"/>
      <c r="E455" s="213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 t="str">
        <f>IFERROR(__xludf.DUMMYFUNCTION("""COMPUTED_VALUE"""),"")</f>
        <v/>
      </c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</row>
    <row r="456">
      <c r="A456" s="210" t="str">
        <f t="shared" si="1"/>
        <v/>
      </c>
      <c r="B456" s="210">
        <f>IFERROR(__xludf.DUMMYFUNCTION("""COMPUTED_VALUE"""),19.0)</f>
        <v>19</v>
      </c>
      <c r="C456" s="211" t="str">
        <f>IFERROR(__xludf.DUMMYFUNCTION("""COMPUTED_VALUE"""),"6º A")</f>
        <v>6º A</v>
      </c>
      <c r="D456" s="212"/>
      <c r="E456" s="213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 t="str">
        <f>IFERROR(__xludf.DUMMYFUNCTION("""COMPUTED_VALUE"""),"")</f>
        <v/>
      </c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</row>
    <row r="457">
      <c r="A457" s="210" t="str">
        <f t="shared" si="1"/>
        <v/>
      </c>
      <c r="B457" s="210">
        <f>IFERROR(__xludf.DUMMYFUNCTION("""COMPUTED_VALUE"""),19.0)</f>
        <v>19</v>
      </c>
      <c r="C457" s="211" t="str">
        <f>IFERROR(__xludf.DUMMYFUNCTION("""COMPUTED_VALUE"""),"6º B")</f>
        <v>6º B</v>
      </c>
      <c r="D457" s="212"/>
      <c r="E457" s="213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 t="str">
        <f>IFERROR(__xludf.DUMMYFUNCTION("""COMPUTED_VALUE"""),"")</f>
        <v/>
      </c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</row>
    <row r="458">
      <c r="A458" s="210" t="str">
        <f t="shared" si="1"/>
        <v/>
      </c>
      <c r="B458" s="210">
        <f>IFERROR(__xludf.DUMMYFUNCTION("""COMPUTED_VALUE"""),19.0)</f>
        <v>19</v>
      </c>
      <c r="C458" s="211" t="str">
        <f>IFERROR(__xludf.DUMMYFUNCTION("""COMPUTED_VALUE"""),"6º D")</f>
        <v>6º D</v>
      </c>
      <c r="D458" s="212"/>
      <c r="E458" s="213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 t="str">
        <f>IFERROR(__xludf.DUMMYFUNCTION("""COMPUTED_VALUE"""),"")</f>
        <v/>
      </c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</row>
    <row r="459">
      <c r="A459" s="210" t="str">
        <f t="shared" si="1"/>
        <v/>
      </c>
      <c r="B459" s="210">
        <f>IFERROR(__xludf.DUMMYFUNCTION("""COMPUTED_VALUE"""),20.0)</f>
        <v>20</v>
      </c>
      <c r="C459" s="211" t="str">
        <f>IFERROR(__xludf.DUMMYFUNCTION("""COMPUTED_VALUE"""),"6º A")</f>
        <v>6º A</v>
      </c>
      <c r="D459" s="212"/>
      <c r="E459" s="213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 t="str">
        <f>IFERROR(__xludf.DUMMYFUNCTION("""COMPUTED_VALUE"""),"")</f>
        <v/>
      </c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</row>
    <row r="460">
      <c r="A460" s="210" t="str">
        <f t="shared" si="1"/>
        <v/>
      </c>
      <c r="B460" s="210">
        <f>IFERROR(__xludf.DUMMYFUNCTION("""COMPUTED_VALUE"""),20.0)</f>
        <v>20</v>
      </c>
      <c r="C460" s="211" t="str">
        <f>IFERROR(__xludf.DUMMYFUNCTION("""COMPUTED_VALUE"""),"6º B")</f>
        <v>6º B</v>
      </c>
      <c r="D460" s="212"/>
      <c r="E460" s="213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 t="str">
        <f>IFERROR(__xludf.DUMMYFUNCTION("""COMPUTED_VALUE"""),"")</f>
        <v/>
      </c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</row>
    <row r="461">
      <c r="A461" s="210" t="str">
        <f t="shared" si="1"/>
        <v/>
      </c>
      <c r="B461" s="210">
        <f>IFERROR(__xludf.DUMMYFUNCTION("""COMPUTED_VALUE"""),20.0)</f>
        <v>20</v>
      </c>
      <c r="C461" s="211" t="str">
        <f>IFERROR(__xludf.DUMMYFUNCTION("""COMPUTED_VALUE"""),"6º D")</f>
        <v>6º D</v>
      </c>
      <c r="D461" s="212"/>
      <c r="E461" s="213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 t="str">
        <f>IFERROR(__xludf.DUMMYFUNCTION("""COMPUTED_VALUE"""),"")</f>
        <v/>
      </c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</row>
    <row r="462">
      <c r="A462" s="210" t="str">
        <f t="shared" si="1"/>
        <v/>
      </c>
      <c r="B462" s="210">
        <f>IFERROR(__xludf.DUMMYFUNCTION("""COMPUTED_VALUE"""),21.0)</f>
        <v>21</v>
      </c>
      <c r="C462" s="211" t="str">
        <f>IFERROR(__xludf.DUMMYFUNCTION("""COMPUTED_VALUE"""),"6º A")</f>
        <v>6º A</v>
      </c>
      <c r="D462" s="212"/>
      <c r="E462" s="213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 t="str">
        <f>IFERROR(__xludf.DUMMYFUNCTION("""COMPUTED_VALUE"""),"")</f>
        <v/>
      </c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</row>
    <row r="463">
      <c r="A463" s="210" t="str">
        <f t="shared" si="1"/>
        <v/>
      </c>
      <c r="B463" s="210">
        <f>IFERROR(__xludf.DUMMYFUNCTION("""COMPUTED_VALUE"""),21.0)</f>
        <v>21</v>
      </c>
      <c r="C463" s="211" t="str">
        <f>IFERROR(__xludf.DUMMYFUNCTION("""COMPUTED_VALUE"""),"6º B")</f>
        <v>6º B</v>
      </c>
      <c r="D463" s="212"/>
      <c r="E463" s="213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 t="str">
        <f>IFERROR(__xludf.DUMMYFUNCTION("""COMPUTED_VALUE"""),"")</f>
        <v/>
      </c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</row>
    <row r="464">
      <c r="A464" s="210" t="str">
        <f t="shared" si="1"/>
        <v/>
      </c>
      <c r="B464" s="210">
        <f>IFERROR(__xludf.DUMMYFUNCTION("""COMPUTED_VALUE"""),21.0)</f>
        <v>21</v>
      </c>
      <c r="C464" s="211" t="str">
        <f>IFERROR(__xludf.DUMMYFUNCTION("""COMPUTED_VALUE"""),"6º D")</f>
        <v>6º D</v>
      </c>
      <c r="D464" s="212"/>
      <c r="E464" s="213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 t="str">
        <f>IFERROR(__xludf.DUMMYFUNCTION("""COMPUTED_VALUE"""),"")</f>
        <v/>
      </c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</row>
    <row r="465">
      <c r="A465" s="210" t="str">
        <f t="shared" si="1"/>
        <v/>
      </c>
      <c r="B465" s="210">
        <f>IFERROR(__xludf.DUMMYFUNCTION("""COMPUTED_VALUE"""),22.0)</f>
        <v>22</v>
      </c>
      <c r="C465" s="211" t="str">
        <f>IFERROR(__xludf.DUMMYFUNCTION("""COMPUTED_VALUE"""),"6º A")</f>
        <v>6º A</v>
      </c>
      <c r="D465" s="212"/>
      <c r="E465" s="213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 t="str">
        <f>IFERROR(__xludf.DUMMYFUNCTION("""COMPUTED_VALUE"""),"")</f>
        <v/>
      </c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</row>
    <row r="466">
      <c r="A466" s="210" t="str">
        <f t="shared" si="1"/>
        <v/>
      </c>
      <c r="B466" s="210">
        <f>IFERROR(__xludf.DUMMYFUNCTION("""COMPUTED_VALUE"""),22.0)</f>
        <v>22</v>
      </c>
      <c r="C466" s="211" t="str">
        <f>IFERROR(__xludf.DUMMYFUNCTION("""COMPUTED_VALUE"""),"6º B")</f>
        <v>6º B</v>
      </c>
      <c r="D466" s="212"/>
      <c r="E466" s="213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 t="str">
        <f>IFERROR(__xludf.DUMMYFUNCTION("""COMPUTED_VALUE"""),"")</f>
        <v/>
      </c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</row>
    <row r="467">
      <c r="A467" s="210" t="str">
        <f t="shared" si="1"/>
        <v/>
      </c>
      <c r="B467" s="210">
        <f>IFERROR(__xludf.DUMMYFUNCTION("""COMPUTED_VALUE"""),22.0)</f>
        <v>22</v>
      </c>
      <c r="C467" s="211" t="str">
        <f>IFERROR(__xludf.DUMMYFUNCTION("""COMPUTED_VALUE"""),"6º D")</f>
        <v>6º D</v>
      </c>
      <c r="D467" s="212"/>
      <c r="E467" s="213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 t="str">
        <f>IFERROR(__xludf.DUMMYFUNCTION("""COMPUTED_VALUE"""),"")</f>
        <v/>
      </c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</row>
    <row r="468">
      <c r="A468" s="210" t="str">
        <f t="shared" si="1"/>
        <v/>
      </c>
      <c r="B468" s="210">
        <f>IFERROR(__xludf.DUMMYFUNCTION("""COMPUTED_VALUE"""),23.0)</f>
        <v>23</v>
      </c>
      <c r="C468" s="211" t="str">
        <f>IFERROR(__xludf.DUMMYFUNCTION("""COMPUTED_VALUE"""),"6º A")</f>
        <v>6º A</v>
      </c>
      <c r="D468" s="212"/>
      <c r="E468" s="213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 t="str">
        <f>IFERROR(__xludf.DUMMYFUNCTION("""COMPUTED_VALUE"""),"")</f>
        <v/>
      </c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</row>
    <row r="469">
      <c r="A469" s="210" t="str">
        <f t="shared" si="1"/>
        <v/>
      </c>
      <c r="B469" s="210">
        <f>IFERROR(__xludf.DUMMYFUNCTION("""COMPUTED_VALUE"""),23.0)</f>
        <v>23</v>
      </c>
      <c r="C469" s="211" t="str">
        <f>IFERROR(__xludf.DUMMYFUNCTION("""COMPUTED_VALUE"""),"6º B")</f>
        <v>6º B</v>
      </c>
      <c r="D469" s="212"/>
      <c r="E469" s="213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 t="str">
        <f>IFERROR(__xludf.DUMMYFUNCTION("""COMPUTED_VALUE"""),"")</f>
        <v/>
      </c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</row>
    <row r="470">
      <c r="A470" s="210" t="str">
        <f t="shared" si="1"/>
        <v/>
      </c>
      <c r="B470" s="210">
        <f>IFERROR(__xludf.DUMMYFUNCTION("""COMPUTED_VALUE"""),23.0)</f>
        <v>23</v>
      </c>
      <c r="C470" s="211" t="str">
        <f>IFERROR(__xludf.DUMMYFUNCTION("""COMPUTED_VALUE"""),"6º D")</f>
        <v>6º D</v>
      </c>
      <c r="D470" s="212"/>
      <c r="E470" s="213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 t="str">
        <f>IFERROR(__xludf.DUMMYFUNCTION("""COMPUTED_VALUE"""),"")</f>
        <v/>
      </c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</row>
    <row r="471">
      <c r="A471" s="210" t="str">
        <f t="shared" si="1"/>
        <v/>
      </c>
      <c r="B471" s="210">
        <f>IFERROR(__xludf.DUMMYFUNCTION("""COMPUTED_VALUE"""),24.0)</f>
        <v>24</v>
      </c>
      <c r="C471" s="211" t="str">
        <f>IFERROR(__xludf.DUMMYFUNCTION("""COMPUTED_VALUE"""),"6º A")</f>
        <v>6º A</v>
      </c>
      <c r="D471" s="212"/>
      <c r="E471" s="213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 t="str">
        <f>IFERROR(__xludf.DUMMYFUNCTION("""COMPUTED_VALUE"""),"")</f>
        <v/>
      </c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</row>
    <row r="472">
      <c r="A472" s="210" t="str">
        <f t="shared" si="1"/>
        <v/>
      </c>
      <c r="B472" s="210">
        <f>IFERROR(__xludf.DUMMYFUNCTION("""COMPUTED_VALUE"""),24.0)</f>
        <v>24</v>
      </c>
      <c r="C472" s="211" t="str">
        <f>IFERROR(__xludf.DUMMYFUNCTION("""COMPUTED_VALUE"""),"6º B")</f>
        <v>6º B</v>
      </c>
      <c r="D472" s="212"/>
      <c r="E472" s="213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 t="str">
        <f>IFERROR(__xludf.DUMMYFUNCTION("""COMPUTED_VALUE"""),"")</f>
        <v/>
      </c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</row>
    <row r="473">
      <c r="A473" s="210" t="str">
        <f t="shared" si="1"/>
        <v/>
      </c>
      <c r="B473" s="210">
        <f>IFERROR(__xludf.DUMMYFUNCTION("""COMPUTED_VALUE"""),24.0)</f>
        <v>24</v>
      </c>
      <c r="C473" s="211" t="str">
        <f>IFERROR(__xludf.DUMMYFUNCTION("""COMPUTED_VALUE"""),"6º D")</f>
        <v>6º D</v>
      </c>
      <c r="D473" s="212"/>
      <c r="E473" s="213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 t="str">
        <f>IFERROR(__xludf.DUMMYFUNCTION("""COMPUTED_VALUE"""),"")</f>
        <v/>
      </c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</row>
    <row r="474">
      <c r="A474" s="210" t="str">
        <f t="shared" si="1"/>
        <v/>
      </c>
      <c r="B474" s="210">
        <f>IFERROR(__xludf.DUMMYFUNCTION("""COMPUTED_VALUE"""),25.0)</f>
        <v>25</v>
      </c>
      <c r="C474" s="211" t="str">
        <f>IFERROR(__xludf.DUMMYFUNCTION("""COMPUTED_VALUE"""),"6º A")</f>
        <v>6º A</v>
      </c>
      <c r="D474" s="212"/>
      <c r="E474" s="213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 t="str">
        <f>IFERROR(__xludf.DUMMYFUNCTION("""COMPUTED_VALUE"""),"")</f>
        <v/>
      </c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</row>
    <row r="475">
      <c r="A475" s="210" t="str">
        <f t="shared" si="1"/>
        <v/>
      </c>
      <c r="B475" s="210">
        <f>IFERROR(__xludf.DUMMYFUNCTION("""COMPUTED_VALUE"""),25.0)</f>
        <v>25</v>
      </c>
      <c r="C475" s="211" t="str">
        <f>IFERROR(__xludf.DUMMYFUNCTION("""COMPUTED_VALUE"""),"6º B")</f>
        <v>6º B</v>
      </c>
      <c r="D475" s="212"/>
      <c r="E475" s="213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 t="str">
        <f>IFERROR(__xludf.DUMMYFUNCTION("""COMPUTED_VALUE"""),"")</f>
        <v/>
      </c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</row>
    <row r="476">
      <c r="A476" s="210" t="str">
        <f t="shared" si="1"/>
        <v/>
      </c>
      <c r="B476" s="210">
        <f>IFERROR(__xludf.DUMMYFUNCTION("""COMPUTED_VALUE"""),25.0)</f>
        <v>25</v>
      </c>
      <c r="C476" s="211" t="str">
        <f>IFERROR(__xludf.DUMMYFUNCTION("""COMPUTED_VALUE"""),"6º D")</f>
        <v>6º D</v>
      </c>
      <c r="D476" s="212"/>
      <c r="E476" s="213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 t="str">
        <f>IFERROR(__xludf.DUMMYFUNCTION("""COMPUTED_VALUE"""),"")</f>
        <v/>
      </c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</row>
    <row r="477">
      <c r="A477" s="210" t="str">
        <f t="shared" si="1"/>
        <v/>
      </c>
      <c r="B477" s="210">
        <f>IFERROR(__xludf.DUMMYFUNCTION("""COMPUTED_VALUE"""),26.0)</f>
        <v>26</v>
      </c>
      <c r="C477" s="211" t="str">
        <f>IFERROR(__xludf.DUMMYFUNCTION("""COMPUTED_VALUE"""),"6º A")</f>
        <v>6º A</v>
      </c>
      <c r="D477" s="212"/>
      <c r="E477" s="213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 t="str">
        <f>IFERROR(__xludf.DUMMYFUNCTION("""COMPUTED_VALUE"""),"")</f>
        <v/>
      </c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</row>
    <row r="478">
      <c r="A478" s="210" t="str">
        <f t="shared" si="1"/>
        <v/>
      </c>
      <c r="B478" s="210">
        <f>IFERROR(__xludf.DUMMYFUNCTION("""COMPUTED_VALUE"""),26.0)</f>
        <v>26</v>
      </c>
      <c r="C478" s="211" t="str">
        <f>IFERROR(__xludf.DUMMYFUNCTION("""COMPUTED_VALUE"""),"6º B")</f>
        <v>6º B</v>
      </c>
      <c r="D478" s="212"/>
      <c r="E478" s="213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 t="str">
        <f>IFERROR(__xludf.DUMMYFUNCTION("""COMPUTED_VALUE"""),"")</f>
        <v/>
      </c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</row>
    <row r="479">
      <c r="A479" s="210" t="str">
        <f t="shared" si="1"/>
        <v/>
      </c>
      <c r="B479" s="210">
        <f>IFERROR(__xludf.DUMMYFUNCTION("""COMPUTED_VALUE"""),26.0)</f>
        <v>26</v>
      </c>
      <c r="C479" s="211" t="str">
        <f>IFERROR(__xludf.DUMMYFUNCTION("""COMPUTED_VALUE"""),"6º D")</f>
        <v>6º D</v>
      </c>
      <c r="D479" s="212"/>
      <c r="E479" s="213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 t="str">
        <f>IFERROR(__xludf.DUMMYFUNCTION("""COMPUTED_VALUE"""),"")</f>
        <v/>
      </c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</row>
    <row r="480">
      <c r="A480" s="210" t="str">
        <f t="shared" si="1"/>
        <v/>
      </c>
      <c r="B480" s="210">
        <f>IFERROR(__xludf.DUMMYFUNCTION("""COMPUTED_VALUE"""),27.0)</f>
        <v>27</v>
      </c>
      <c r="C480" s="211" t="str">
        <f>IFERROR(__xludf.DUMMYFUNCTION("""COMPUTED_VALUE"""),"6º A")</f>
        <v>6º A</v>
      </c>
      <c r="D480" s="212"/>
      <c r="E480" s="213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 t="str">
        <f>IFERROR(__xludf.DUMMYFUNCTION("""COMPUTED_VALUE"""),"")</f>
        <v/>
      </c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</row>
    <row r="481">
      <c r="A481" s="210" t="str">
        <f t="shared" si="1"/>
        <v/>
      </c>
      <c r="B481" s="210">
        <f>IFERROR(__xludf.DUMMYFUNCTION("""COMPUTED_VALUE"""),27.0)</f>
        <v>27</v>
      </c>
      <c r="C481" s="211" t="str">
        <f>IFERROR(__xludf.DUMMYFUNCTION("""COMPUTED_VALUE"""),"6º B")</f>
        <v>6º B</v>
      </c>
      <c r="D481" s="212"/>
      <c r="E481" s="213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 t="str">
        <f>IFERROR(__xludf.DUMMYFUNCTION("""COMPUTED_VALUE"""),"")</f>
        <v/>
      </c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</row>
    <row r="482">
      <c r="A482" s="210" t="str">
        <f t="shared" si="1"/>
        <v/>
      </c>
      <c r="B482" s="210">
        <f>IFERROR(__xludf.DUMMYFUNCTION("""COMPUTED_VALUE"""),27.0)</f>
        <v>27</v>
      </c>
      <c r="C482" s="211" t="str">
        <f>IFERROR(__xludf.DUMMYFUNCTION("""COMPUTED_VALUE"""),"6º D")</f>
        <v>6º D</v>
      </c>
      <c r="D482" s="212"/>
      <c r="E482" s="213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 t="str">
        <f>IFERROR(__xludf.DUMMYFUNCTION("""COMPUTED_VALUE"""),"")</f>
        <v/>
      </c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</row>
    <row r="483">
      <c r="A483" s="210" t="str">
        <f t="shared" si="1"/>
        <v/>
      </c>
      <c r="B483" s="210">
        <f>IFERROR(__xludf.DUMMYFUNCTION("""COMPUTED_VALUE"""),28.0)</f>
        <v>28</v>
      </c>
      <c r="C483" s="211" t="str">
        <f>IFERROR(__xludf.DUMMYFUNCTION("""COMPUTED_VALUE"""),"6º A")</f>
        <v>6º A</v>
      </c>
      <c r="D483" s="212"/>
      <c r="E483" s="213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 t="str">
        <f>IFERROR(__xludf.DUMMYFUNCTION("""COMPUTED_VALUE"""),"")</f>
        <v/>
      </c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</row>
    <row r="484">
      <c r="A484" s="210" t="str">
        <f t="shared" si="1"/>
        <v/>
      </c>
      <c r="B484" s="210">
        <f>IFERROR(__xludf.DUMMYFUNCTION("""COMPUTED_VALUE"""),28.0)</f>
        <v>28</v>
      </c>
      <c r="C484" s="211" t="str">
        <f>IFERROR(__xludf.DUMMYFUNCTION("""COMPUTED_VALUE"""),"6º B")</f>
        <v>6º B</v>
      </c>
      <c r="D484" s="212"/>
      <c r="E484" s="213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 t="str">
        <f>IFERROR(__xludf.DUMMYFUNCTION("""COMPUTED_VALUE"""),"")</f>
        <v/>
      </c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</row>
    <row r="485">
      <c r="A485" s="210" t="str">
        <f t="shared" si="1"/>
        <v/>
      </c>
      <c r="B485" s="210">
        <f>IFERROR(__xludf.DUMMYFUNCTION("""COMPUTED_VALUE"""),28.0)</f>
        <v>28</v>
      </c>
      <c r="C485" s="211" t="str">
        <f>IFERROR(__xludf.DUMMYFUNCTION("""COMPUTED_VALUE"""),"6º D")</f>
        <v>6º D</v>
      </c>
      <c r="D485" s="212"/>
      <c r="E485" s="213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 t="str">
        <f>IFERROR(__xludf.DUMMYFUNCTION("""COMPUTED_VALUE"""),"")</f>
        <v/>
      </c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</row>
    <row r="486">
      <c r="A486" s="210" t="str">
        <f t="shared" si="1"/>
        <v/>
      </c>
      <c r="B486" s="210">
        <f>IFERROR(__xludf.DUMMYFUNCTION("""COMPUTED_VALUE"""),29.0)</f>
        <v>29</v>
      </c>
      <c r="C486" s="211" t="str">
        <f>IFERROR(__xludf.DUMMYFUNCTION("""COMPUTED_VALUE"""),"6º A")</f>
        <v>6º A</v>
      </c>
      <c r="D486" s="212"/>
      <c r="E486" s="213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 t="str">
        <f>IFERROR(__xludf.DUMMYFUNCTION("""COMPUTED_VALUE"""),"")</f>
        <v/>
      </c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</row>
    <row r="487">
      <c r="A487" s="210" t="str">
        <f t="shared" si="1"/>
        <v/>
      </c>
      <c r="B487" s="210">
        <f>IFERROR(__xludf.DUMMYFUNCTION("""COMPUTED_VALUE"""),29.0)</f>
        <v>29</v>
      </c>
      <c r="C487" s="211" t="str">
        <f>IFERROR(__xludf.DUMMYFUNCTION("""COMPUTED_VALUE"""),"6º B")</f>
        <v>6º B</v>
      </c>
      <c r="D487" s="212"/>
      <c r="E487" s="213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 t="str">
        <f>IFERROR(__xludf.DUMMYFUNCTION("""COMPUTED_VALUE"""),"")</f>
        <v/>
      </c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</row>
    <row r="488">
      <c r="A488" s="210" t="str">
        <f t="shared" si="1"/>
        <v/>
      </c>
      <c r="B488" s="210">
        <f>IFERROR(__xludf.DUMMYFUNCTION("""COMPUTED_VALUE"""),29.0)</f>
        <v>29</v>
      </c>
      <c r="C488" s="211" t="str">
        <f>IFERROR(__xludf.DUMMYFUNCTION("""COMPUTED_VALUE"""),"6º D")</f>
        <v>6º D</v>
      </c>
      <c r="D488" s="212"/>
      <c r="E488" s="213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 t="str">
        <f>IFERROR(__xludf.DUMMYFUNCTION("""COMPUTED_VALUE"""),"")</f>
        <v/>
      </c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</row>
    <row r="489">
      <c r="A489" s="210" t="str">
        <f t="shared" si="1"/>
        <v/>
      </c>
      <c r="B489" s="210">
        <f>IFERROR(__xludf.DUMMYFUNCTION("""COMPUTED_VALUE"""),30.0)</f>
        <v>30</v>
      </c>
      <c r="C489" s="211" t="str">
        <f>IFERROR(__xludf.DUMMYFUNCTION("""COMPUTED_VALUE"""),"6º A")</f>
        <v>6º A</v>
      </c>
      <c r="D489" s="212"/>
      <c r="E489" s="213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 t="str">
        <f>IFERROR(__xludf.DUMMYFUNCTION("""COMPUTED_VALUE"""),"")</f>
        <v/>
      </c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</row>
    <row r="490">
      <c r="A490" s="210" t="str">
        <f t="shared" si="1"/>
        <v/>
      </c>
      <c r="B490" s="210">
        <f>IFERROR(__xludf.DUMMYFUNCTION("""COMPUTED_VALUE"""),30.0)</f>
        <v>30</v>
      </c>
      <c r="C490" s="211" t="str">
        <f>IFERROR(__xludf.DUMMYFUNCTION("""COMPUTED_VALUE"""),"6º B")</f>
        <v>6º B</v>
      </c>
      <c r="D490" s="212"/>
      <c r="E490" s="213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 t="str">
        <f>IFERROR(__xludf.DUMMYFUNCTION("""COMPUTED_VALUE"""),"")</f>
        <v/>
      </c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</row>
    <row r="491">
      <c r="A491" s="210" t="str">
        <f t="shared" si="1"/>
        <v/>
      </c>
      <c r="B491" s="210">
        <f>IFERROR(__xludf.DUMMYFUNCTION("""COMPUTED_VALUE"""),30.0)</f>
        <v>30</v>
      </c>
      <c r="C491" s="211" t="str">
        <f>IFERROR(__xludf.DUMMYFUNCTION("""COMPUTED_VALUE"""),"6º D")</f>
        <v>6º D</v>
      </c>
      <c r="D491" s="212"/>
      <c r="E491" s="213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 t="str">
        <f>IFERROR(__xludf.DUMMYFUNCTION("""COMPUTED_VALUE"""),"")</f>
        <v/>
      </c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</row>
    <row r="492">
      <c r="A492" s="210" t="str">
        <f t="shared" si="1"/>
        <v/>
      </c>
      <c r="B492" s="210"/>
      <c r="C492" s="211"/>
      <c r="D492" s="212"/>
      <c r="E492" s="213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 t="str">
        <f>IFERROR(__xludf.DUMMYFUNCTION("""COMPUTED_VALUE"""),"")</f>
        <v/>
      </c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</row>
    <row r="493">
      <c r="A493" s="210" t="str">
        <f t="shared" si="1"/>
        <v/>
      </c>
      <c r="B493" s="210"/>
      <c r="C493" s="211"/>
      <c r="D493" s="212"/>
      <c r="E493" s="213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 t="str">
        <f>IFERROR(__xludf.DUMMYFUNCTION("""COMPUTED_VALUE"""),"")</f>
        <v/>
      </c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</row>
    <row r="494">
      <c r="A494" s="210" t="str">
        <f t="shared" si="1"/>
        <v/>
      </c>
      <c r="B494" s="210"/>
      <c r="C494" s="211"/>
      <c r="D494" s="212"/>
      <c r="E494" s="213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 t="str">
        <f>IFERROR(__xludf.DUMMYFUNCTION("""COMPUTED_VALUE"""),"")</f>
        <v/>
      </c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</row>
    <row r="495">
      <c r="A495" s="210" t="str">
        <f t="shared" si="1"/>
        <v/>
      </c>
      <c r="B495" s="210"/>
      <c r="C495" s="211"/>
      <c r="D495" s="212"/>
      <c r="E495" s="213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 t="str">
        <f>IFERROR(__xludf.DUMMYFUNCTION("""COMPUTED_VALUE"""),"")</f>
        <v/>
      </c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</row>
    <row r="496">
      <c r="A496" s="210" t="str">
        <f t="shared" si="1"/>
        <v/>
      </c>
      <c r="B496" s="210"/>
      <c r="C496" s="211"/>
      <c r="D496" s="212"/>
      <c r="E496" s="213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 t="str">
        <f>IFERROR(__xludf.DUMMYFUNCTION("""COMPUTED_VALUE"""),"")</f>
        <v/>
      </c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</row>
    <row r="497">
      <c r="A497" s="210" t="str">
        <f t="shared" si="1"/>
        <v/>
      </c>
      <c r="B497" s="210"/>
      <c r="C497" s="211"/>
      <c r="D497" s="212"/>
      <c r="E497" s="213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 t="str">
        <f>IFERROR(__xludf.DUMMYFUNCTION("""COMPUTED_VALUE"""),"")</f>
        <v/>
      </c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</row>
    <row r="498">
      <c r="A498" s="210" t="str">
        <f t="shared" si="1"/>
        <v/>
      </c>
      <c r="B498" s="210"/>
      <c r="C498" s="211"/>
      <c r="D498" s="212"/>
      <c r="E498" s="213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 t="str">
        <f>IFERROR(__xludf.DUMMYFUNCTION("""COMPUTED_VALUE"""),"")</f>
        <v/>
      </c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</row>
    <row r="499">
      <c r="A499" s="210" t="str">
        <f t="shared" si="1"/>
        <v/>
      </c>
      <c r="B499" s="210"/>
      <c r="C499" s="211"/>
      <c r="D499" s="212"/>
      <c r="E499" s="213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 t="str">
        <f>IFERROR(__xludf.DUMMYFUNCTION("""COMPUTED_VALUE"""),"")</f>
        <v/>
      </c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</row>
    <row r="500">
      <c r="A500" s="210" t="str">
        <f t="shared" si="1"/>
        <v/>
      </c>
      <c r="B500" s="210"/>
      <c r="C500" s="211"/>
      <c r="D500" s="212"/>
      <c r="E500" s="213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 t="str">
        <f>IFERROR(__xludf.DUMMYFUNCTION("""COMPUTED_VALUE"""),"")</f>
        <v/>
      </c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</row>
    <row r="501">
      <c r="A501" s="210" t="str">
        <f t="shared" si="1"/>
        <v/>
      </c>
      <c r="B501" s="210"/>
      <c r="C501" s="211"/>
      <c r="D501" s="212"/>
      <c r="E501" s="213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 t="str">
        <f>IFERROR(__xludf.DUMMYFUNCTION("""COMPUTED_VALUE"""),"")</f>
        <v/>
      </c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</row>
    <row r="502">
      <c r="A502" s="210" t="str">
        <f t="shared" si="1"/>
        <v/>
      </c>
      <c r="B502" s="210"/>
      <c r="C502" s="211"/>
      <c r="D502" s="212"/>
      <c r="E502" s="213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 t="str">
        <f>IFERROR(__xludf.DUMMYFUNCTION("""COMPUTED_VALUE"""),"")</f>
        <v/>
      </c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</row>
    <row r="503">
      <c r="A503" s="210" t="str">
        <f t="shared" si="1"/>
        <v/>
      </c>
      <c r="B503" s="210"/>
      <c r="C503" s="211"/>
      <c r="D503" s="212"/>
      <c r="E503" s="213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 t="str">
        <f>IFERROR(__xludf.DUMMYFUNCTION("""COMPUTED_VALUE"""),"")</f>
        <v/>
      </c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</row>
    <row r="504">
      <c r="A504" s="210" t="str">
        <f t="shared" si="1"/>
        <v/>
      </c>
      <c r="B504" s="210"/>
      <c r="C504" s="211"/>
      <c r="D504" s="212"/>
      <c r="E504" s="213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 t="str">
        <f>IFERROR(__xludf.DUMMYFUNCTION("""COMPUTED_VALUE"""),"")</f>
        <v/>
      </c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</row>
    <row r="505">
      <c r="A505" s="210" t="str">
        <f t="shared" si="1"/>
        <v/>
      </c>
      <c r="B505" s="210"/>
      <c r="C505" s="211"/>
      <c r="D505" s="212"/>
      <c r="E505" s="213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 t="str">
        <f>IFERROR(__xludf.DUMMYFUNCTION("""COMPUTED_VALUE"""),"")</f>
        <v/>
      </c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</row>
    <row r="506">
      <c r="A506" s="210" t="str">
        <f t="shared" si="1"/>
        <v/>
      </c>
      <c r="B506" s="210"/>
      <c r="C506" s="211"/>
      <c r="D506" s="212"/>
      <c r="E506" s="213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 t="str">
        <f>IFERROR(__xludf.DUMMYFUNCTION("""COMPUTED_VALUE"""),"")</f>
        <v/>
      </c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</row>
    <row r="507">
      <c r="A507" s="210" t="str">
        <f t="shared" si="1"/>
        <v/>
      </c>
      <c r="B507" s="210"/>
      <c r="C507" s="211"/>
      <c r="D507" s="212"/>
      <c r="E507" s="213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 t="str">
        <f>IFERROR(__xludf.DUMMYFUNCTION("""COMPUTED_VALUE"""),"")</f>
        <v/>
      </c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</row>
    <row r="508">
      <c r="A508" s="210" t="str">
        <f t="shared" si="1"/>
        <v/>
      </c>
      <c r="B508" s="210"/>
      <c r="C508" s="211"/>
      <c r="D508" s="212"/>
      <c r="E508" s="213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 t="str">
        <f>IFERROR(__xludf.DUMMYFUNCTION("""COMPUTED_VALUE"""),"")</f>
        <v/>
      </c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</row>
    <row r="509">
      <c r="A509" s="210" t="str">
        <f t="shared" si="1"/>
        <v/>
      </c>
      <c r="B509" s="210"/>
      <c r="C509" s="211"/>
      <c r="D509" s="212"/>
      <c r="E509" s="213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 t="str">
        <f>IFERROR(__xludf.DUMMYFUNCTION("""COMPUTED_VALUE"""),"")</f>
        <v/>
      </c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</row>
    <row r="510">
      <c r="A510" s="210" t="str">
        <f t="shared" si="1"/>
        <v/>
      </c>
      <c r="B510" s="210"/>
      <c r="C510" s="211"/>
      <c r="D510" s="212"/>
      <c r="E510" s="213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 t="str">
        <f>IFERROR(__xludf.DUMMYFUNCTION("""COMPUTED_VALUE"""),"")</f>
        <v/>
      </c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</row>
    <row r="511">
      <c r="A511" s="210" t="str">
        <f t="shared" si="1"/>
        <v/>
      </c>
      <c r="B511" s="210"/>
      <c r="C511" s="211"/>
      <c r="D511" s="212"/>
      <c r="E511" s="213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 t="str">
        <f>IFERROR(__xludf.DUMMYFUNCTION("""COMPUTED_VALUE"""),"")</f>
        <v/>
      </c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</row>
    <row r="512">
      <c r="A512" s="210" t="str">
        <f t="shared" si="1"/>
        <v/>
      </c>
      <c r="B512" s="210"/>
      <c r="C512" s="211"/>
      <c r="D512" s="212"/>
      <c r="E512" s="213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 t="str">
        <f>IFERROR(__xludf.DUMMYFUNCTION("""COMPUTED_VALUE"""),"")</f>
        <v/>
      </c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</row>
    <row r="513">
      <c r="A513" s="210" t="str">
        <f t="shared" si="1"/>
        <v/>
      </c>
      <c r="B513" s="210"/>
      <c r="C513" s="211"/>
      <c r="D513" s="212"/>
      <c r="E513" s="213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 t="str">
        <f>IFERROR(__xludf.DUMMYFUNCTION("""COMPUTED_VALUE"""),"")</f>
        <v/>
      </c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</row>
    <row r="514">
      <c r="A514" s="210" t="str">
        <f t="shared" si="1"/>
        <v/>
      </c>
      <c r="B514" s="210"/>
      <c r="C514" s="211"/>
      <c r="D514" s="212"/>
      <c r="E514" s="213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 t="str">
        <f>IFERROR(__xludf.DUMMYFUNCTION("""COMPUTED_VALUE"""),"")</f>
        <v/>
      </c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</row>
    <row r="515">
      <c r="A515" s="210" t="str">
        <f t="shared" si="1"/>
        <v/>
      </c>
      <c r="B515" s="210"/>
      <c r="C515" s="211"/>
      <c r="D515" s="212"/>
      <c r="E515" s="213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 t="str">
        <f>IFERROR(__xludf.DUMMYFUNCTION("""COMPUTED_VALUE"""),"")</f>
        <v/>
      </c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</row>
    <row r="516">
      <c r="A516" s="210" t="str">
        <f t="shared" si="1"/>
        <v/>
      </c>
      <c r="B516" s="210"/>
      <c r="C516" s="211"/>
      <c r="D516" s="212"/>
      <c r="E516" s="213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 t="str">
        <f>IFERROR(__xludf.DUMMYFUNCTION("""COMPUTED_VALUE"""),"")</f>
        <v/>
      </c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</row>
    <row r="517">
      <c r="A517" s="210" t="str">
        <f t="shared" si="1"/>
        <v/>
      </c>
      <c r="B517" s="210"/>
      <c r="C517" s="211"/>
      <c r="D517" s="212"/>
      <c r="E517" s="213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 t="str">
        <f>IFERROR(__xludf.DUMMYFUNCTION("""COMPUTED_VALUE"""),"")</f>
        <v/>
      </c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</row>
    <row r="518">
      <c r="A518" s="210" t="str">
        <f t="shared" si="1"/>
        <v/>
      </c>
      <c r="B518" s="210"/>
      <c r="C518" s="211"/>
      <c r="D518" s="212"/>
      <c r="E518" s="213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 t="str">
        <f>IFERROR(__xludf.DUMMYFUNCTION("""COMPUTED_VALUE"""),"")</f>
        <v/>
      </c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</row>
    <row r="519">
      <c r="A519" s="210" t="str">
        <f t="shared" si="1"/>
        <v/>
      </c>
      <c r="B519" s="210"/>
      <c r="C519" s="211"/>
      <c r="D519" s="212"/>
      <c r="E519" s="213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 t="str">
        <f>IFERROR(__xludf.DUMMYFUNCTION("""COMPUTED_VALUE"""),"")</f>
        <v/>
      </c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</row>
    <row r="520">
      <c r="A520" s="210" t="str">
        <f t="shared" si="1"/>
        <v/>
      </c>
      <c r="B520" s="210"/>
      <c r="C520" s="211"/>
      <c r="D520" s="212"/>
      <c r="E520" s="213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 t="str">
        <f>IFERROR(__xludf.DUMMYFUNCTION("""COMPUTED_VALUE"""),"")</f>
        <v/>
      </c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</row>
    <row r="521">
      <c r="A521" s="210" t="str">
        <f t="shared" si="1"/>
        <v/>
      </c>
      <c r="B521" s="210"/>
      <c r="C521" s="211"/>
      <c r="D521" s="212"/>
      <c r="E521" s="213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 t="str">
        <f>IFERROR(__xludf.DUMMYFUNCTION("""COMPUTED_VALUE"""),"")</f>
        <v/>
      </c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</row>
    <row r="522">
      <c r="A522" s="210" t="str">
        <f t="shared" si="1"/>
        <v/>
      </c>
      <c r="B522" s="210"/>
      <c r="C522" s="211"/>
      <c r="D522" s="212"/>
      <c r="E522" s="213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 t="str">
        <f>IFERROR(__xludf.DUMMYFUNCTION("""COMPUTED_VALUE"""),"")</f>
        <v/>
      </c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</row>
    <row r="523">
      <c r="A523" s="210" t="str">
        <f t="shared" si="1"/>
        <v/>
      </c>
      <c r="B523" s="210"/>
      <c r="C523" s="211"/>
      <c r="D523" s="212"/>
      <c r="E523" s="213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 t="str">
        <f>IFERROR(__xludf.DUMMYFUNCTION("""COMPUTED_VALUE"""),"")</f>
        <v/>
      </c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</row>
    <row r="524">
      <c r="A524" s="210" t="str">
        <f t="shared" si="1"/>
        <v/>
      </c>
      <c r="B524" s="210"/>
      <c r="C524" s="211"/>
      <c r="D524" s="212"/>
      <c r="E524" s="213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 t="str">
        <f>IFERROR(__xludf.DUMMYFUNCTION("""COMPUTED_VALUE"""),"")</f>
        <v/>
      </c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</row>
    <row r="525">
      <c r="A525" s="210" t="str">
        <f t="shared" si="1"/>
        <v/>
      </c>
      <c r="B525" s="210"/>
      <c r="C525" s="211"/>
      <c r="D525" s="212"/>
      <c r="E525" s="213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 t="str">
        <f>IFERROR(__xludf.DUMMYFUNCTION("""COMPUTED_VALUE"""),"")</f>
        <v/>
      </c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</row>
    <row r="526">
      <c r="A526" s="210" t="str">
        <f t="shared" si="1"/>
        <v/>
      </c>
      <c r="B526" s="210"/>
      <c r="C526" s="211"/>
      <c r="D526" s="212"/>
      <c r="E526" s="213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 t="str">
        <f>IFERROR(__xludf.DUMMYFUNCTION("""COMPUTED_VALUE"""),"")</f>
        <v/>
      </c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</row>
    <row r="527">
      <c r="A527" s="210" t="str">
        <f t="shared" si="1"/>
        <v/>
      </c>
      <c r="B527" s="210"/>
      <c r="C527" s="211"/>
      <c r="D527" s="212"/>
      <c r="E527" s="213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 t="str">
        <f>IFERROR(__xludf.DUMMYFUNCTION("""COMPUTED_VALUE"""),"")</f>
        <v/>
      </c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</row>
    <row r="528">
      <c r="A528" s="210" t="str">
        <f t="shared" si="1"/>
        <v/>
      </c>
      <c r="B528" s="210"/>
      <c r="C528" s="211"/>
      <c r="D528" s="212"/>
      <c r="E528" s="213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 t="str">
        <f>IFERROR(__xludf.DUMMYFUNCTION("""COMPUTED_VALUE"""),"")</f>
        <v/>
      </c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</row>
    <row r="529">
      <c r="A529" s="210" t="str">
        <f t="shared" si="1"/>
        <v/>
      </c>
      <c r="B529" s="210"/>
      <c r="C529" s="211"/>
      <c r="D529" s="212"/>
      <c r="E529" s="213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 t="str">
        <f>IFERROR(__xludf.DUMMYFUNCTION("""COMPUTED_VALUE"""),"")</f>
        <v/>
      </c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</row>
    <row r="530">
      <c r="A530" s="210" t="str">
        <f t="shared" si="1"/>
        <v/>
      </c>
      <c r="B530" s="210"/>
      <c r="C530" s="211"/>
      <c r="D530" s="212"/>
      <c r="E530" s="213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 t="str">
        <f>IFERROR(__xludf.DUMMYFUNCTION("""COMPUTED_VALUE"""),"")</f>
        <v/>
      </c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</row>
    <row r="531">
      <c r="A531" s="210" t="str">
        <f t="shared" si="1"/>
        <v/>
      </c>
      <c r="B531" s="210"/>
      <c r="C531" s="211"/>
      <c r="D531" s="212"/>
      <c r="E531" s="213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 t="str">
        <f>IFERROR(__xludf.DUMMYFUNCTION("""COMPUTED_VALUE"""),"")</f>
        <v/>
      </c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</row>
    <row r="532">
      <c r="A532" s="210" t="str">
        <f t="shared" si="1"/>
        <v/>
      </c>
      <c r="B532" s="210"/>
      <c r="C532" s="211"/>
      <c r="D532" s="212"/>
      <c r="E532" s="213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 t="str">
        <f>IFERROR(__xludf.DUMMYFUNCTION("""COMPUTED_VALUE"""),"")</f>
        <v/>
      </c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</row>
    <row r="533">
      <c r="A533" s="210" t="str">
        <f t="shared" si="1"/>
        <v/>
      </c>
      <c r="B533" s="210"/>
      <c r="C533" s="211"/>
      <c r="D533" s="212"/>
      <c r="E533" s="213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 t="str">
        <f>IFERROR(__xludf.DUMMYFUNCTION("""COMPUTED_VALUE"""),"")</f>
        <v/>
      </c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</row>
    <row r="534">
      <c r="A534" s="210" t="str">
        <f t="shared" si="1"/>
        <v/>
      </c>
      <c r="B534" s="210"/>
      <c r="C534" s="211"/>
      <c r="D534" s="212"/>
      <c r="E534" s="213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 t="str">
        <f>IFERROR(__xludf.DUMMYFUNCTION("""COMPUTED_VALUE"""),"")</f>
        <v/>
      </c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</row>
    <row r="535">
      <c r="A535" s="210" t="str">
        <f t="shared" si="1"/>
        <v/>
      </c>
      <c r="B535" s="210"/>
      <c r="C535" s="211"/>
      <c r="D535" s="212"/>
      <c r="E535" s="213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 t="str">
        <f>IFERROR(__xludf.DUMMYFUNCTION("""COMPUTED_VALUE"""),"")</f>
        <v/>
      </c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</row>
    <row r="536">
      <c r="A536" s="210" t="str">
        <f t="shared" si="1"/>
        <v/>
      </c>
      <c r="B536" s="210"/>
      <c r="C536" s="211"/>
      <c r="D536" s="212"/>
      <c r="E536" s="213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 t="str">
        <f>IFERROR(__xludf.DUMMYFUNCTION("""COMPUTED_VALUE"""),"")</f>
        <v/>
      </c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</row>
    <row r="537">
      <c r="A537" s="210" t="str">
        <f t="shared" si="1"/>
        <v/>
      </c>
      <c r="B537" s="210"/>
      <c r="C537" s="211"/>
      <c r="D537" s="212"/>
      <c r="E537" s="213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 t="str">
        <f>IFERROR(__xludf.DUMMYFUNCTION("""COMPUTED_VALUE"""),"")</f>
        <v/>
      </c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</row>
    <row r="538">
      <c r="A538" s="210" t="str">
        <f t="shared" si="1"/>
        <v/>
      </c>
      <c r="B538" s="210"/>
      <c r="C538" s="211"/>
      <c r="D538" s="212"/>
      <c r="E538" s="213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 t="str">
        <f>IFERROR(__xludf.DUMMYFUNCTION("""COMPUTED_VALUE"""),"")</f>
        <v/>
      </c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</row>
    <row r="539">
      <c r="A539" s="210" t="str">
        <f t="shared" si="1"/>
        <v/>
      </c>
      <c r="B539" s="210"/>
      <c r="C539" s="211"/>
      <c r="D539" s="212"/>
      <c r="E539" s="213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 t="str">
        <f>IFERROR(__xludf.DUMMYFUNCTION("""COMPUTED_VALUE"""),"")</f>
        <v/>
      </c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</row>
    <row r="540">
      <c r="A540" s="210" t="str">
        <f t="shared" si="1"/>
        <v/>
      </c>
      <c r="B540" s="210"/>
      <c r="C540" s="211"/>
      <c r="D540" s="212"/>
      <c r="E540" s="213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 t="str">
        <f>IFERROR(__xludf.DUMMYFUNCTION("""COMPUTED_VALUE"""),"")</f>
        <v/>
      </c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</row>
    <row r="541">
      <c r="A541" s="210" t="str">
        <f t="shared" si="1"/>
        <v/>
      </c>
      <c r="B541" s="210"/>
      <c r="C541" s="211"/>
      <c r="D541" s="212"/>
      <c r="E541" s="213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 t="str">
        <f>IFERROR(__xludf.DUMMYFUNCTION("""COMPUTED_VALUE"""),"")</f>
        <v/>
      </c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</row>
    <row r="542">
      <c r="A542" s="210" t="str">
        <f t="shared" si="1"/>
        <v/>
      </c>
      <c r="B542" s="210"/>
      <c r="C542" s="211"/>
      <c r="D542" s="212"/>
      <c r="E542" s="213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 t="str">
        <f>IFERROR(__xludf.DUMMYFUNCTION("""COMPUTED_VALUE"""),"")</f>
        <v/>
      </c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</row>
    <row r="543">
      <c r="A543" s="210" t="str">
        <f t="shared" si="1"/>
        <v/>
      </c>
      <c r="B543" s="210"/>
      <c r="C543" s="211"/>
      <c r="D543" s="212"/>
      <c r="E543" s="213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 t="str">
        <f>IFERROR(__xludf.DUMMYFUNCTION("""COMPUTED_VALUE"""),"")</f>
        <v/>
      </c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</row>
    <row r="544">
      <c r="A544" s="210" t="str">
        <f t="shared" si="1"/>
        <v/>
      </c>
      <c r="B544" s="210"/>
      <c r="C544" s="211"/>
      <c r="D544" s="212"/>
      <c r="E544" s="213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 t="str">
        <f>IFERROR(__xludf.DUMMYFUNCTION("""COMPUTED_VALUE"""),"")</f>
        <v/>
      </c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</row>
    <row r="545">
      <c r="A545" s="210" t="str">
        <f t="shared" si="1"/>
        <v/>
      </c>
      <c r="B545" s="210"/>
      <c r="C545" s="211"/>
      <c r="D545" s="212"/>
      <c r="E545" s="213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 t="str">
        <f>IFERROR(__xludf.DUMMYFUNCTION("""COMPUTED_VALUE"""),"")</f>
        <v/>
      </c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</row>
    <row r="546">
      <c r="A546" s="210" t="str">
        <f t="shared" si="1"/>
        <v/>
      </c>
      <c r="B546" s="210"/>
      <c r="C546" s="211"/>
      <c r="D546" s="212"/>
      <c r="E546" s="213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 t="str">
        <f>IFERROR(__xludf.DUMMYFUNCTION("""COMPUTED_VALUE"""),"")</f>
        <v/>
      </c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</row>
    <row r="547">
      <c r="A547" s="210" t="str">
        <f t="shared" si="1"/>
        <v/>
      </c>
      <c r="B547" s="210"/>
      <c r="C547" s="211"/>
      <c r="D547" s="212"/>
      <c r="E547" s="213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 t="str">
        <f>IFERROR(__xludf.DUMMYFUNCTION("""COMPUTED_VALUE"""),"")</f>
        <v/>
      </c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</row>
    <row r="548">
      <c r="A548" s="210" t="str">
        <f t="shared" si="1"/>
        <v/>
      </c>
      <c r="B548" s="210"/>
      <c r="C548" s="211"/>
      <c r="D548" s="212"/>
      <c r="E548" s="213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 t="str">
        <f>IFERROR(__xludf.DUMMYFUNCTION("""COMPUTED_VALUE"""),"")</f>
        <v/>
      </c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</row>
    <row r="549">
      <c r="A549" s="210" t="str">
        <f t="shared" si="1"/>
        <v/>
      </c>
      <c r="B549" s="210"/>
      <c r="C549" s="211"/>
      <c r="D549" s="212"/>
      <c r="E549" s="213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 t="str">
        <f>IFERROR(__xludf.DUMMYFUNCTION("""COMPUTED_VALUE"""),"")</f>
        <v/>
      </c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</row>
    <row r="550">
      <c r="A550" s="210" t="str">
        <f t="shared" si="1"/>
        <v/>
      </c>
      <c r="B550" s="210"/>
      <c r="C550" s="211"/>
      <c r="D550" s="212"/>
      <c r="E550" s="213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 t="str">
        <f>IFERROR(__xludf.DUMMYFUNCTION("""COMPUTED_VALUE"""),"")</f>
        <v/>
      </c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</row>
    <row r="551">
      <c r="A551" s="210" t="str">
        <f t="shared" si="1"/>
        <v/>
      </c>
      <c r="B551" s="210"/>
      <c r="C551" s="211"/>
      <c r="D551" s="212"/>
      <c r="E551" s="213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 t="str">
        <f>IFERROR(__xludf.DUMMYFUNCTION("""COMPUTED_VALUE"""),"")</f>
        <v/>
      </c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</row>
    <row r="552">
      <c r="A552" s="210" t="str">
        <f t="shared" si="1"/>
        <v/>
      </c>
      <c r="B552" s="210"/>
      <c r="C552" s="211"/>
      <c r="D552" s="212"/>
      <c r="E552" s="213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 t="str">
        <f>IFERROR(__xludf.DUMMYFUNCTION("""COMPUTED_VALUE"""),"")</f>
        <v/>
      </c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</row>
    <row r="553">
      <c r="A553" s="210" t="str">
        <f t="shared" si="1"/>
        <v/>
      </c>
      <c r="B553" s="210"/>
      <c r="C553" s="211"/>
      <c r="D553" s="212"/>
      <c r="E553" s="213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 t="str">
        <f>IFERROR(__xludf.DUMMYFUNCTION("""COMPUTED_VALUE"""),"")</f>
        <v/>
      </c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</row>
    <row r="554">
      <c r="A554" s="210" t="str">
        <f t="shared" si="1"/>
        <v/>
      </c>
      <c r="B554" s="210"/>
      <c r="C554" s="211"/>
      <c r="D554" s="212"/>
      <c r="E554" s="213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 t="str">
        <f>IFERROR(__xludf.DUMMYFUNCTION("""COMPUTED_VALUE"""),"")</f>
        <v/>
      </c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</row>
    <row r="555">
      <c r="A555" s="210" t="str">
        <f t="shared" si="1"/>
        <v/>
      </c>
      <c r="B555" s="210"/>
      <c r="C555" s="211"/>
      <c r="D555" s="212"/>
      <c r="E555" s="213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 t="str">
        <f>IFERROR(__xludf.DUMMYFUNCTION("""COMPUTED_VALUE"""),"")</f>
        <v/>
      </c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</row>
    <row r="556">
      <c r="A556" s="210" t="str">
        <f t="shared" si="1"/>
        <v/>
      </c>
      <c r="B556" s="210"/>
      <c r="C556" s="211"/>
      <c r="D556" s="212"/>
      <c r="E556" s="213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 t="str">
        <f>IFERROR(__xludf.DUMMYFUNCTION("""COMPUTED_VALUE"""),"")</f>
        <v/>
      </c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</row>
    <row r="557">
      <c r="A557" s="210" t="str">
        <f t="shared" si="1"/>
        <v/>
      </c>
      <c r="B557" s="210"/>
      <c r="C557" s="211"/>
      <c r="D557" s="212"/>
      <c r="E557" s="213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 t="str">
        <f>IFERROR(__xludf.DUMMYFUNCTION("""COMPUTED_VALUE"""),"")</f>
        <v/>
      </c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</row>
    <row r="558">
      <c r="A558" s="210" t="str">
        <f t="shared" si="1"/>
        <v/>
      </c>
      <c r="B558" s="210"/>
      <c r="C558" s="211"/>
      <c r="D558" s="212"/>
      <c r="E558" s="213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 t="str">
        <f>IFERROR(__xludf.DUMMYFUNCTION("""COMPUTED_VALUE"""),"")</f>
        <v/>
      </c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</row>
    <row r="559">
      <c r="A559" s="210" t="str">
        <f t="shared" si="1"/>
        <v/>
      </c>
      <c r="B559" s="210"/>
      <c r="C559" s="211"/>
      <c r="D559" s="212"/>
      <c r="E559" s="213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 t="str">
        <f>IFERROR(__xludf.DUMMYFUNCTION("""COMPUTED_VALUE"""),"")</f>
        <v/>
      </c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</row>
    <row r="560">
      <c r="A560" s="210" t="str">
        <f t="shared" si="1"/>
        <v/>
      </c>
      <c r="B560" s="210"/>
      <c r="C560" s="211"/>
      <c r="D560" s="212"/>
      <c r="E560" s="213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 t="str">
        <f>IFERROR(__xludf.DUMMYFUNCTION("""COMPUTED_VALUE"""),"")</f>
        <v/>
      </c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</row>
    <row r="561">
      <c r="A561" s="210" t="str">
        <f t="shared" si="1"/>
        <v/>
      </c>
      <c r="B561" s="210"/>
      <c r="C561" s="211"/>
      <c r="D561" s="212"/>
      <c r="E561" s="213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 t="str">
        <f>IFERROR(__xludf.DUMMYFUNCTION("""COMPUTED_VALUE"""),"")</f>
        <v/>
      </c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</row>
    <row r="562">
      <c r="A562" s="210" t="str">
        <f t="shared" si="1"/>
        <v/>
      </c>
      <c r="B562" s="210"/>
      <c r="C562" s="211"/>
      <c r="D562" s="212"/>
      <c r="E562" s="213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 t="str">
        <f>IFERROR(__xludf.DUMMYFUNCTION("""COMPUTED_VALUE"""),"")</f>
        <v/>
      </c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</row>
    <row r="563">
      <c r="A563" s="210" t="str">
        <f t="shared" si="1"/>
        <v/>
      </c>
      <c r="B563" s="210"/>
      <c r="C563" s="211"/>
      <c r="D563" s="212"/>
      <c r="E563" s="213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 t="str">
        <f>IFERROR(__xludf.DUMMYFUNCTION("""COMPUTED_VALUE"""),"")</f>
        <v/>
      </c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</row>
    <row r="564">
      <c r="A564" s="210" t="str">
        <f t="shared" si="1"/>
        <v/>
      </c>
      <c r="B564" s="210"/>
      <c r="C564" s="211"/>
      <c r="D564" s="212"/>
      <c r="E564" s="213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 t="str">
        <f>IFERROR(__xludf.DUMMYFUNCTION("""COMPUTED_VALUE"""),"")</f>
        <v/>
      </c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</row>
    <row r="565">
      <c r="A565" s="210" t="str">
        <f t="shared" si="1"/>
        <v/>
      </c>
      <c r="B565" s="210"/>
      <c r="C565" s="211"/>
      <c r="D565" s="212"/>
      <c r="E565" s="213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 t="str">
        <f>IFERROR(__xludf.DUMMYFUNCTION("""COMPUTED_VALUE"""),"")</f>
        <v/>
      </c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</row>
    <row r="566">
      <c r="A566" s="210" t="str">
        <f t="shared" si="1"/>
        <v/>
      </c>
      <c r="B566" s="210"/>
      <c r="C566" s="211"/>
      <c r="D566" s="212"/>
      <c r="E566" s="213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 t="str">
        <f>IFERROR(__xludf.DUMMYFUNCTION("""COMPUTED_VALUE"""),"")</f>
        <v/>
      </c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</row>
    <row r="567">
      <c r="A567" s="210" t="str">
        <f t="shared" si="1"/>
        <v/>
      </c>
      <c r="B567" s="210"/>
      <c r="C567" s="211"/>
      <c r="D567" s="212"/>
      <c r="E567" s="213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 t="str">
        <f>IFERROR(__xludf.DUMMYFUNCTION("""COMPUTED_VALUE"""),"")</f>
        <v/>
      </c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</row>
    <row r="568">
      <c r="A568" s="210" t="str">
        <f t="shared" si="1"/>
        <v/>
      </c>
      <c r="B568" s="210"/>
      <c r="C568" s="211"/>
      <c r="D568" s="212"/>
      <c r="E568" s="213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 t="str">
        <f>IFERROR(__xludf.DUMMYFUNCTION("""COMPUTED_VALUE"""),"")</f>
        <v/>
      </c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</row>
    <row r="569">
      <c r="A569" s="210" t="str">
        <f t="shared" si="1"/>
        <v/>
      </c>
      <c r="B569" s="210"/>
      <c r="C569" s="211"/>
      <c r="D569" s="212"/>
      <c r="E569" s="213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 t="str">
        <f>IFERROR(__xludf.DUMMYFUNCTION("""COMPUTED_VALUE"""),"")</f>
        <v/>
      </c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</row>
    <row r="570">
      <c r="A570" s="210" t="str">
        <f t="shared" si="1"/>
        <v/>
      </c>
      <c r="B570" s="210"/>
      <c r="C570" s="211"/>
      <c r="D570" s="212"/>
      <c r="E570" s="213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 t="str">
        <f>IFERROR(__xludf.DUMMYFUNCTION("""COMPUTED_VALUE"""),"")</f>
        <v/>
      </c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</row>
    <row r="571">
      <c r="A571" s="210" t="str">
        <f t="shared" si="1"/>
        <v/>
      </c>
      <c r="B571" s="210"/>
      <c r="C571" s="211"/>
      <c r="D571" s="212"/>
      <c r="E571" s="213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</row>
    <row r="572">
      <c r="A572" s="210" t="str">
        <f t="shared" si="1"/>
        <v/>
      </c>
      <c r="B572" s="210"/>
      <c r="C572" s="211"/>
      <c r="D572" s="212"/>
      <c r="E572" s="213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</row>
    <row r="573">
      <c r="A573" s="210" t="str">
        <f t="shared" si="1"/>
        <v/>
      </c>
      <c r="B573" s="210"/>
      <c r="C573" s="211"/>
      <c r="D573" s="212"/>
      <c r="E573" s="213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</row>
    <row r="574">
      <c r="A574" s="210" t="str">
        <f t="shared" si="1"/>
        <v/>
      </c>
      <c r="B574" s="210"/>
      <c r="C574" s="211"/>
      <c r="D574" s="212"/>
      <c r="E574" s="213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</row>
    <row r="575">
      <c r="A575" s="210" t="str">
        <f t="shared" si="1"/>
        <v/>
      </c>
      <c r="B575" s="210"/>
      <c r="C575" s="211"/>
      <c r="D575" s="212"/>
      <c r="E575" s="213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</row>
    <row r="576">
      <c r="A576" s="210" t="str">
        <f t="shared" si="1"/>
        <v/>
      </c>
      <c r="B576" s="210"/>
      <c r="C576" s="211"/>
      <c r="D576" s="212"/>
      <c r="E576" s="213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</row>
    <row r="577">
      <c r="A577" s="210" t="str">
        <f t="shared" si="1"/>
        <v/>
      </c>
      <c r="B577" s="210"/>
      <c r="C577" s="211"/>
      <c r="D577" s="212"/>
      <c r="E577" s="213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</row>
    <row r="578">
      <c r="A578" s="210" t="str">
        <f t="shared" si="1"/>
        <v/>
      </c>
      <c r="B578" s="210"/>
      <c r="C578" s="211"/>
      <c r="D578" s="212"/>
      <c r="E578" s="213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</row>
    <row r="579">
      <c r="A579" s="210" t="str">
        <f t="shared" si="1"/>
        <v/>
      </c>
      <c r="B579" s="210"/>
      <c r="C579" s="211"/>
      <c r="D579" s="212"/>
      <c r="E579" s="213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</row>
    <row r="580">
      <c r="A580" s="210" t="str">
        <f t="shared" si="1"/>
        <v/>
      </c>
      <c r="B580" s="210"/>
      <c r="C580" s="211"/>
      <c r="D580" s="212"/>
      <c r="E580" s="213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</row>
    <row r="581">
      <c r="A581" s="210" t="str">
        <f t="shared" si="1"/>
        <v/>
      </c>
      <c r="B581" s="210"/>
      <c r="C581" s="211"/>
      <c r="D581" s="212"/>
      <c r="E581" s="213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</row>
    <row r="582">
      <c r="A582" s="210" t="str">
        <f t="shared" si="1"/>
        <v/>
      </c>
      <c r="B582" s="210"/>
      <c r="C582" s="211"/>
      <c r="D582" s="212"/>
      <c r="E582" s="213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</row>
    <row r="583">
      <c r="A583" s="210" t="str">
        <f t="shared" si="1"/>
        <v/>
      </c>
      <c r="B583" s="210"/>
      <c r="C583" s="211"/>
      <c r="D583" s="212"/>
      <c r="E583" s="213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</row>
    <row r="584">
      <c r="A584" s="210" t="str">
        <f t="shared" si="1"/>
        <v/>
      </c>
      <c r="B584" s="210"/>
      <c r="C584" s="211"/>
      <c r="D584" s="212"/>
      <c r="E584" s="213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</row>
    <row r="585">
      <c r="A585" s="210" t="str">
        <f t="shared" si="1"/>
        <v/>
      </c>
      <c r="B585" s="210"/>
      <c r="C585" s="211"/>
      <c r="D585" s="212"/>
      <c r="E585" s="213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</row>
    <row r="586">
      <c r="A586" s="210" t="str">
        <f t="shared" si="1"/>
        <v/>
      </c>
      <c r="B586" s="210"/>
      <c r="C586" s="211"/>
      <c r="D586" s="212"/>
      <c r="E586" s="213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</row>
    <row r="587">
      <c r="A587" s="210" t="str">
        <f t="shared" si="1"/>
        <v/>
      </c>
      <c r="B587" s="210"/>
      <c r="C587" s="211"/>
      <c r="D587" s="212"/>
      <c r="E587" s="213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</row>
    <row r="588">
      <c r="A588" s="210" t="str">
        <f t="shared" si="1"/>
        <v/>
      </c>
      <c r="B588" s="210"/>
      <c r="C588" s="211"/>
      <c r="D588" s="212"/>
      <c r="E588" s="213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</row>
    <row r="589">
      <c r="A589" s="210" t="str">
        <f t="shared" si="1"/>
        <v/>
      </c>
      <c r="B589" s="210"/>
      <c r="C589" s="211"/>
      <c r="D589" s="212"/>
      <c r="E589" s="213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</row>
    <row r="590">
      <c r="A590" s="210" t="str">
        <f t="shared" si="1"/>
        <v/>
      </c>
      <c r="B590" s="210"/>
      <c r="C590" s="211"/>
      <c r="D590" s="212"/>
      <c r="E590" s="213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</row>
    <row r="591">
      <c r="A591" s="210" t="str">
        <f t="shared" si="1"/>
        <v/>
      </c>
      <c r="B591" s="210"/>
      <c r="C591" s="211"/>
      <c r="D591" s="212"/>
      <c r="E591" s="213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</row>
    <row r="592">
      <c r="A592" s="210" t="str">
        <f t="shared" si="1"/>
        <v/>
      </c>
      <c r="B592" s="210"/>
      <c r="C592" s="211"/>
      <c r="D592" s="212"/>
      <c r="E592" s="213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</row>
    <row r="593">
      <c r="A593" s="210" t="str">
        <f t="shared" si="1"/>
        <v/>
      </c>
      <c r="B593" s="210"/>
      <c r="C593" s="211"/>
      <c r="D593" s="212"/>
      <c r="E593" s="213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</row>
    <row r="594">
      <c r="A594" s="210" t="str">
        <f t="shared" si="1"/>
        <v/>
      </c>
      <c r="B594" s="210"/>
      <c r="C594" s="211"/>
      <c r="D594" s="212"/>
      <c r="E594" s="213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</row>
    <row r="595">
      <c r="A595" s="210" t="str">
        <f t="shared" si="1"/>
        <v/>
      </c>
      <c r="B595" s="210"/>
      <c r="C595" s="211"/>
      <c r="D595" s="212"/>
      <c r="E595" s="213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</row>
    <row r="596">
      <c r="A596" s="210" t="str">
        <f t="shared" si="1"/>
        <v/>
      </c>
      <c r="B596" s="210"/>
      <c r="C596" s="211"/>
      <c r="D596" s="212"/>
      <c r="E596" s="213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</row>
    <row r="597">
      <c r="A597" s="210" t="str">
        <f t="shared" si="1"/>
        <v/>
      </c>
      <c r="B597" s="210"/>
      <c r="C597" s="211"/>
      <c r="D597" s="212"/>
      <c r="E597" s="213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</row>
    <row r="598">
      <c r="A598" s="210" t="str">
        <f t="shared" si="1"/>
        <v/>
      </c>
      <c r="B598" s="210"/>
      <c r="C598" s="211"/>
      <c r="D598" s="212"/>
      <c r="E598" s="213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</row>
    <row r="599">
      <c r="A599" s="210" t="str">
        <f t="shared" si="1"/>
        <v/>
      </c>
      <c r="B599" s="210"/>
      <c r="C599" s="211"/>
      <c r="D599" s="212"/>
      <c r="E599" s="213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</row>
    <row r="600">
      <c r="A600" s="210" t="str">
        <f t="shared" si="1"/>
        <v/>
      </c>
      <c r="B600" s="210"/>
      <c r="C600" s="211"/>
      <c r="D600" s="212"/>
      <c r="E600" s="213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</row>
    <row r="601">
      <c r="A601" s="210" t="str">
        <f t="shared" si="1"/>
        <v/>
      </c>
      <c r="B601" s="210"/>
      <c r="C601" s="211"/>
      <c r="D601" s="212"/>
      <c r="E601" s="213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</row>
    <row r="602">
      <c r="A602" s="210" t="str">
        <f t="shared" si="1"/>
        <v/>
      </c>
      <c r="B602" s="210"/>
      <c r="C602" s="211"/>
      <c r="D602" s="212"/>
      <c r="E602" s="213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</row>
    <row r="603">
      <c r="A603" s="210" t="str">
        <f t="shared" si="1"/>
        <v/>
      </c>
      <c r="B603" s="210"/>
      <c r="C603" s="211"/>
      <c r="D603" s="212"/>
      <c r="E603" s="213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</row>
    <row r="604">
      <c r="A604" s="210" t="str">
        <f t="shared" si="1"/>
        <v/>
      </c>
      <c r="B604" s="210"/>
      <c r="C604" s="211"/>
      <c r="D604" s="212"/>
      <c r="E604" s="213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</row>
    <row r="605">
      <c r="A605" s="210" t="str">
        <f t="shared" si="1"/>
        <v/>
      </c>
      <c r="B605" s="210"/>
      <c r="C605" s="211"/>
      <c r="D605" s="212"/>
      <c r="E605" s="213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</row>
    <row r="606">
      <c r="A606" s="210" t="str">
        <f t="shared" si="1"/>
        <v/>
      </c>
      <c r="B606" s="210"/>
      <c r="C606" s="211"/>
      <c r="D606" s="212"/>
      <c r="E606" s="213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</row>
    <row r="607">
      <c r="A607" s="210" t="str">
        <f t="shared" si="1"/>
        <v/>
      </c>
      <c r="B607" s="210"/>
      <c r="C607" s="211"/>
      <c r="D607" s="212"/>
      <c r="E607" s="213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</row>
    <row r="608">
      <c r="A608" s="210" t="str">
        <f t="shared" si="1"/>
        <v/>
      </c>
      <c r="B608" s="210"/>
      <c r="C608" s="211"/>
      <c r="D608" s="212"/>
      <c r="E608" s="213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</row>
    <row r="609">
      <c r="A609" s="210" t="str">
        <f t="shared" si="1"/>
        <v/>
      </c>
      <c r="B609" s="210"/>
      <c r="C609" s="211"/>
      <c r="D609" s="212"/>
      <c r="E609" s="213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</row>
    <row r="610">
      <c r="A610" s="210" t="str">
        <f t="shared" si="1"/>
        <v/>
      </c>
      <c r="B610" s="210"/>
      <c r="C610" s="211"/>
      <c r="D610" s="212"/>
      <c r="E610" s="213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</row>
    <row r="611">
      <c r="A611" s="210" t="str">
        <f t="shared" si="1"/>
        <v/>
      </c>
      <c r="B611" s="210"/>
      <c r="C611" s="211"/>
      <c r="D611" s="212"/>
      <c r="E611" s="213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</row>
    <row r="612">
      <c r="A612" s="210" t="str">
        <f t="shared" si="1"/>
        <v/>
      </c>
      <c r="B612" s="210"/>
      <c r="C612" s="211"/>
      <c r="D612" s="212"/>
      <c r="E612" s="213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</row>
    <row r="613">
      <c r="A613" s="210" t="str">
        <f t="shared" si="1"/>
        <v/>
      </c>
      <c r="B613" s="210"/>
      <c r="C613" s="211"/>
      <c r="D613" s="212"/>
      <c r="E613" s="213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</row>
    <row r="614">
      <c r="A614" s="210" t="str">
        <f t="shared" si="1"/>
        <v/>
      </c>
      <c r="B614" s="210"/>
      <c r="C614" s="211"/>
      <c r="D614" s="212"/>
      <c r="E614" s="213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</row>
    <row r="615">
      <c r="A615" s="210" t="str">
        <f t="shared" si="1"/>
        <v/>
      </c>
      <c r="B615" s="210"/>
      <c r="C615" s="211"/>
      <c r="D615" s="212"/>
      <c r="E615" s="213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</row>
    <row r="616">
      <c r="A616" s="210" t="str">
        <f t="shared" si="1"/>
        <v/>
      </c>
      <c r="B616" s="210"/>
      <c r="C616" s="211"/>
      <c r="D616" s="212"/>
      <c r="E616" s="213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</row>
    <row r="617">
      <c r="A617" s="210" t="str">
        <f t="shared" si="1"/>
        <v/>
      </c>
      <c r="B617" s="210"/>
      <c r="C617" s="211"/>
      <c r="D617" s="212"/>
      <c r="E617" s="213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</row>
    <row r="618">
      <c r="A618" s="210" t="str">
        <f t="shared" si="1"/>
        <v/>
      </c>
      <c r="B618" s="210"/>
      <c r="C618" s="211"/>
      <c r="D618" s="212"/>
      <c r="E618" s="213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</row>
    <row r="619">
      <c r="A619" s="210" t="str">
        <f t="shared" si="1"/>
        <v/>
      </c>
      <c r="B619" s="210"/>
      <c r="C619" s="211"/>
      <c r="D619" s="212"/>
      <c r="E619" s="213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</row>
    <row r="620">
      <c r="A620" s="210" t="str">
        <f t="shared" si="1"/>
        <v/>
      </c>
      <c r="B620" s="210"/>
      <c r="C620" s="211"/>
      <c r="D620" s="212"/>
      <c r="E620" s="213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</row>
    <row r="621">
      <c r="A621" s="210" t="str">
        <f t="shared" si="1"/>
        <v/>
      </c>
      <c r="B621" s="210"/>
      <c r="C621" s="211"/>
      <c r="D621" s="212"/>
      <c r="E621" s="213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</row>
    <row r="622">
      <c r="A622" s="210" t="str">
        <f t="shared" si="1"/>
        <v/>
      </c>
      <c r="B622" s="210"/>
      <c r="C622" s="211"/>
      <c r="D622" s="212"/>
      <c r="E622" s="213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</row>
    <row r="623">
      <c r="A623" s="210" t="str">
        <f t="shared" si="1"/>
        <v/>
      </c>
      <c r="B623" s="210"/>
      <c r="C623" s="211"/>
      <c r="D623" s="212"/>
      <c r="E623" s="213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</row>
    <row r="624">
      <c r="A624" s="210" t="str">
        <f t="shared" si="1"/>
        <v/>
      </c>
      <c r="B624" s="210"/>
      <c r="C624" s="211"/>
      <c r="D624" s="212"/>
      <c r="E624" s="213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</row>
    <row r="625">
      <c r="A625" s="210" t="str">
        <f t="shared" si="1"/>
        <v/>
      </c>
      <c r="B625" s="210"/>
      <c r="C625" s="211"/>
      <c r="D625" s="212"/>
      <c r="E625" s="213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</row>
    <row r="626">
      <c r="A626" s="210" t="str">
        <f t="shared" si="1"/>
        <v/>
      </c>
      <c r="B626" s="210"/>
      <c r="C626" s="211"/>
      <c r="D626" s="212"/>
      <c r="E626" s="213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</row>
    <row r="627">
      <c r="A627" s="210" t="str">
        <f t="shared" si="1"/>
        <v/>
      </c>
      <c r="B627" s="210"/>
      <c r="C627" s="211"/>
      <c r="D627" s="212"/>
      <c r="E627" s="213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</row>
    <row r="628">
      <c r="A628" s="210" t="str">
        <f t="shared" si="1"/>
        <v/>
      </c>
      <c r="B628" s="210"/>
      <c r="C628" s="211"/>
      <c r="D628" s="212"/>
      <c r="E628" s="213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</row>
    <row r="629">
      <c r="A629" s="210" t="str">
        <f t="shared" si="1"/>
        <v/>
      </c>
      <c r="B629" s="210"/>
      <c r="C629" s="211"/>
      <c r="D629" s="212"/>
      <c r="E629" s="213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</row>
    <row r="630">
      <c r="A630" s="210" t="str">
        <f t="shared" si="1"/>
        <v/>
      </c>
      <c r="B630" s="210"/>
      <c r="C630" s="211"/>
      <c r="D630" s="212"/>
      <c r="E630" s="213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</row>
    <row r="631">
      <c r="A631" s="210" t="str">
        <f t="shared" si="1"/>
        <v/>
      </c>
      <c r="B631" s="210"/>
      <c r="C631" s="211"/>
      <c r="D631" s="212"/>
      <c r="E631" s="213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</row>
    <row r="632">
      <c r="A632" s="210" t="str">
        <f t="shared" si="1"/>
        <v/>
      </c>
      <c r="B632" s="210"/>
      <c r="C632" s="211"/>
      <c r="D632" s="212"/>
      <c r="E632" s="213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</row>
    <row r="633">
      <c r="A633" s="210" t="str">
        <f t="shared" si="1"/>
        <v/>
      </c>
      <c r="B633" s="210"/>
      <c r="C633" s="211"/>
      <c r="D633" s="212"/>
      <c r="E633" s="213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</row>
    <row r="634">
      <c r="A634" s="210" t="str">
        <f t="shared" si="1"/>
        <v/>
      </c>
      <c r="B634" s="210"/>
      <c r="C634" s="211"/>
      <c r="D634" s="212"/>
      <c r="E634" s="213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</row>
    <row r="635">
      <c r="A635" s="210" t="str">
        <f t="shared" si="1"/>
        <v/>
      </c>
      <c r="B635" s="210"/>
      <c r="C635" s="211"/>
      <c r="D635" s="212"/>
      <c r="E635" s="213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</row>
    <row r="636">
      <c r="A636" s="210" t="str">
        <f t="shared" si="1"/>
        <v/>
      </c>
      <c r="B636" s="210"/>
      <c r="C636" s="211"/>
      <c r="D636" s="212"/>
      <c r="E636" s="213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</row>
    <row r="637">
      <c r="A637" s="210" t="str">
        <f t="shared" si="1"/>
        <v/>
      </c>
      <c r="B637" s="210"/>
      <c r="C637" s="211"/>
      <c r="D637" s="212"/>
      <c r="E637" s="213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</row>
    <row r="638">
      <c r="A638" s="210" t="str">
        <f t="shared" si="1"/>
        <v/>
      </c>
      <c r="B638" s="210"/>
      <c r="C638" s="211"/>
      <c r="D638" s="212"/>
      <c r="E638" s="213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</row>
    <row r="639">
      <c r="A639" s="210" t="str">
        <f t="shared" si="1"/>
        <v/>
      </c>
      <c r="B639" s="210"/>
      <c r="C639" s="211"/>
      <c r="D639" s="212"/>
      <c r="E639" s="213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</row>
    <row r="640">
      <c r="A640" s="210" t="str">
        <f t="shared" si="1"/>
        <v/>
      </c>
      <c r="B640" s="210"/>
      <c r="C640" s="211"/>
      <c r="D640" s="212"/>
      <c r="E640" s="213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</row>
    <row r="641">
      <c r="A641" s="210" t="str">
        <f t="shared" si="1"/>
        <v/>
      </c>
      <c r="B641" s="210"/>
      <c r="C641" s="211"/>
      <c r="D641" s="212"/>
      <c r="E641" s="213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</row>
    <row r="642">
      <c r="A642" s="210" t="str">
        <f t="shared" si="1"/>
        <v/>
      </c>
      <c r="B642" s="210"/>
      <c r="C642" s="211"/>
      <c r="D642" s="212"/>
      <c r="E642" s="213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</row>
    <row r="643">
      <c r="A643" s="210" t="str">
        <f t="shared" si="1"/>
        <v/>
      </c>
      <c r="B643" s="210"/>
      <c r="C643" s="211"/>
      <c r="D643" s="212"/>
      <c r="E643" s="213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</row>
    <row r="644">
      <c r="A644" s="210" t="str">
        <f t="shared" si="1"/>
        <v/>
      </c>
      <c r="B644" s="210"/>
      <c r="C644" s="211"/>
      <c r="D644" s="212"/>
      <c r="E644" s="213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</row>
    <row r="645">
      <c r="A645" s="210" t="str">
        <f t="shared" si="1"/>
        <v/>
      </c>
      <c r="B645" s="210"/>
      <c r="C645" s="211"/>
      <c r="D645" s="212"/>
      <c r="E645" s="213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</row>
    <row r="646">
      <c r="A646" s="210" t="str">
        <f t="shared" si="1"/>
        <v/>
      </c>
      <c r="B646" s="210"/>
      <c r="C646" s="211"/>
      <c r="D646" s="212"/>
      <c r="E646" s="213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</row>
    <row r="647">
      <c r="A647" s="210" t="str">
        <f t="shared" si="1"/>
        <v/>
      </c>
      <c r="B647" s="210"/>
      <c r="C647" s="211"/>
      <c r="D647" s="212"/>
      <c r="E647" s="213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</row>
    <row r="648">
      <c r="A648" s="210" t="str">
        <f t="shared" si="1"/>
        <v/>
      </c>
      <c r="B648" s="210"/>
      <c r="C648" s="211"/>
      <c r="D648" s="212"/>
      <c r="E648" s="213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</row>
    <row r="649">
      <c r="A649" s="210" t="str">
        <f t="shared" si="1"/>
        <v/>
      </c>
      <c r="B649" s="210"/>
      <c r="C649" s="211"/>
      <c r="D649" s="212"/>
      <c r="E649" s="213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</row>
    <row r="650">
      <c r="A650" s="210" t="str">
        <f t="shared" si="1"/>
        <v/>
      </c>
      <c r="B650" s="210"/>
      <c r="C650" s="211"/>
      <c r="D650" s="212"/>
      <c r="E650" s="213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</row>
    <row r="651">
      <c r="A651" s="210" t="str">
        <f t="shared" si="1"/>
        <v/>
      </c>
      <c r="B651" s="210"/>
      <c r="C651" s="211"/>
      <c r="D651" s="212"/>
      <c r="E651" s="213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</row>
    <row r="652">
      <c r="A652" s="210" t="str">
        <f t="shared" si="1"/>
        <v/>
      </c>
      <c r="B652" s="210"/>
      <c r="C652" s="211"/>
      <c r="D652" s="212"/>
      <c r="E652" s="213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</row>
    <row r="653">
      <c r="A653" s="210" t="str">
        <f t="shared" si="1"/>
        <v/>
      </c>
      <c r="B653" s="210"/>
      <c r="C653" s="211"/>
      <c r="D653" s="212"/>
      <c r="E653" s="213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</row>
    <row r="654">
      <c r="A654" s="210" t="str">
        <f t="shared" si="1"/>
        <v/>
      </c>
      <c r="B654" s="210"/>
      <c r="C654" s="211"/>
      <c r="D654" s="212"/>
      <c r="E654" s="213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</row>
    <row r="655">
      <c r="A655" s="210" t="str">
        <f t="shared" si="1"/>
        <v/>
      </c>
      <c r="B655" s="210"/>
      <c r="C655" s="211"/>
      <c r="D655" s="212"/>
      <c r="E655" s="213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</row>
    <row r="656">
      <c r="A656" s="210" t="str">
        <f t="shared" si="1"/>
        <v/>
      </c>
      <c r="B656" s="210"/>
      <c r="C656" s="211"/>
      <c r="D656" s="212"/>
      <c r="E656" s="213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</row>
    <row r="657">
      <c r="A657" s="210" t="str">
        <f t="shared" si="1"/>
        <v/>
      </c>
      <c r="B657" s="210"/>
      <c r="C657" s="211"/>
      <c r="D657" s="212"/>
      <c r="E657" s="213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</row>
    <row r="658">
      <c r="A658" s="210" t="str">
        <f t="shared" si="1"/>
        <v/>
      </c>
      <c r="B658" s="210"/>
      <c r="C658" s="211"/>
      <c r="D658" s="212"/>
      <c r="E658" s="213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</row>
    <row r="659">
      <c r="A659" s="210" t="str">
        <f t="shared" si="1"/>
        <v/>
      </c>
      <c r="B659" s="210"/>
      <c r="C659" s="211"/>
      <c r="D659" s="212"/>
      <c r="E659" s="213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</row>
    <row r="660">
      <c r="A660" s="210" t="str">
        <f t="shared" si="1"/>
        <v/>
      </c>
      <c r="B660" s="210"/>
      <c r="C660" s="211"/>
      <c r="D660" s="212"/>
      <c r="E660" s="213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</row>
    <row r="661">
      <c r="A661" s="210" t="str">
        <f t="shared" si="1"/>
        <v/>
      </c>
      <c r="B661" s="210"/>
      <c r="C661" s="211"/>
      <c r="D661" s="212"/>
      <c r="E661" s="213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</row>
    <row r="662">
      <c r="A662" s="210" t="str">
        <f t="shared" si="1"/>
        <v/>
      </c>
      <c r="B662" s="210"/>
      <c r="C662" s="211"/>
      <c r="D662" s="212"/>
      <c r="E662" s="213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</row>
    <row r="663">
      <c r="A663" s="210" t="str">
        <f t="shared" si="1"/>
        <v/>
      </c>
      <c r="B663" s="210"/>
      <c r="C663" s="211"/>
      <c r="D663" s="212"/>
      <c r="E663" s="213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</row>
    <row r="664">
      <c r="A664" s="210" t="str">
        <f t="shared" si="1"/>
        <v/>
      </c>
      <c r="B664" s="210"/>
      <c r="C664" s="211"/>
      <c r="D664" s="212"/>
      <c r="E664" s="213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</row>
    <row r="665">
      <c r="A665" s="210" t="str">
        <f t="shared" si="1"/>
        <v/>
      </c>
      <c r="B665" s="210"/>
      <c r="C665" s="211"/>
      <c r="D665" s="212"/>
      <c r="E665" s="213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</row>
    <row r="666">
      <c r="A666" s="210" t="str">
        <f t="shared" si="1"/>
        <v/>
      </c>
      <c r="B666" s="210"/>
      <c r="C666" s="211"/>
      <c r="D666" s="212"/>
      <c r="E666" s="213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</row>
    <row r="667">
      <c r="A667" s="210" t="str">
        <f t="shared" si="1"/>
        <v/>
      </c>
      <c r="B667" s="210"/>
      <c r="C667" s="211"/>
      <c r="D667" s="212"/>
      <c r="E667" s="213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</row>
    <row r="668">
      <c r="A668" s="210" t="str">
        <f t="shared" si="1"/>
        <v/>
      </c>
      <c r="B668" s="210"/>
      <c r="C668" s="211"/>
      <c r="D668" s="212"/>
      <c r="E668" s="213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</row>
    <row r="669">
      <c r="A669" s="210" t="str">
        <f t="shared" si="1"/>
        <v/>
      </c>
      <c r="B669" s="210"/>
      <c r="C669" s="211"/>
      <c r="D669" s="212"/>
      <c r="E669" s="213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</row>
    <row r="670">
      <c r="A670" s="210" t="str">
        <f t="shared" si="1"/>
        <v/>
      </c>
      <c r="B670" s="210"/>
      <c r="C670" s="211"/>
      <c r="D670" s="212"/>
      <c r="E670" s="213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</row>
    <row r="671">
      <c r="A671" s="210" t="str">
        <f t="shared" si="1"/>
        <v/>
      </c>
      <c r="B671" s="210"/>
      <c r="C671" s="211"/>
      <c r="D671" s="212"/>
      <c r="E671" s="213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</row>
    <row r="672">
      <c r="A672" s="210" t="str">
        <f t="shared" si="1"/>
        <v/>
      </c>
      <c r="B672" s="210"/>
      <c r="C672" s="211"/>
      <c r="D672" s="212"/>
      <c r="E672" s="213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</row>
    <row r="673">
      <c r="A673" s="210" t="str">
        <f t="shared" si="1"/>
        <v/>
      </c>
      <c r="B673" s="210"/>
      <c r="C673" s="211"/>
      <c r="D673" s="212"/>
      <c r="E673" s="213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</row>
    <row r="674">
      <c r="A674" s="210" t="str">
        <f t="shared" si="1"/>
        <v/>
      </c>
      <c r="B674" s="210"/>
      <c r="C674" s="211"/>
      <c r="D674" s="212"/>
      <c r="E674" s="213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</row>
    <row r="675">
      <c r="A675" s="210" t="str">
        <f t="shared" si="1"/>
        <v/>
      </c>
      <c r="B675" s="210"/>
      <c r="C675" s="211"/>
      <c r="D675" s="212"/>
      <c r="E675" s="213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</row>
    <row r="676">
      <c r="A676" s="210" t="str">
        <f t="shared" si="1"/>
        <v/>
      </c>
      <c r="B676" s="210"/>
      <c r="C676" s="211"/>
      <c r="D676" s="212"/>
      <c r="E676" s="213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</row>
    <row r="677">
      <c r="A677" s="210" t="str">
        <f t="shared" si="1"/>
        <v/>
      </c>
      <c r="B677" s="210"/>
      <c r="C677" s="211"/>
      <c r="D677" s="212"/>
      <c r="E677" s="213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</row>
    <row r="678">
      <c r="A678" s="210" t="str">
        <f t="shared" si="1"/>
        <v/>
      </c>
      <c r="B678" s="210"/>
      <c r="C678" s="211"/>
      <c r="D678" s="212"/>
      <c r="E678" s="213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</row>
    <row r="679">
      <c r="A679" s="210" t="str">
        <f t="shared" si="1"/>
        <v/>
      </c>
      <c r="B679" s="210"/>
      <c r="C679" s="211"/>
      <c r="D679" s="212"/>
      <c r="E679" s="213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</row>
    <row r="680">
      <c r="A680" s="210" t="str">
        <f t="shared" si="1"/>
        <v/>
      </c>
      <c r="B680" s="210"/>
      <c r="C680" s="211"/>
      <c r="D680" s="212"/>
      <c r="E680" s="213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</row>
    <row r="681">
      <c r="A681" s="210" t="str">
        <f t="shared" si="1"/>
        <v/>
      </c>
      <c r="B681" s="210"/>
      <c r="C681" s="211"/>
      <c r="D681" s="212"/>
      <c r="E681" s="213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</row>
    <row r="682">
      <c r="A682" s="210" t="str">
        <f t="shared" si="1"/>
        <v/>
      </c>
      <c r="B682" s="210"/>
      <c r="C682" s="211"/>
      <c r="D682" s="212"/>
      <c r="E682" s="213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</row>
    <row r="683">
      <c r="A683" s="210" t="str">
        <f t="shared" si="1"/>
        <v/>
      </c>
      <c r="B683" s="210"/>
      <c r="C683" s="211"/>
      <c r="D683" s="212"/>
      <c r="E683" s="213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</row>
    <row r="684">
      <c r="A684" s="210" t="str">
        <f t="shared" si="1"/>
        <v/>
      </c>
      <c r="B684" s="210"/>
      <c r="C684" s="211"/>
      <c r="D684" s="212"/>
      <c r="E684" s="213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</row>
    <row r="685">
      <c r="A685" s="210" t="str">
        <f t="shared" si="1"/>
        <v/>
      </c>
      <c r="B685" s="210"/>
      <c r="C685" s="211"/>
      <c r="D685" s="212"/>
      <c r="E685" s="213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</row>
    <row r="686">
      <c r="A686" s="210" t="str">
        <f t="shared" si="1"/>
        <v/>
      </c>
      <c r="B686" s="210"/>
      <c r="C686" s="211"/>
      <c r="D686" s="212"/>
      <c r="E686" s="213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</row>
    <row r="687">
      <c r="A687" s="210" t="str">
        <f t="shared" si="1"/>
        <v/>
      </c>
      <c r="B687" s="210"/>
      <c r="C687" s="211"/>
      <c r="D687" s="212"/>
      <c r="E687" s="213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</row>
    <row r="688">
      <c r="A688" s="210" t="str">
        <f t="shared" si="1"/>
        <v/>
      </c>
      <c r="B688" s="210"/>
      <c r="C688" s="211"/>
      <c r="D688" s="212"/>
      <c r="E688" s="213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</row>
    <row r="689">
      <c r="A689" s="210" t="str">
        <f t="shared" si="1"/>
        <v/>
      </c>
      <c r="B689" s="210"/>
      <c r="C689" s="211"/>
      <c r="D689" s="212"/>
      <c r="E689" s="213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</row>
    <row r="690">
      <c r="A690" s="210" t="str">
        <f t="shared" si="1"/>
        <v/>
      </c>
      <c r="B690" s="210"/>
      <c r="C690" s="211"/>
      <c r="D690" s="212"/>
      <c r="E690" s="213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</row>
    <row r="691">
      <c r="A691" s="210" t="str">
        <f t="shared" si="1"/>
        <v/>
      </c>
      <c r="B691" s="210"/>
      <c r="C691" s="211"/>
      <c r="D691" s="212"/>
      <c r="E691" s="213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</row>
    <row r="692">
      <c r="A692" s="210" t="str">
        <f t="shared" si="1"/>
        <v/>
      </c>
      <c r="B692" s="210"/>
      <c r="C692" s="211"/>
      <c r="D692" s="212"/>
      <c r="E692" s="213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</row>
    <row r="693">
      <c r="A693" s="210" t="str">
        <f t="shared" si="1"/>
        <v/>
      </c>
      <c r="B693" s="210"/>
      <c r="C693" s="211"/>
      <c r="D693" s="212"/>
      <c r="E693" s="213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</row>
    <row r="694">
      <c r="A694" s="210" t="str">
        <f t="shared" si="1"/>
        <v/>
      </c>
      <c r="B694" s="210"/>
      <c r="C694" s="211"/>
      <c r="D694" s="212"/>
      <c r="E694" s="213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</row>
    <row r="695">
      <c r="A695" s="210" t="str">
        <f t="shared" si="1"/>
        <v/>
      </c>
      <c r="B695" s="210"/>
      <c r="C695" s="211"/>
      <c r="D695" s="212"/>
      <c r="E695" s="213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</row>
    <row r="696">
      <c r="A696" s="210" t="str">
        <f t="shared" si="1"/>
        <v/>
      </c>
      <c r="B696" s="210"/>
      <c r="C696" s="211"/>
      <c r="D696" s="212"/>
      <c r="E696" s="213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</row>
    <row r="697">
      <c r="A697" s="210" t="str">
        <f t="shared" si="1"/>
        <v/>
      </c>
      <c r="B697" s="210"/>
      <c r="C697" s="211"/>
      <c r="D697" s="212"/>
      <c r="E697" s="213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</row>
    <row r="698">
      <c r="A698" s="210" t="str">
        <f t="shared" si="1"/>
        <v/>
      </c>
      <c r="B698" s="210"/>
      <c r="C698" s="211"/>
      <c r="D698" s="212"/>
      <c r="E698" s="213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</row>
    <row r="699">
      <c r="A699" s="210" t="str">
        <f t="shared" si="1"/>
        <v/>
      </c>
      <c r="B699" s="210"/>
      <c r="C699" s="211"/>
      <c r="D699" s="212"/>
      <c r="E699" s="213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</row>
    <row r="700">
      <c r="A700" s="210" t="str">
        <f t="shared" si="1"/>
        <v/>
      </c>
      <c r="B700" s="210"/>
      <c r="C700" s="211"/>
      <c r="D700" s="212"/>
      <c r="E700" s="213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</row>
    <row r="701">
      <c r="A701" s="210" t="str">
        <f t="shared" si="1"/>
        <v/>
      </c>
      <c r="B701" s="210"/>
      <c r="C701" s="211"/>
      <c r="D701" s="212"/>
      <c r="E701" s="213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</row>
    <row r="702">
      <c r="A702" s="210" t="str">
        <f t="shared" si="1"/>
        <v/>
      </c>
      <c r="B702" s="210"/>
      <c r="C702" s="211"/>
      <c r="D702" s="212"/>
      <c r="E702" s="213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</row>
    <row r="703">
      <c r="A703" s="210" t="str">
        <f t="shared" si="1"/>
        <v/>
      </c>
      <c r="B703" s="210"/>
      <c r="C703" s="211"/>
      <c r="D703" s="212"/>
      <c r="E703" s="213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</row>
    <row r="704">
      <c r="A704" s="210" t="str">
        <f t="shared" si="1"/>
        <v/>
      </c>
      <c r="B704" s="210"/>
      <c r="C704" s="211"/>
      <c r="D704" s="212"/>
      <c r="E704" s="213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</row>
    <row r="705">
      <c r="A705" s="210" t="str">
        <f t="shared" si="1"/>
        <v/>
      </c>
      <c r="B705" s="210"/>
      <c r="C705" s="211"/>
      <c r="D705" s="212"/>
      <c r="E705" s="213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</row>
    <row r="706">
      <c r="A706" s="210" t="str">
        <f t="shared" si="1"/>
        <v/>
      </c>
      <c r="B706" s="210"/>
      <c r="C706" s="211"/>
      <c r="D706" s="212"/>
      <c r="E706" s="213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</row>
    <row r="707">
      <c r="A707" s="210" t="str">
        <f t="shared" si="1"/>
        <v/>
      </c>
      <c r="B707" s="210"/>
      <c r="C707" s="211"/>
      <c r="D707" s="212"/>
      <c r="E707" s="213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</row>
    <row r="708">
      <c r="A708" s="210" t="str">
        <f t="shared" si="1"/>
        <v/>
      </c>
      <c r="B708" s="210"/>
      <c r="C708" s="211"/>
      <c r="D708" s="212"/>
      <c r="E708" s="213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</row>
    <row r="709">
      <c r="A709" s="210" t="str">
        <f t="shared" si="1"/>
        <v/>
      </c>
      <c r="B709" s="210"/>
      <c r="C709" s="211"/>
      <c r="D709" s="212"/>
      <c r="E709" s="213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</row>
    <row r="710">
      <c r="A710" s="210" t="str">
        <f t="shared" si="1"/>
        <v/>
      </c>
      <c r="B710" s="210"/>
      <c r="C710" s="211"/>
      <c r="D710" s="212"/>
      <c r="E710" s="213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</row>
    <row r="711">
      <c r="A711" s="210" t="str">
        <f t="shared" si="1"/>
        <v/>
      </c>
      <c r="B711" s="210"/>
      <c r="C711" s="211"/>
      <c r="D711" s="212"/>
      <c r="E711" s="213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</row>
    <row r="712">
      <c r="A712" s="210" t="str">
        <f t="shared" si="1"/>
        <v/>
      </c>
      <c r="B712" s="210"/>
      <c r="C712" s="211"/>
      <c r="D712" s="212"/>
      <c r="E712" s="213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</row>
    <row r="713">
      <c r="A713" s="210" t="str">
        <f t="shared" si="1"/>
        <v/>
      </c>
      <c r="B713" s="210"/>
      <c r="C713" s="211"/>
      <c r="D713" s="212"/>
      <c r="E713" s="213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</row>
    <row r="714">
      <c r="A714" s="210" t="str">
        <f t="shared" si="1"/>
        <v/>
      </c>
      <c r="B714" s="210"/>
      <c r="C714" s="211"/>
      <c r="D714" s="212"/>
      <c r="E714" s="213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</row>
    <row r="715">
      <c r="A715" s="210" t="str">
        <f t="shared" si="1"/>
        <v/>
      </c>
      <c r="B715" s="210"/>
      <c r="C715" s="211"/>
      <c r="D715" s="212"/>
      <c r="E715" s="213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</row>
    <row r="716">
      <c r="A716" s="210" t="str">
        <f t="shared" si="1"/>
        <v/>
      </c>
      <c r="B716" s="210"/>
      <c r="C716" s="211"/>
      <c r="D716" s="212"/>
      <c r="E716" s="213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</row>
    <row r="717">
      <c r="A717" s="210" t="str">
        <f t="shared" si="1"/>
        <v/>
      </c>
      <c r="B717" s="210"/>
      <c r="C717" s="211"/>
      <c r="D717" s="212"/>
      <c r="E717" s="213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</row>
    <row r="718">
      <c r="A718" s="210" t="str">
        <f t="shared" si="1"/>
        <v/>
      </c>
      <c r="B718" s="210"/>
      <c r="C718" s="211"/>
      <c r="D718" s="212"/>
      <c r="E718" s="213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</row>
    <row r="719">
      <c r="A719" s="210" t="str">
        <f t="shared" si="1"/>
        <v/>
      </c>
      <c r="B719" s="210"/>
      <c r="C719" s="211"/>
      <c r="D719" s="212"/>
      <c r="E719" s="213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</row>
    <row r="720">
      <c r="A720" s="210" t="str">
        <f t="shared" si="1"/>
        <v/>
      </c>
      <c r="B720" s="210"/>
      <c r="C720" s="211"/>
      <c r="D720" s="212"/>
      <c r="E720" s="213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</row>
    <row r="721">
      <c r="A721" s="210" t="str">
        <f t="shared" si="1"/>
        <v/>
      </c>
      <c r="B721" s="210"/>
      <c r="C721" s="211"/>
      <c r="D721" s="212"/>
      <c r="E721" s="213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</row>
    <row r="722">
      <c r="A722" s="210" t="str">
        <f t="shared" si="1"/>
        <v/>
      </c>
      <c r="B722" s="210"/>
      <c r="C722" s="211"/>
      <c r="D722" s="212"/>
      <c r="E722" s="213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</row>
    <row r="723">
      <c r="A723" s="210" t="str">
        <f t="shared" si="1"/>
        <v/>
      </c>
      <c r="B723" s="210"/>
      <c r="C723" s="211"/>
      <c r="D723" s="212"/>
      <c r="E723" s="213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</row>
    <row r="724">
      <c r="A724" s="210" t="str">
        <f t="shared" si="1"/>
        <v/>
      </c>
      <c r="B724" s="210"/>
      <c r="C724" s="211"/>
      <c r="D724" s="212"/>
      <c r="E724" s="213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</row>
    <row r="725">
      <c r="A725" s="210" t="str">
        <f t="shared" si="1"/>
        <v/>
      </c>
      <c r="B725" s="210"/>
      <c r="C725" s="211"/>
      <c r="D725" s="212"/>
      <c r="E725" s="213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</row>
    <row r="726">
      <c r="A726" s="210" t="str">
        <f t="shared" si="1"/>
        <v/>
      </c>
      <c r="B726" s="210"/>
      <c r="C726" s="211"/>
      <c r="D726" s="212"/>
      <c r="E726" s="213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</row>
    <row r="727">
      <c r="A727" s="210" t="str">
        <f t="shared" si="1"/>
        <v/>
      </c>
      <c r="B727" s="210"/>
      <c r="C727" s="211"/>
      <c r="D727" s="212"/>
      <c r="E727" s="213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</row>
    <row r="728">
      <c r="A728" s="210" t="str">
        <f t="shared" si="1"/>
        <v/>
      </c>
      <c r="B728" s="210"/>
      <c r="C728" s="211"/>
      <c r="D728" s="212"/>
      <c r="E728" s="213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</row>
    <row r="729">
      <c r="A729" s="210" t="str">
        <f t="shared" si="1"/>
        <v/>
      </c>
      <c r="B729" s="210"/>
      <c r="C729" s="211"/>
      <c r="D729" s="212"/>
      <c r="E729" s="213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</row>
    <row r="730">
      <c r="A730" s="210" t="str">
        <f t="shared" si="1"/>
        <v/>
      </c>
      <c r="B730" s="210"/>
      <c r="C730" s="211"/>
      <c r="D730" s="212"/>
      <c r="E730" s="213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</row>
    <row r="731">
      <c r="A731" s="210" t="str">
        <f t="shared" si="1"/>
        <v/>
      </c>
      <c r="B731" s="210"/>
      <c r="C731" s="211"/>
      <c r="D731" s="212"/>
      <c r="E731" s="213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</row>
    <row r="732">
      <c r="A732" s="210" t="str">
        <f t="shared" si="1"/>
        <v/>
      </c>
      <c r="B732" s="210"/>
      <c r="C732" s="211"/>
      <c r="D732" s="212"/>
      <c r="E732" s="213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</row>
    <row r="733">
      <c r="A733" s="210" t="str">
        <f t="shared" si="1"/>
        <v/>
      </c>
      <c r="B733" s="210"/>
      <c r="C733" s="211"/>
      <c r="D733" s="212"/>
      <c r="E733" s="213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</row>
    <row r="734">
      <c r="A734" s="210" t="str">
        <f t="shared" si="1"/>
        <v/>
      </c>
      <c r="B734" s="210"/>
      <c r="C734" s="211"/>
      <c r="D734" s="212"/>
      <c r="E734" s="213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</row>
    <row r="735">
      <c r="A735" s="210" t="str">
        <f t="shared" si="1"/>
        <v/>
      </c>
      <c r="B735" s="210"/>
      <c r="C735" s="211"/>
      <c r="D735" s="212"/>
      <c r="E735" s="213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</row>
    <row r="736">
      <c r="A736" s="210" t="str">
        <f t="shared" si="1"/>
        <v/>
      </c>
      <c r="B736" s="210"/>
      <c r="C736" s="211"/>
      <c r="D736" s="212"/>
      <c r="E736" s="213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</row>
    <row r="737">
      <c r="A737" s="210" t="str">
        <f t="shared" si="1"/>
        <v/>
      </c>
      <c r="B737" s="210"/>
      <c r="C737" s="211"/>
      <c r="D737" s="212"/>
      <c r="E737" s="213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</row>
    <row r="738">
      <c r="A738" s="210" t="str">
        <f t="shared" si="1"/>
        <v/>
      </c>
      <c r="B738" s="210"/>
      <c r="C738" s="211"/>
      <c r="D738" s="212"/>
      <c r="E738" s="213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</row>
    <row r="739">
      <c r="A739" s="210" t="str">
        <f t="shared" si="1"/>
        <v/>
      </c>
      <c r="B739" s="210"/>
      <c r="C739" s="211"/>
      <c r="D739" s="212"/>
      <c r="E739" s="213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</row>
    <row r="740">
      <c r="A740" s="210" t="str">
        <f t="shared" si="1"/>
        <v/>
      </c>
      <c r="B740" s="210"/>
      <c r="C740" s="211"/>
      <c r="D740" s="212"/>
      <c r="E740" s="213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</row>
    <row r="741">
      <c r="A741" s="210" t="str">
        <f t="shared" si="1"/>
        <v/>
      </c>
      <c r="B741" s="210"/>
      <c r="C741" s="211"/>
      <c r="D741" s="212"/>
      <c r="E741" s="213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</row>
    <row r="742">
      <c r="A742" s="210" t="str">
        <f t="shared" si="1"/>
        <v/>
      </c>
      <c r="B742" s="210"/>
      <c r="C742" s="211"/>
      <c r="D742" s="212"/>
      <c r="E742" s="213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</row>
    <row r="743">
      <c r="A743" s="210" t="str">
        <f t="shared" si="1"/>
        <v/>
      </c>
      <c r="B743" s="210"/>
      <c r="C743" s="211"/>
      <c r="D743" s="212"/>
      <c r="E743" s="213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</row>
    <row r="744">
      <c r="A744" s="210" t="str">
        <f t="shared" si="1"/>
        <v/>
      </c>
      <c r="B744" s="210"/>
      <c r="C744" s="211"/>
      <c r="D744" s="212"/>
      <c r="E744" s="213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</row>
    <row r="745">
      <c r="A745" s="210" t="str">
        <f t="shared" si="1"/>
        <v/>
      </c>
      <c r="B745" s="210"/>
      <c r="C745" s="211"/>
      <c r="D745" s="212"/>
      <c r="E745" s="213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</row>
    <row r="746">
      <c r="A746" s="210" t="str">
        <f t="shared" si="1"/>
        <v/>
      </c>
      <c r="B746" s="210"/>
      <c r="C746" s="211"/>
      <c r="D746" s="212"/>
      <c r="E746" s="213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</row>
    <row r="747">
      <c r="A747" s="210" t="str">
        <f t="shared" si="1"/>
        <v/>
      </c>
      <c r="B747" s="210"/>
      <c r="C747" s="211"/>
      <c r="D747" s="212"/>
      <c r="E747" s="213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</row>
    <row r="748">
      <c r="A748" s="210" t="str">
        <f t="shared" si="1"/>
        <v/>
      </c>
      <c r="B748" s="210"/>
      <c r="C748" s="211"/>
      <c r="D748" s="212"/>
      <c r="E748" s="213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</row>
    <row r="749">
      <c r="A749" s="210" t="str">
        <f t="shared" si="1"/>
        <v/>
      </c>
      <c r="B749" s="210"/>
      <c r="C749" s="211"/>
      <c r="D749" s="212"/>
      <c r="E749" s="213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</row>
    <row r="750">
      <c r="A750" s="210" t="str">
        <f t="shared" si="1"/>
        <v/>
      </c>
      <c r="B750" s="210"/>
      <c r="C750" s="211"/>
      <c r="D750" s="212"/>
      <c r="E750" s="213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</row>
    <row r="751">
      <c r="A751" s="210" t="str">
        <f t="shared" si="1"/>
        <v/>
      </c>
      <c r="B751" s="210"/>
      <c r="C751" s="211"/>
      <c r="D751" s="212"/>
      <c r="E751" s="213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</row>
    <row r="752">
      <c r="A752" s="210" t="str">
        <f t="shared" si="1"/>
        <v/>
      </c>
      <c r="B752" s="210"/>
      <c r="C752" s="211"/>
      <c r="D752" s="212"/>
      <c r="E752" s="213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</row>
    <row r="753">
      <c r="A753" s="210" t="str">
        <f t="shared" si="1"/>
        <v/>
      </c>
      <c r="B753" s="210"/>
      <c r="C753" s="211"/>
      <c r="D753" s="212"/>
      <c r="E753" s="213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</row>
    <row r="754">
      <c r="A754" s="210" t="str">
        <f t="shared" si="1"/>
        <v/>
      </c>
      <c r="B754" s="210"/>
      <c r="C754" s="211"/>
      <c r="D754" s="212"/>
      <c r="E754" s="213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</row>
    <row r="755">
      <c r="A755" s="210" t="str">
        <f t="shared" si="1"/>
        <v/>
      </c>
      <c r="B755" s="210"/>
      <c r="C755" s="211"/>
      <c r="D755" s="212"/>
      <c r="E755" s="213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</row>
    <row r="756">
      <c r="A756" s="210" t="str">
        <f t="shared" si="1"/>
        <v/>
      </c>
      <c r="B756" s="210"/>
      <c r="C756" s="211"/>
      <c r="D756" s="212"/>
      <c r="E756" s="213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</row>
    <row r="757">
      <c r="A757" s="210" t="str">
        <f t="shared" si="1"/>
        <v/>
      </c>
      <c r="B757" s="210"/>
      <c r="C757" s="211"/>
      <c r="D757" s="212"/>
      <c r="E757" s="213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</row>
    <row r="758">
      <c r="A758" s="210" t="str">
        <f t="shared" si="1"/>
        <v/>
      </c>
      <c r="B758" s="210"/>
      <c r="C758" s="211"/>
      <c r="D758" s="212"/>
      <c r="E758" s="213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</row>
    <row r="759">
      <c r="A759" s="210" t="str">
        <f t="shared" si="1"/>
        <v/>
      </c>
      <c r="B759" s="210"/>
      <c r="C759" s="211"/>
      <c r="D759" s="212"/>
      <c r="E759" s="213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</row>
    <row r="760">
      <c r="A760" s="210" t="str">
        <f t="shared" si="1"/>
        <v/>
      </c>
      <c r="B760" s="210"/>
      <c r="C760" s="211"/>
      <c r="D760" s="212"/>
      <c r="E760" s="213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</row>
    <row r="761">
      <c r="A761" s="210" t="str">
        <f t="shared" si="1"/>
        <v/>
      </c>
      <c r="B761" s="210"/>
      <c r="C761" s="211"/>
      <c r="D761" s="212"/>
      <c r="E761" s="213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</row>
    <row r="762">
      <c r="A762" s="210" t="str">
        <f t="shared" si="1"/>
        <v/>
      </c>
      <c r="B762" s="210"/>
      <c r="C762" s="211"/>
      <c r="D762" s="212"/>
      <c r="E762" s="213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</row>
    <row r="763">
      <c r="A763" s="210" t="str">
        <f t="shared" si="1"/>
        <v/>
      </c>
      <c r="B763" s="210"/>
      <c r="C763" s="211"/>
      <c r="D763" s="212"/>
      <c r="E763" s="213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</row>
    <row r="764">
      <c r="A764" s="210" t="str">
        <f t="shared" si="1"/>
        <v/>
      </c>
      <c r="B764" s="210"/>
      <c r="C764" s="211"/>
      <c r="D764" s="212"/>
      <c r="E764" s="213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</row>
    <row r="765">
      <c r="A765" s="210" t="str">
        <f t="shared" si="1"/>
        <v/>
      </c>
      <c r="B765" s="210"/>
      <c r="C765" s="211"/>
      <c r="D765" s="212"/>
      <c r="E765" s="213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</row>
    <row r="766">
      <c r="A766" s="210" t="str">
        <f t="shared" si="1"/>
        <v/>
      </c>
      <c r="B766" s="210"/>
      <c r="C766" s="211"/>
      <c r="D766" s="212"/>
      <c r="E766" s="213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</row>
    <row r="767">
      <c r="A767" s="210" t="str">
        <f t="shared" si="1"/>
        <v/>
      </c>
      <c r="B767" s="210"/>
      <c r="C767" s="211"/>
      <c r="D767" s="212"/>
      <c r="E767" s="213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</row>
    <row r="768">
      <c r="A768" s="210" t="str">
        <f t="shared" si="1"/>
        <v/>
      </c>
      <c r="B768" s="210"/>
      <c r="C768" s="211"/>
      <c r="D768" s="212"/>
      <c r="E768" s="213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</row>
    <row r="769">
      <c r="A769" s="210" t="str">
        <f t="shared" si="1"/>
        <v/>
      </c>
      <c r="B769" s="210"/>
      <c r="C769" s="211"/>
      <c r="D769" s="212"/>
      <c r="E769" s="213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</row>
    <row r="770">
      <c r="A770" s="210" t="str">
        <f t="shared" si="1"/>
        <v/>
      </c>
      <c r="B770" s="210"/>
      <c r="C770" s="211"/>
      <c r="D770" s="212"/>
      <c r="E770" s="213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</row>
    <row r="771">
      <c r="A771" s="210" t="str">
        <f t="shared" si="1"/>
        <v/>
      </c>
      <c r="B771" s="210"/>
      <c r="C771" s="211"/>
      <c r="D771" s="212"/>
      <c r="E771" s="213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</row>
    <row r="772">
      <c r="A772" s="210" t="str">
        <f t="shared" si="1"/>
        <v/>
      </c>
      <c r="B772" s="210"/>
      <c r="C772" s="211"/>
      <c r="D772" s="212"/>
      <c r="E772" s="213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</row>
    <row r="773">
      <c r="A773" s="210" t="str">
        <f t="shared" si="1"/>
        <v/>
      </c>
      <c r="B773" s="210"/>
      <c r="C773" s="211"/>
      <c r="D773" s="212"/>
      <c r="E773" s="213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</row>
    <row r="774">
      <c r="A774" s="210" t="str">
        <f t="shared" si="1"/>
        <v/>
      </c>
      <c r="B774" s="210"/>
      <c r="C774" s="211"/>
      <c r="D774" s="212"/>
      <c r="E774" s="213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</row>
    <row r="775">
      <c r="A775" s="210" t="str">
        <f t="shared" si="1"/>
        <v/>
      </c>
      <c r="B775" s="210"/>
      <c r="C775" s="211"/>
      <c r="D775" s="212"/>
      <c r="E775" s="213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</row>
    <row r="776">
      <c r="A776" s="210" t="str">
        <f t="shared" si="1"/>
        <v/>
      </c>
      <c r="B776" s="210"/>
      <c r="C776" s="211"/>
      <c r="D776" s="212"/>
      <c r="E776" s="213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</row>
    <row r="777">
      <c r="A777" s="210" t="str">
        <f t="shared" si="1"/>
        <v/>
      </c>
      <c r="B777" s="210"/>
      <c r="C777" s="211"/>
      <c r="D777" s="212"/>
      <c r="E777" s="213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</row>
    <row r="778">
      <c r="A778" s="210" t="str">
        <f t="shared" si="1"/>
        <v/>
      </c>
      <c r="B778" s="210"/>
      <c r="C778" s="211"/>
      <c r="D778" s="212"/>
      <c r="E778" s="213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</row>
    <row r="779">
      <c r="A779" s="210" t="str">
        <f t="shared" si="1"/>
        <v/>
      </c>
      <c r="B779" s="210"/>
      <c r="C779" s="211"/>
      <c r="D779" s="212"/>
      <c r="E779" s="213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</row>
    <row r="780">
      <c r="A780" s="210" t="str">
        <f t="shared" si="1"/>
        <v/>
      </c>
      <c r="B780" s="210"/>
      <c r="C780" s="211"/>
      <c r="D780" s="212"/>
      <c r="E780" s="213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</row>
    <row r="781">
      <c r="A781" s="210" t="str">
        <f t="shared" si="1"/>
        <v/>
      </c>
      <c r="B781" s="210"/>
      <c r="C781" s="211"/>
      <c r="D781" s="212"/>
      <c r="E781" s="213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</row>
    <row r="782">
      <c r="A782" s="210" t="str">
        <f t="shared" si="1"/>
        <v/>
      </c>
      <c r="B782" s="210"/>
      <c r="C782" s="211"/>
      <c r="D782" s="212"/>
      <c r="E782" s="213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</row>
    <row r="783">
      <c r="A783" s="210" t="str">
        <f t="shared" si="1"/>
        <v/>
      </c>
      <c r="B783" s="210"/>
      <c r="C783" s="211"/>
      <c r="D783" s="212"/>
      <c r="E783" s="213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</row>
    <row r="784">
      <c r="A784" s="210" t="str">
        <f t="shared" si="1"/>
        <v/>
      </c>
      <c r="B784" s="210"/>
      <c r="C784" s="211"/>
      <c r="D784" s="212"/>
      <c r="E784" s="213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</row>
    <row r="785">
      <c r="A785" s="210" t="str">
        <f t="shared" si="1"/>
        <v/>
      </c>
      <c r="B785" s="210"/>
      <c r="C785" s="211"/>
      <c r="D785" s="212"/>
      <c r="E785" s="213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</row>
    <row r="786">
      <c r="A786" s="210" t="str">
        <f t="shared" si="1"/>
        <v/>
      </c>
      <c r="B786" s="210"/>
      <c r="C786" s="211"/>
      <c r="D786" s="212"/>
      <c r="E786" s="213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</row>
    <row r="787">
      <c r="A787" s="210" t="str">
        <f t="shared" si="1"/>
        <v/>
      </c>
      <c r="B787" s="210"/>
      <c r="C787" s="211"/>
      <c r="D787" s="212"/>
      <c r="E787" s="213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</row>
    <row r="788">
      <c r="A788" s="210" t="str">
        <f t="shared" si="1"/>
        <v/>
      </c>
      <c r="B788" s="210"/>
      <c r="C788" s="211"/>
      <c r="D788" s="212"/>
      <c r="E788" s="213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</row>
    <row r="789">
      <c r="A789" s="210" t="str">
        <f t="shared" si="1"/>
        <v/>
      </c>
      <c r="B789" s="210"/>
      <c r="C789" s="211"/>
      <c r="D789" s="212"/>
      <c r="E789" s="213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</row>
    <row r="790">
      <c r="A790" s="210" t="str">
        <f t="shared" si="1"/>
        <v/>
      </c>
      <c r="B790" s="210"/>
      <c r="C790" s="211"/>
      <c r="D790" s="212"/>
      <c r="E790" s="213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</row>
    <row r="791">
      <c r="A791" s="210" t="str">
        <f t="shared" si="1"/>
        <v/>
      </c>
      <c r="B791" s="210"/>
      <c r="C791" s="211"/>
      <c r="D791" s="212"/>
      <c r="E791" s="213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</row>
    <row r="792">
      <c r="A792" s="210" t="str">
        <f t="shared" si="1"/>
        <v/>
      </c>
      <c r="B792" s="210"/>
      <c r="C792" s="211"/>
      <c r="D792" s="212"/>
      <c r="E792" s="213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</row>
    <row r="793">
      <c r="A793" s="210" t="str">
        <f t="shared" si="1"/>
        <v/>
      </c>
      <c r="B793" s="210"/>
      <c r="C793" s="211"/>
      <c r="D793" s="212"/>
      <c r="E793" s="213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</row>
    <row r="794">
      <c r="A794" s="210" t="str">
        <f t="shared" si="1"/>
        <v/>
      </c>
      <c r="B794" s="210"/>
      <c r="C794" s="211"/>
      <c r="D794" s="212"/>
      <c r="E794" s="213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</row>
    <row r="795">
      <c r="A795" s="210" t="str">
        <f t="shared" si="1"/>
        <v/>
      </c>
      <c r="B795" s="210"/>
      <c r="C795" s="211"/>
      <c r="D795" s="212"/>
      <c r="E795" s="213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</row>
    <row r="796">
      <c r="A796" s="210" t="str">
        <f t="shared" si="1"/>
        <v/>
      </c>
      <c r="B796" s="210"/>
      <c r="C796" s="211"/>
      <c r="D796" s="212"/>
      <c r="E796" s="213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</row>
    <row r="797">
      <c r="A797" s="210" t="str">
        <f t="shared" si="1"/>
        <v/>
      </c>
      <c r="B797" s="210"/>
      <c r="C797" s="211"/>
      <c r="D797" s="212"/>
      <c r="E797" s="213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</row>
    <row r="798">
      <c r="A798" s="210" t="str">
        <f t="shared" si="1"/>
        <v/>
      </c>
      <c r="B798" s="210"/>
      <c r="C798" s="211"/>
      <c r="D798" s="212"/>
      <c r="E798" s="213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</row>
    <row r="799">
      <c r="A799" s="210" t="str">
        <f t="shared" si="1"/>
        <v/>
      </c>
      <c r="B799" s="210"/>
      <c r="C799" s="211"/>
      <c r="D799" s="212"/>
      <c r="E799" s="213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</row>
    <row r="800">
      <c r="A800" s="210" t="str">
        <f t="shared" si="1"/>
        <v/>
      </c>
      <c r="B800" s="210"/>
      <c r="C800" s="211"/>
      <c r="D800" s="212"/>
      <c r="E800" s="213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</row>
    <row r="801">
      <c r="A801" s="210" t="str">
        <f t="shared" si="1"/>
        <v/>
      </c>
      <c r="B801" s="210"/>
      <c r="C801" s="211"/>
      <c r="D801" s="212"/>
      <c r="E801" s="213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</row>
    <row r="802">
      <c r="A802" s="210" t="str">
        <f t="shared" si="1"/>
        <v/>
      </c>
      <c r="B802" s="210"/>
      <c r="C802" s="211"/>
      <c r="D802" s="212"/>
      <c r="E802" s="213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</row>
    <row r="803">
      <c r="A803" s="210" t="str">
        <f t="shared" si="1"/>
        <v/>
      </c>
      <c r="B803" s="210"/>
      <c r="C803" s="211"/>
      <c r="D803" s="212"/>
      <c r="E803" s="213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</row>
    <row r="804">
      <c r="A804" s="210" t="str">
        <f t="shared" si="1"/>
        <v/>
      </c>
      <c r="B804" s="210"/>
      <c r="C804" s="211"/>
      <c r="D804" s="212"/>
      <c r="E804" s="213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</row>
    <row r="805">
      <c r="A805" s="210" t="str">
        <f t="shared" si="1"/>
        <v/>
      </c>
      <c r="B805" s="210"/>
      <c r="C805" s="211"/>
      <c r="D805" s="212"/>
      <c r="E805" s="213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</row>
    <row r="806">
      <c r="A806" s="210" t="str">
        <f t="shared" si="1"/>
        <v/>
      </c>
      <c r="B806" s="210"/>
      <c r="C806" s="211"/>
      <c r="D806" s="212"/>
      <c r="E806" s="213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</row>
    <row r="807">
      <c r="A807" s="210" t="str">
        <f t="shared" si="1"/>
        <v/>
      </c>
      <c r="B807" s="210"/>
      <c r="C807" s="211"/>
      <c r="D807" s="212"/>
      <c r="E807" s="213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</row>
    <row r="808">
      <c r="A808" s="210" t="str">
        <f t="shared" si="1"/>
        <v/>
      </c>
      <c r="B808" s="210"/>
      <c r="C808" s="211"/>
      <c r="D808" s="212"/>
      <c r="E808" s="213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</row>
    <row r="809">
      <c r="A809" s="210" t="str">
        <f t="shared" si="1"/>
        <v/>
      </c>
      <c r="B809" s="210"/>
      <c r="C809" s="211"/>
      <c r="D809" s="212"/>
      <c r="E809" s="213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</row>
    <row r="810">
      <c r="A810" s="210" t="str">
        <f t="shared" si="1"/>
        <v/>
      </c>
      <c r="B810" s="210"/>
      <c r="C810" s="211"/>
      <c r="D810" s="212"/>
      <c r="E810" s="213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</row>
    <row r="811">
      <c r="A811" s="210" t="str">
        <f t="shared" si="1"/>
        <v/>
      </c>
      <c r="B811" s="210"/>
      <c r="C811" s="211"/>
      <c r="D811" s="212"/>
      <c r="E811" s="213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</row>
    <row r="812">
      <c r="A812" s="210" t="str">
        <f t="shared" si="1"/>
        <v/>
      </c>
      <c r="B812" s="210"/>
      <c r="C812" s="211"/>
      <c r="D812" s="212"/>
      <c r="E812" s="213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</row>
    <row r="813">
      <c r="A813" s="210" t="str">
        <f t="shared" si="1"/>
        <v/>
      </c>
      <c r="B813" s="210"/>
      <c r="C813" s="211"/>
      <c r="D813" s="212"/>
      <c r="E813" s="213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</row>
    <row r="814">
      <c r="A814" s="210" t="str">
        <f t="shared" si="1"/>
        <v/>
      </c>
      <c r="B814" s="210"/>
      <c r="C814" s="211"/>
      <c r="D814" s="212"/>
      <c r="E814" s="213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</row>
    <row r="815">
      <c r="A815" s="210" t="str">
        <f t="shared" si="1"/>
        <v/>
      </c>
      <c r="B815" s="210"/>
      <c r="C815" s="211"/>
      <c r="D815" s="212"/>
      <c r="E815" s="213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</row>
    <row r="816">
      <c r="A816" s="210" t="str">
        <f t="shared" si="1"/>
        <v/>
      </c>
      <c r="B816" s="210"/>
      <c r="C816" s="211"/>
      <c r="D816" s="212"/>
      <c r="E816" s="213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</row>
    <row r="817">
      <c r="A817" s="210" t="str">
        <f t="shared" si="1"/>
        <v/>
      </c>
      <c r="B817" s="210"/>
      <c r="C817" s="211"/>
      <c r="D817" s="212"/>
      <c r="E817" s="213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</row>
    <row r="818">
      <c r="A818" s="210" t="str">
        <f t="shared" si="1"/>
        <v/>
      </c>
      <c r="B818" s="210"/>
      <c r="C818" s="211"/>
      <c r="D818" s="212"/>
      <c r="E818" s="213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</row>
    <row r="819">
      <c r="A819" s="210" t="str">
        <f t="shared" si="1"/>
        <v/>
      </c>
      <c r="B819" s="210"/>
      <c r="C819" s="211"/>
      <c r="D819" s="212"/>
      <c r="E819" s="213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</row>
    <row r="820">
      <c r="A820" s="210" t="str">
        <f t="shared" si="1"/>
        <v/>
      </c>
      <c r="B820" s="210"/>
      <c r="C820" s="211"/>
      <c r="D820" s="212"/>
      <c r="E820" s="213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</row>
    <row r="821">
      <c r="A821" s="210" t="str">
        <f t="shared" si="1"/>
        <v/>
      </c>
      <c r="B821" s="210"/>
      <c r="C821" s="211"/>
      <c r="D821" s="212"/>
      <c r="E821" s="213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</row>
    <row r="822">
      <c r="A822" s="210" t="str">
        <f t="shared" si="1"/>
        <v/>
      </c>
      <c r="B822" s="210"/>
      <c r="C822" s="211"/>
      <c r="D822" s="212"/>
      <c r="E822" s="213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</row>
    <row r="823">
      <c r="A823" s="210" t="str">
        <f t="shared" si="1"/>
        <v/>
      </c>
      <c r="B823" s="210"/>
      <c r="C823" s="211"/>
      <c r="D823" s="212"/>
      <c r="E823" s="213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</row>
    <row r="824">
      <c r="A824" s="210" t="str">
        <f t="shared" si="1"/>
        <v/>
      </c>
      <c r="B824" s="210"/>
      <c r="C824" s="211"/>
      <c r="D824" s="212"/>
      <c r="E824" s="213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</row>
    <row r="825">
      <c r="A825" s="210" t="str">
        <f t="shared" si="1"/>
        <v/>
      </c>
      <c r="B825" s="210"/>
      <c r="C825" s="211"/>
      <c r="D825" s="212"/>
      <c r="E825" s="213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</row>
    <row r="826">
      <c r="A826" s="210" t="str">
        <f t="shared" si="1"/>
        <v/>
      </c>
      <c r="B826" s="210"/>
      <c r="C826" s="211"/>
      <c r="D826" s="212"/>
      <c r="E826" s="213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</row>
    <row r="827">
      <c r="A827" s="210" t="str">
        <f t="shared" si="1"/>
        <v/>
      </c>
      <c r="B827" s="210"/>
      <c r="C827" s="211"/>
      <c r="D827" s="212"/>
      <c r="E827" s="213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</row>
    <row r="828">
      <c r="A828" s="210" t="str">
        <f t="shared" si="1"/>
        <v/>
      </c>
      <c r="B828" s="210"/>
      <c r="C828" s="211"/>
      <c r="D828" s="212"/>
      <c r="E828" s="213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</row>
    <row r="829">
      <c r="A829" s="210" t="str">
        <f t="shared" si="1"/>
        <v/>
      </c>
      <c r="B829" s="210"/>
      <c r="C829" s="211"/>
      <c r="D829" s="212"/>
      <c r="E829" s="213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</row>
    <row r="830">
      <c r="A830" s="210" t="str">
        <f t="shared" si="1"/>
        <v/>
      </c>
      <c r="B830" s="210"/>
      <c r="C830" s="211"/>
      <c r="D830" s="212"/>
      <c r="E830" s="213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</row>
    <row r="831">
      <c r="A831" s="210" t="str">
        <f t="shared" si="1"/>
        <v/>
      </c>
      <c r="B831" s="210"/>
      <c r="C831" s="211"/>
      <c r="D831" s="212"/>
      <c r="E831" s="213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</row>
    <row r="832">
      <c r="A832" s="210" t="str">
        <f t="shared" si="1"/>
        <v/>
      </c>
      <c r="B832" s="210"/>
      <c r="C832" s="211"/>
      <c r="D832" s="212"/>
      <c r="E832" s="213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</row>
    <row r="833">
      <c r="A833" s="210" t="str">
        <f t="shared" si="1"/>
        <v/>
      </c>
      <c r="B833" s="210"/>
      <c r="C833" s="211"/>
      <c r="D833" s="212"/>
      <c r="E833" s="213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</row>
    <row r="834">
      <c r="A834" s="210" t="str">
        <f t="shared" si="1"/>
        <v/>
      </c>
      <c r="B834" s="210"/>
      <c r="C834" s="211"/>
      <c r="D834" s="212"/>
      <c r="E834" s="213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</row>
    <row r="835">
      <c r="A835" s="210" t="str">
        <f t="shared" si="1"/>
        <v/>
      </c>
      <c r="B835" s="210"/>
      <c r="C835" s="211"/>
      <c r="D835" s="212"/>
      <c r="E835" s="213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</row>
    <row r="836">
      <c r="A836" s="210" t="str">
        <f t="shared" si="1"/>
        <v/>
      </c>
      <c r="B836" s="210"/>
      <c r="C836" s="211"/>
      <c r="D836" s="212"/>
      <c r="E836" s="213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</row>
    <row r="837">
      <c r="A837" s="210" t="str">
        <f t="shared" si="1"/>
        <v/>
      </c>
      <c r="B837" s="210"/>
      <c r="C837" s="211"/>
      <c r="D837" s="212"/>
      <c r="E837" s="213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</row>
    <row r="838">
      <c r="A838" s="210" t="str">
        <f t="shared" si="1"/>
        <v/>
      </c>
      <c r="B838" s="210"/>
      <c r="C838" s="211"/>
      <c r="D838" s="212"/>
      <c r="E838" s="213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</row>
    <row r="839">
      <c r="A839" s="210" t="str">
        <f t="shared" si="1"/>
        <v/>
      </c>
      <c r="B839" s="210"/>
      <c r="C839" s="211"/>
      <c r="D839" s="212"/>
      <c r="E839" s="213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</row>
    <row r="840">
      <c r="A840" s="210" t="str">
        <f t="shared" si="1"/>
        <v/>
      </c>
      <c r="B840" s="210"/>
      <c r="C840" s="211"/>
      <c r="D840" s="212"/>
      <c r="E840" s="213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</row>
    <row r="841">
      <c r="A841" s="210" t="str">
        <f t="shared" si="1"/>
        <v/>
      </c>
      <c r="B841" s="210"/>
      <c r="C841" s="211"/>
      <c r="D841" s="212"/>
      <c r="E841" s="213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</row>
    <row r="842">
      <c r="A842" s="210" t="str">
        <f t="shared" si="1"/>
        <v/>
      </c>
      <c r="B842" s="210"/>
      <c r="C842" s="211"/>
      <c r="D842" s="212"/>
      <c r="E842" s="213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</row>
    <row r="843">
      <c r="A843" s="210" t="str">
        <f t="shared" si="1"/>
        <v/>
      </c>
      <c r="B843" s="210"/>
      <c r="C843" s="211"/>
      <c r="D843" s="212"/>
      <c r="E843" s="213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</row>
    <row r="844">
      <c r="A844" s="210" t="str">
        <f t="shared" si="1"/>
        <v/>
      </c>
      <c r="B844" s="210"/>
      <c r="C844" s="211"/>
      <c r="D844" s="212"/>
      <c r="E844" s="213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</row>
    <row r="845">
      <c r="A845" s="210" t="str">
        <f t="shared" si="1"/>
        <v/>
      </c>
      <c r="B845" s="210"/>
      <c r="C845" s="211"/>
      <c r="D845" s="212"/>
      <c r="E845" s="213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</row>
    <row r="846">
      <c r="A846" s="210" t="str">
        <f t="shared" si="1"/>
        <v/>
      </c>
      <c r="B846" s="210"/>
      <c r="C846" s="211"/>
      <c r="D846" s="212"/>
      <c r="E846" s="213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</row>
    <row r="847">
      <c r="A847" s="210" t="str">
        <f t="shared" si="1"/>
        <v/>
      </c>
      <c r="B847" s="210"/>
      <c r="C847" s="211"/>
      <c r="D847" s="212"/>
      <c r="E847" s="213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</row>
    <row r="848">
      <c r="A848" s="210" t="str">
        <f t="shared" si="1"/>
        <v/>
      </c>
      <c r="B848" s="210"/>
      <c r="C848" s="211"/>
      <c r="D848" s="212"/>
      <c r="E848" s="213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</row>
    <row r="849">
      <c r="A849" s="210" t="str">
        <f t="shared" si="1"/>
        <v/>
      </c>
      <c r="B849" s="210"/>
      <c r="C849" s="211"/>
      <c r="D849" s="212"/>
      <c r="E849" s="213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</row>
    <row r="850">
      <c r="A850" s="210" t="str">
        <f t="shared" si="1"/>
        <v/>
      </c>
      <c r="B850" s="210"/>
      <c r="C850" s="211"/>
      <c r="D850" s="212"/>
      <c r="E850" s="213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</row>
    <row r="851">
      <c r="A851" s="210" t="str">
        <f t="shared" si="1"/>
        <v/>
      </c>
      <c r="B851" s="210"/>
      <c r="C851" s="211"/>
      <c r="D851" s="212"/>
      <c r="E851" s="213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</row>
    <row r="852">
      <c r="A852" s="210" t="str">
        <f t="shared" si="1"/>
        <v/>
      </c>
      <c r="B852" s="210"/>
      <c r="C852" s="211"/>
      <c r="D852" s="212"/>
      <c r="E852" s="213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</row>
    <row r="853">
      <c r="A853" s="210" t="str">
        <f t="shared" si="1"/>
        <v/>
      </c>
      <c r="B853" s="210"/>
      <c r="C853" s="211"/>
      <c r="D853" s="212"/>
      <c r="E853" s="213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</row>
    <row r="854">
      <c r="A854" s="210" t="str">
        <f t="shared" si="1"/>
        <v/>
      </c>
      <c r="B854" s="210"/>
      <c r="C854" s="211"/>
      <c r="D854" s="212"/>
      <c r="E854" s="213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</row>
    <row r="855">
      <c r="A855" s="210" t="str">
        <f t="shared" si="1"/>
        <v/>
      </c>
      <c r="B855" s="210"/>
      <c r="C855" s="211"/>
      <c r="D855" s="212"/>
      <c r="E855" s="213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</row>
    <row r="856">
      <c r="A856" s="210" t="str">
        <f t="shared" si="1"/>
        <v/>
      </c>
      <c r="B856" s="210"/>
      <c r="C856" s="211"/>
      <c r="D856" s="212"/>
      <c r="E856" s="213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</row>
    <row r="857">
      <c r="A857" s="210" t="str">
        <f t="shared" si="1"/>
        <v/>
      </c>
      <c r="B857" s="210"/>
      <c r="C857" s="211"/>
      <c r="D857" s="212"/>
      <c r="E857" s="213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</row>
    <row r="858">
      <c r="A858" s="210" t="str">
        <f t="shared" si="1"/>
        <v/>
      </c>
      <c r="B858" s="210"/>
      <c r="C858" s="211"/>
      <c r="D858" s="212"/>
      <c r="E858" s="213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</row>
    <row r="859">
      <c r="A859" s="210" t="str">
        <f t="shared" si="1"/>
        <v/>
      </c>
      <c r="B859" s="210"/>
      <c r="C859" s="211"/>
      <c r="D859" s="212"/>
      <c r="E859" s="213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</row>
    <row r="860">
      <c r="A860" s="210" t="str">
        <f t="shared" si="1"/>
        <v/>
      </c>
      <c r="B860" s="210"/>
      <c r="C860" s="211"/>
      <c r="D860" s="212"/>
      <c r="E860" s="213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</row>
    <row r="861">
      <c r="A861" s="210" t="str">
        <f t="shared" si="1"/>
        <v/>
      </c>
      <c r="B861" s="210"/>
      <c r="C861" s="211"/>
      <c r="D861" s="212"/>
      <c r="E861" s="213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</row>
    <row r="862">
      <c r="A862" s="210" t="str">
        <f t="shared" si="1"/>
        <v/>
      </c>
      <c r="B862" s="210"/>
      <c r="C862" s="211"/>
      <c r="D862" s="212"/>
      <c r="E862" s="213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</row>
    <row r="863">
      <c r="A863" s="210" t="str">
        <f t="shared" si="1"/>
        <v/>
      </c>
      <c r="B863" s="210"/>
      <c r="C863" s="211"/>
      <c r="D863" s="212"/>
      <c r="E863" s="213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</row>
    <row r="864">
      <c r="A864" s="210" t="str">
        <f t="shared" si="1"/>
        <v/>
      </c>
      <c r="B864" s="210"/>
      <c r="C864" s="211"/>
      <c r="D864" s="212"/>
      <c r="E864" s="213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</row>
    <row r="865">
      <c r="A865" s="210" t="str">
        <f t="shared" si="1"/>
        <v/>
      </c>
      <c r="B865" s="210"/>
      <c r="C865" s="211"/>
      <c r="D865" s="212"/>
      <c r="E865" s="213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</row>
    <row r="866">
      <c r="A866" s="210" t="str">
        <f t="shared" si="1"/>
        <v/>
      </c>
      <c r="B866" s="210"/>
      <c r="C866" s="211"/>
      <c r="D866" s="212"/>
      <c r="E866" s="213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</row>
    <row r="867">
      <c r="A867" s="210" t="str">
        <f t="shared" si="1"/>
        <v/>
      </c>
      <c r="B867" s="210"/>
      <c r="C867" s="211"/>
      <c r="D867" s="212"/>
      <c r="E867" s="213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</row>
    <row r="868">
      <c r="A868" s="210" t="str">
        <f t="shared" si="1"/>
        <v/>
      </c>
      <c r="B868" s="210"/>
      <c r="C868" s="211"/>
      <c r="D868" s="212"/>
      <c r="E868" s="213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</row>
    <row r="869">
      <c r="A869" s="210" t="str">
        <f t="shared" si="1"/>
        <v/>
      </c>
      <c r="B869" s="210"/>
      <c r="C869" s="211"/>
      <c r="D869" s="212"/>
      <c r="E869" s="213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</row>
    <row r="870">
      <c r="A870" s="210" t="str">
        <f t="shared" si="1"/>
        <v/>
      </c>
      <c r="B870" s="210"/>
      <c r="C870" s="211"/>
      <c r="D870" s="212"/>
      <c r="E870" s="213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</row>
    <row r="871">
      <c r="A871" s="210" t="str">
        <f t="shared" si="1"/>
        <v/>
      </c>
      <c r="B871" s="210"/>
      <c r="C871" s="211"/>
      <c r="D871" s="212"/>
      <c r="E871" s="213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</row>
    <row r="872">
      <c r="A872" s="210" t="str">
        <f t="shared" si="1"/>
        <v/>
      </c>
      <c r="B872" s="210"/>
      <c r="C872" s="211"/>
      <c r="D872" s="212"/>
      <c r="E872" s="213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</row>
    <row r="873">
      <c r="A873" s="210" t="str">
        <f t="shared" si="1"/>
        <v/>
      </c>
      <c r="B873" s="210"/>
      <c r="C873" s="211"/>
      <c r="D873" s="212"/>
      <c r="E873" s="213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</row>
    <row r="874">
      <c r="A874" s="210" t="str">
        <f t="shared" si="1"/>
        <v/>
      </c>
      <c r="B874" s="210"/>
      <c r="C874" s="211"/>
      <c r="D874" s="212"/>
      <c r="E874" s="213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</row>
    <row r="875">
      <c r="A875" s="210" t="str">
        <f t="shared" si="1"/>
        <v/>
      </c>
      <c r="B875" s="210"/>
      <c r="C875" s="211"/>
      <c r="D875" s="212"/>
      <c r="E875" s="213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</row>
    <row r="876">
      <c r="A876" s="210" t="str">
        <f t="shared" si="1"/>
        <v/>
      </c>
      <c r="B876" s="210"/>
      <c r="C876" s="211"/>
      <c r="D876" s="212"/>
      <c r="E876" s="213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</row>
    <row r="877">
      <c r="A877" s="210" t="str">
        <f t="shared" si="1"/>
        <v/>
      </c>
      <c r="B877" s="210"/>
      <c r="C877" s="211"/>
      <c r="D877" s="212"/>
      <c r="E877" s="213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</row>
    <row r="878">
      <c r="A878" s="210" t="str">
        <f t="shared" si="1"/>
        <v/>
      </c>
      <c r="B878" s="210"/>
      <c r="C878" s="211"/>
      <c r="D878" s="212"/>
      <c r="E878" s="213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</row>
    <row r="879">
      <c r="A879" s="210" t="str">
        <f t="shared" si="1"/>
        <v/>
      </c>
      <c r="B879" s="210"/>
      <c r="C879" s="211"/>
      <c r="D879" s="212"/>
      <c r="E879" s="213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</row>
    <row r="880">
      <c r="A880" s="210" t="str">
        <f t="shared" si="1"/>
        <v/>
      </c>
      <c r="B880" s="210"/>
      <c r="C880" s="211"/>
      <c r="D880" s="212"/>
      <c r="E880" s="213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</row>
    <row r="881">
      <c r="A881" s="210" t="str">
        <f t="shared" si="1"/>
        <v/>
      </c>
      <c r="B881" s="210"/>
      <c r="C881" s="211"/>
      <c r="D881" s="212"/>
      <c r="E881" s="213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</row>
    <row r="882">
      <c r="A882" s="210" t="str">
        <f t="shared" si="1"/>
        <v/>
      </c>
      <c r="B882" s="210"/>
      <c r="C882" s="211"/>
      <c r="D882" s="212"/>
      <c r="E882" s="213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</row>
    <row r="883">
      <c r="A883" s="210" t="str">
        <f t="shared" si="1"/>
        <v/>
      </c>
      <c r="B883" s="210"/>
      <c r="C883" s="211"/>
      <c r="D883" s="212"/>
      <c r="E883" s="213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</row>
    <row r="884">
      <c r="A884" s="210" t="str">
        <f t="shared" si="1"/>
        <v/>
      </c>
      <c r="B884" s="210"/>
      <c r="C884" s="211"/>
      <c r="D884" s="212"/>
      <c r="E884" s="213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</row>
    <row r="885">
      <c r="A885" s="210" t="str">
        <f t="shared" si="1"/>
        <v/>
      </c>
      <c r="B885" s="210"/>
      <c r="C885" s="211"/>
      <c r="D885" s="212"/>
      <c r="E885" s="213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</row>
    <row r="886">
      <c r="A886" s="210" t="str">
        <f t="shared" si="1"/>
        <v/>
      </c>
      <c r="B886" s="210"/>
      <c r="C886" s="211"/>
      <c r="D886" s="212"/>
      <c r="E886" s="213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</row>
    <row r="887">
      <c r="A887" s="210" t="str">
        <f t="shared" si="1"/>
        <v/>
      </c>
      <c r="B887" s="210"/>
      <c r="C887" s="211"/>
      <c r="D887" s="212"/>
      <c r="E887" s="213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</row>
    <row r="888">
      <c r="A888" s="210" t="str">
        <f t="shared" si="1"/>
        <v/>
      </c>
      <c r="B888" s="210"/>
      <c r="C888" s="211"/>
      <c r="D888" s="212"/>
      <c r="E888" s="213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</row>
    <row r="889">
      <c r="A889" s="210" t="str">
        <f t="shared" si="1"/>
        <v/>
      </c>
      <c r="B889" s="210"/>
      <c r="C889" s="211"/>
      <c r="D889" s="212"/>
      <c r="E889" s="213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</row>
    <row r="890">
      <c r="A890" s="210" t="str">
        <f t="shared" si="1"/>
        <v/>
      </c>
      <c r="B890" s="210"/>
      <c r="C890" s="211"/>
      <c r="D890" s="212"/>
      <c r="E890" s="213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</row>
    <row r="891">
      <c r="A891" s="210" t="str">
        <f t="shared" si="1"/>
        <v/>
      </c>
      <c r="B891" s="210"/>
      <c r="C891" s="211"/>
      <c r="D891" s="212"/>
      <c r="E891" s="213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</row>
    <row r="892">
      <c r="A892" s="210" t="str">
        <f t="shared" si="1"/>
        <v/>
      </c>
      <c r="B892" s="210"/>
      <c r="C892" s="211"/>
      <c r="D892" s="212"/>
      <c r="E892" s="213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</row>
    <row r="893">
      <c r="A893" s="210" t="str">
        <f t="shared" si="1"/>
        <v/>
      </c>
      <c r="B893" s="210"/>
      <c r="C893" s="211"/>
      <c r="D893" s="212"/>
      <c r="E893" s="213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</row>
    <row r="894">
      <c r="A894" s="210" t="str">
        <f t="shared" si="1"/>
        <v/>
      </c>
      <c r="B894" s="210"/>
      <c r="C894" s="211"/>
      <c r="D894" s="212"/>
      <c r="E894" s="213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</row>
    <row r="895">
      <c r="A895" s="210" t="str">
        <f t="shared" si="1"/>
        <v/>
      </c>
      <c r="B895" s="210"/>
      <c r="C895" s="211"/>
      <c r="D895" s="212"/>
      <c r="E895" s="213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</row>
    <row r="896">
      <c r="A896" s="210" t="str">
        <f t="shared" si="1"/>
        <v/>
      </c>
      <c r="B896" s="210"/>
      <c r="C896" s="211"/>
      <c r="D896" s="212"/>
      <c r="E896" s="213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</row>
    <row r="897">
      <c r="A897" s="210" t="str">
        <f t="shared" si="1"/>
        <v/>
      </c>
      <c r="B897" s="210"/>
      <c r="C897" s="211"/>
      <c r="D897" s="212"/>
      <c r="E897" s="213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</row>
    <row r="898">
      <c r="A898" s="210" t="str">
        <f t="shared" si="1"/>
        <v/>
      </c>
      <c r="B898" s="210"/>
      <c r="C898" s="211"/>
      <c r="D898" s="212"/>
      <c r="E898" s="213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</row>
    <row r="899">
      <c r="A899" s="210" t="str">
        <f t="shared" si="1"/>
        <v/>
      </c>
      <c r="B899" s="210"/>
      <c r="C899" s="211"/>
      <c r="D899" s="212"/>
      <c r="E899" s="213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</row>
    <row r="900">
      <c r="A900" s="210" t="str">
        <f t="shared" si="1"/>
        <v/>
      </c>
      <c r="B900" s="210"/>
      <c r="C900" s="211"/>
      <c r="D900" s="212"/>
      <c r="E900" s="213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</row>
    <row r="901">
      <c r="A901" s="210" t="str">
        <f t="shared" si="1"/>
        <v/>
      </c>
      <c r="B901" s="210"/>
      <c r="C901" s="211"/>
      <c r="D901" s="212"/>
      <c r="E901" s="213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</row>
    <row r="902">
      <c r="A902" s="210" t="str">
        <f t="shared" si="1"/>
        <v/>
      </c>
      <c r="B902" s="210"/>
      <c r="C902" s="211"/>
      <c r="D902" s="212"/>
      <c r="E902" s="213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</row>
    <row r="903">
      <c r="A903" s="210" t="str">
        <f t="shared" si="1"/>
        <v/>
      </c>
      <c r="B903" s="210"/>
      <c r="C903" s="211"/>
      <c r="D903" s="212"/>
      <c r="E903" s="213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</row>
    <row r="904">
      <c r="A904" s="210" t="str">
        <f t="shared" si="1"/>
        <v/>
      </c>
      <c r="B904" s="210"/>
      <c r="C904" s="211"/>
      <c r="D904" s="212"/>
      <c r="E904" s="213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</row>
    <row r="905">
      <c r="A905" s="210" t="str">
        <f t="shared" si="1"/>
        <v/>
      </c>
      <c r="B905" s="210"/>
      <c r="C905" s="211"/>
      <c r="D905" s="212"/>
      <c r="E905" s="213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</row>
    <row r="906">
      <c r="A906" s="210" t="str">
        <f t="shared" si="1"/>
        <v/>
      </c>
      <c r="B906" s="210"/>
      <c r="C906" s="211"/>
      <c r="D906" s="212"/>
      <c r="E906" s="213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</row>
    <row r="907">
      <c r="A907" s="210" t="str">
        <f t="shared" si="1"/>
        <v/>
      </c>
      <c r="B907" s="210"/>
      <c r="C907" s="211"/>
      <c r="D907" s="212"/>
      <c r="E907" s="213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</row>
    <row r="908">
      <c r="A908" s="210" t="str">
        <f t="shared" si="1"/>
        <v/>
      </c>
      <c r="B908" s="210"/>
      <c r="C908" s="211"/>
      <c r="D908" s="212"/>
      <c r="E908" s="213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</row>
    <row r="909">
      <c r="A909" s="210" t="str">
        <f t="shared" si="1"/>
        <v/>
      </c>
      <c r="B909" s="210"/>
      <c r="C909" s="211"/>
      <c r="D909" s="212"/>
      <c r="E909" s="213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</row>
    <row r="910">
      <c r="A910" s="210" t="str">
        <f t="shared" si="1"/>
        <v/>
      </c>
      <c r="B910" s="210"/>
      <c r="C910" s="211"/>
      <c r="D910" s="212"/>
      <c r="E910" s="213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</row>
    <row r="911">
      <c r="A911" s="210" t="str">
        <f t="shared" si="1"/>
        <v/>
      </c>
      <c r="B911" s="210"/>
      <c r="C911" s="211"/>
      <c r="D911" s="212"/>
      <c r="E911" s="213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</row>
    <row r="912">
      <c r="A912" s="210" t="str">
        <f t="shared" si="1"/>
        <v/>
      </c>
      <c r="B912" s="210"/>
      <c r="C912" s="211"/>
      <c r="D912" s="212"/>
      <c r="E912" s="213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</row>
    <row r="913">
      <c r="A913" s="210" t="str">
        <f t="shared" si="1"/>
        <v/>
      </c>
      <c r="B913" s="210"/>
      <c r="C913" s="211"/>
      <c r="D913" s="212"/>
      <c r="E913" s="213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</row>
    <row r="914">
      <c r="A914" s="210" t="str">
        <f t="shared" si="1"/>
        <v/>
      </c>
      <c r="B914" s="210"/>
      <c r="C914" s="211"/>
      <c r="D914" s="212"/>
      <c r="E914" s="213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</row>
    <row r="915">
      <c r="A915" s="210" t="str">
        <f t="shared" si="1"/>
        <v/>
      </c>
      <c r="B915" s="210"/>
      <c r="C915" s="211"/>
      <c r="D915" s="212"/>
      <c r="E915" s="213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</row>
    <row r="916">
      <c r="A916" s="210" t="str">
        <f t="shared" si="1"/>
        <v/>
      </c>
      <c r="B916" s="210"/>
      <c r="C916" s="211"/>
      <c r="D916" s="212"/>
      <c r="E916" s="213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</row>
    <row r="917">
      <c r="A917" s="210" t="str">
        <f t="shared" si="1"/>
        <v/>
      </c>
      <c r="B917" s="210"/>
      <c r="C917" s="211"/>
      <c r="D917" s="212"/>
      <c r="E917" s="213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</row>
    <row r="918">
      <c r="A918" s="210" t="str">
        <f t="shared" si="1"/>
        <v/>
      </c>
      <c r="B918" s="210"/>
      <c r="C918" s="211"/>
      <c r="D918" s="212"/>
      <c r="E918" s="213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</row>
    <row r="919">
      <c r="A919" s="210" t="str">
        <f t="shared" si="1"/>
        <v/>
      </c>
      <c r="B919" s="210"/>
      <c r="C919" s="211"/>
      <c r="D919" s="212"/>
      <c r="E919" s="213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</row>
    <row r="920">
      <c r="A920" s="210" t="str">
        <f t="shared" si="1"/>
        <v/>
      </c>
      <c r="B920" s="210"/>
      <c r="C920" s="211"/>
      <c r="D920" s="212"/>
      <c r="E920" s="213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</row>
    <row r="921">
      <c r="A921" s="210" t="str">
        <f t="shared" si="1"/>
        <v/>
      </c>
      <c r="B921" s="210"/>
      <c r="C921" s="211"/>
      <c r="D921" s="212"/>
      <c r="E921" s="213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</row>
    <row r="922">
      <c r="A922" s="210" t="str">
        <f t="shared" si="1"/>
        <v/>
      </c>
      <c r="B922" s="210"/>
      <c r="C922" s="211"/>
      <c r="D922" s="212"/>
      <c r="E922" s="213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</row>
    <row r="923">
      <c r="A923" s="210" t="str">
        <f t="shared" si="1"/>
        <v/>
      </c>
      <c r="B923" s="210"/>
      <c r="C923" s="211"/>
      <c r="D923" s="212"/>
      <c r="E923" s="213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</row>
    <row r="924">
      <c r="A924" s="210" t="str">
        <f t="shared" si="1"/>
        <v/>
      </c>
      <c r="B924" s="210"/>
      <c r="C924" s="211"/>
      <c r="D924" s="212"/>
      <c r="E924" s="213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</row>
    <row r="925">
      <c r="A925" s="210" t="str">
        <f t="shared" si="1"/>
        <v/>
      </c>
      <c r="B925" s="210"/>
      <c r="C925" s="211"/>
      <c r="D925" s="212"/>
      <c r="E925" s="213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</row>
    <row r="926">
      <c r="A926" s="210" t="str">
        <f t="shared" si="1"/>
        <v/>
      </c>
      <c r="B926" s="210"/>
      <c r="C926" s="211"/>
      <c r="D926" s="212"/>
      <c r="E926" s="213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</row>
    <row r="927">
      <c r="A927" s="210" t="str">
        <f t="shared" si="1"/>
        <v/>
      </c>
      <c r="B927" s="210"/>
      <c r="C927" s="211"/>
      <c r="D927" s="212"/>
      <c r="E927" s="213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</row>
    <row r="928">
      <c r="A928" s="210" t="str">
        <f t="shared" si="1"/>
        <v/>
      </c>
      <c r="B928" s="210"/>
      <c r="C928" s="211"/>
      <c r="D928" s="212"/>
      <c r="E928" s="213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</row>
    <row r="929">
      <c r="A929" s="210" t="str">
        <f t="shared" si="1"/>
        <v/>
      </c>
      <c r="B929" s="210"/>
      <c r="C929" s="211"/>
      <c r="D929" s="212"/>
      <c r="E929" s="213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</row>
    <row r="930">
      <c r="A930" s="210" t="str">
        <f t="shared" si="1"/>
        <v/>
      </c>
      <c r="B930" s="210"/>
      <c r="C930" s="211"/>
      <c r="D930" s="212"/>
      <c r="E930" s="213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</row>
    <row r="931">
      <c r="A931" s="210" t="str">
        <f t="shared" si="1"/>
        <v/>
      </c>
      <c r="B931" s="210"/>
      <c r="C931" s="211"/>
      <c r="D931" s="212"/>
      <c r="E931" s="213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</row>
    <row r="932">
      <c r="A932" s="210" t="str">
        <f t="shared" si="1"/>
        <v/>
      </c>
      <c r="B932" s="210"/>
      <c r="C932" s="211"/>
      <c r="D932" s="212"/>
      <c r="E932" s="213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</row>
    <row r="933">
      <c r="A933" s="210" t="str">
        <f t="shared" si="1"/>
        <v/>
      </c>
      <c r="B933" s="210"/>
      <c r="C933" s="211"/>
      <c r="D933" s="212"/>
      <c r="E933" s="213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</row>
    <row r="934">
      <c r="A934" s="210" t="str">
        <f t="shared" si="1"/>
        <v/>
      </c>
      <c r="B934" s="210"/>
      <c r="C934" s="211"/>
      <c r="D934" s="212"/>
      <c r="E934" s="213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</row>
    <row r="935">
      <c r="A935" s="210" t="str">
        <f t="shared" si="1"/>
        <v/>
      </c>
      <c r="B935" s="210"/>
      <c r="C935" s="211"/>
      <c r="D935" s="212"/>
      <c r="E935" s="213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212"/>
      <c r="V935" s="212"/>
      <c r="W935" s="212"/>
      <c r="X935" s="212"/>
      <c r="Y935" s="212"/>
      <c r="Z935" s="212"/>
      <c r="AA935" s="212"/>
      <c r="AB935" s="212"/>
    </row>
    <row r="936">
      <c r="A936" s="210" t="str">
        <f t="shared" si="1"/>
        <v/>
      </c>
      <c r="B936" s="210"/>
      <c r="C936" s="211"/>
      <c r="D936" s="212"/>
      <c r="E936" s="213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212"/>
      <c r="V936" s="212"/>
      <c r="W936" s="212"/>
      <c r="X936" s="212"/>
      <c r="Y936" s="212"/>
      <c r="Z936" s="212"/>
      <c r="AA936" s="212"/>
      <c r="AB936" s="212"/>
    </row>
    <row r="937">
      <c r="A937" s="210" t="str">
        <f t="shared" si="1"/>
        <v/>
      </c>
      <c r="B937" s="210"/>
      <c r="C937" s="211"/>
      <c r="D937" s="212"/>
      <c r="E937" s="213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212"/>
      <c r="V937" s="212"/>
      <c r="W937" s="212"/>
      <c r="X937" s="212"/>
      <c r="Y937" s="212"/>
      <c r="Z937" s="212"/>
      <c r="AA937" s="212"/>
      <c r="AB937" s="212"/>
    </row>
    <row r="938">
      <c r="A938" s="210" t="str">
        <f t="shared" si="1"/>
        <v/>
      </c>
      <c r="B938" s="210"/>
      <c r="C938" s="211"/>
      <c r="D938" s="212"/>
      <c r="E938" s="213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212"/>
      <c r="V938" s="212"/>
      <c r="W938" s="212"/>
      <c r="X938" s="212"/>
      <c r="Y938" s="212"/>
      <c r="Z938" s="212"/>
      <c r="AA938" s="212"/>
      <c r="AB938" s="212"/>
    </row>
    <row r="939">
      <c r="A939" s="210" t="str">
        <f t="shared" si="1"/>
        <v/>
      </c>
      <c r="B939" s="210"/>
      <c r="C939" s="211"/>
      <c r="D939" s="212"/>
      <c r="E939" s="213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212"/>
      <c r="V939" s="212"/>
      <c r="W939" s="212"/>
      <c r="X939" s="212"/>
      <c r="Y939" s="212"/>
      <c r="Z939" s="212"/>
      <c r="AA939" s="212"/>
      <c r="AB939" s="212"/>
    </row>
    <row r="940">
      <c r="A940" s="210" t="str">
        <f t="shared" si="1"/>
        <v/>
      </c>
      <c r="B940" s="210"/>
      <c r="C940" s="211"/>
      <c r="D940" s="212"/>
      <c r="E940" s="213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212"/>
      <c r="V940" s="212"/>
      <c r="W940" s="212"/>
      <c r="X940" s="212"/>
      <c r="Y940" s="212"/>
      <c r="Z940" s="212"/>
      <c r="AA940" s="212"/>
      <c r="AB940" s="212"/>
    </row>
    <row r="941">
      <c r="A941" s="210" t="str">
        <f t="shared" si="1"/>
        <v/>
      </c>
      <c r="B941" s="210"/>
      <c r="C941" s="211"/>
      <c r="D941" s="212"/>
      <c r="E941" s="213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212"/>
      <c r="V941" s="212"/>
      <c r="W941" s="212"/>
      <c r="X941" s="212"/>
      <c r="Y941" s="212"/>
      <c r="Z941" s="212"/>
      <c r="AA941" s="212"/>
      <c r="AB941" s="212"/>
    </row>
    <row r="942">
      <c r="A942" s="210" t="str">
        <f t="shared" si="1"/>
        <v/>
      </c>
      <c r="B942" s="210"/>
      <c r="C942" s="211"/>
      <c r="D942" s="212"/>
      <c r="E942" s="213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212"/>
      <c r="V942" s="212"/>
      <c r="W942" s="212"/>
      <c r="X942" s="212"/>
      <c r="Y942" s="212"/>
      <c r="Z942" s="212"/>
      <c r="AA942" s="212"/>
      <c r="AB942" s="212"/>
    </row>
    <row r="943">
      <c r="A943" s="210" t="str">
        <f t="shared" si="1"/>
        <v/>
      </c>
      <c r="B943" s="210"/>
      <c r="C943" s="211"/>
      <c r="D943" s="212"/>
      <c r="E943" s="213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212"/>
      <c r="V943" s="212"/>
      <c r="W943" s="212"/>
      <c r="X943" s="212"/>
      <c r="Y943" s="212"/>
      <c r="Z943" s="212"/>
      <c r="AA943" s="212"/>
      <c r="AB943" s="212"/>
    </row>
    <row r="944">
      <c r="A944" s="210" t="str">
        <f t="shared" si="1"/>
        <v/>
      </c>
      <c r="B944" s="210"/>
      <c r="C944" s="211"/>
      <c r="D944" s="212"/>
      <c r="E944" s="213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212"/>
      <c r="V944" s="212"/>
      <c r="W944" s="212"/>
      <c r="X944" s="212"/>
      <c r="Y944" s="212"/>
      <c r="Z944" s="212"/>
      <c r="AA944" s="212"/>
      <c r="AB944" s="212"/>
    </row>
    <row r="945">
      <c r="A945" s="210" t="str">
        <f t="shared" si="1"/>
        <v/>
      </c>
      <c r="B945" s="210"/>
      <c r="C945" s="211"/>
      <c r="D945" s="212"/>
      <c r="E945" s="213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212"/>
      <c r="V945" s="212"/>
      <c r="W945" s="212"/>
      <c r="X945" s="212"/>
      <c r="Y945" s="212"/>
      <c r="Z945" s="212"/>
      <c r="AA945" s="212"/>
      <c r="AB945" s="212"/>
    </row>
    <row r="946">
      <c r="A946" s="210" t="str">
        <f t="shared" si="1"/>
        <v/>
      </c>
      <c r="B946" s="210"/>
      <c r="C946" s="211"/>
      <c r="D946" s="212"/>
      <c r="E946" s="213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212"/>
      <c r="V946" s="212"/>
      <c r="W946" s="212"/>
      <c r="X946" s="212"/>
      <c r="Y946" s="212"/>
      <c r="Z946" s="212"/>
      <c r="AA946" s="212"/>
      <c r="AB946" s="212"/>
    </row>
    <row r="947">
      <c r="A947" s="210" t="str">
        <f t="shared" si="1"/>
        <v/>
      </c>
      <c r="B947" s="210"/>
      <c r="C947" s="211"/>
      <c r="D947" s="212"/>
      <c r="E947" s="213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212"/>
      <c r="V947" s="212"/>
      <c r="W947" s="212"/>
      <c r="X947" s="212"/>
      <c r="Y947" s="212"/>
      <c r="Z947" s="212"/>
      <c r="AA947" s="212"/>
      <c r="AB947" s="212"/>
    </row>
    <row r="948">
      <c r="A948" s="210" t="str">
        <f t="shared" si="1"/>
        <v/>
      </c>
      <c r="B948" s="210"/>
      <c r="C948" s="211"/>
      <c r="D948" s="212"/>
      <c r="E948" s="213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212"/>
      <c r="V948" s="212"/>
      <c r="W948" s="212"/>
      <c r="X948" s="212"/>
      <c r="Y948" s="212"/>
      <c r="Z948" s="212"/>
      <c r="AA948" s="212"/>
      <c r="AB948" s="212"/>
    </row>
    <row r="949">
      <c r="A949" s="210" t="str">
        <f t="shared" si="1"/>
        <v/>
      </c>
      <c r="B949" s="210"/>
      <c r="C949" s="211"/>
      <c r="D949" s="212"/>
      <c r="E949" s="213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212"/>
      <c r="V949" s="212"/>
      <c r="W949" s="212"/>
      <c r="X949" s="212"/>
      <c r="Y949" s="212"/>
      <c r="Z949" s="212"/>
      <c r="AA949" s="212"/>
      <c r="AB949" s="212"/>
    </row>
    <row r="950">
      <c r="A950" s="210" t="str">
        <f t="shared" si="1"/>
        <v/>
      </c>
      <c r="B950" s="210"/>
      <c r="C950" s="211"/>
      <c r="D950" s="212"/>
      <c r="E950" s="213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212"/>
      <c r="V950" s="212"/>
      <c r="W950" s="212"/>
      <c r="X950" s="212"/>
      <c r="Y950" s="212"/>
      <c r="Z950" s="212"/>
      <c r="AA950" s="212"/>
      <c r="AB950" s="212"/>
    </row>
    <row r="951">
      <c r="A951" s="210" t="str">
        <f t="shared" si="1"/>
        <v/>
      </c>
      <c r="B951" s="210"/>
      <c r="C951" s="211"/>
      <c r="D951" s="212"/>
      <c r="E951" s="213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212"/>
      <c r="V951" s="212"/>
      <c r="W951" s="212"/>
      <c r="X951" s="212"/>
      <c r="Y951" s="212"/>
      <c r="Z951" s="212"/>
      <c r="AA951" s="212"/>
      <c r="AB951" s="212"/>
    </row>
    <row r="952">
      <c r="A952" s="210" t="str">
        <f t="shared" si="1"/>
        <v/>
      </c>
      <c r="B952" s="210"/>
      <c r="C952" s="211"/>
      <c r="D952" s="212"/>
      <c r="E952" s="213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212"/>
      <c r="V952" s="212"/>
      <c r="W952" s="212"/>
      <c r="X952" s="212"/>
      <c r="Y952" s="212"/>
      <c r="Z952" s="212"/>
      <c r="AA952" s="212"/>
      <c r="AB952" s="212"/>
    </row>
    <row r="953">
      <c r="A953" s="210" t="str">
        <f t="shared" si="1"/>
        <v/>
      </c>
      <c r="B953" s="210"/>
      <c r="C953" s="211"/>
      <c r="D953" s="212"/>
      <c r="E953" s="213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212"/>
      <c r="V953" s="212"/>
      <c r="W953" s="212"/>
      <c r="X953" s="212"/>
      <c r="Y953" s="212"/>
      <c r="Z953" s="212"/>
      <c r="AA953" s="212"/>
      <c r="AB953" s="212"/>
    </row>
    <row r="954">
      <c r="A954" s="210" t="str">
        <f t="shared" si="1"/>
        <v/>
      </c>
      <c r="B954" s="210"/>
      <c r="C954" s="211"/>
      <c r="D954" s="212"/>
      <c r="E954" s="213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212"/>
      <c r="V954" s="212"/>
      <c r="W954" s="212"/>
      <c r="X954" s="212"/>
      <c r="Y954" s="212"/>
      <c r="Z954" s="212"/>
      <c r="AA954" s="212"/>
      <c r="AB954" s="212"/>
    </row>
    <row r="955">
      <c r="A955" s="210" t="str">
        <f t="shared" si="1"/>
        <v/>
      </c>
      <c r="B955" s="210"/>
      <c r="C955" s="211"/>
      <c r="D955" s="212"/>
      <c r="E955" s="213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212"/>
      <c r="V955" s="212"/>
      <c r="W955" s="212"/>
      <c r="X955" s="212"/>
      <c r="Y955" s="212"/>
      <c r="Z955" s="212"/>
      <c r="AA955" s="212"/>
      <c r="AB955" s="212"/>
    </row>
    <row r="956">
      <c r="A956" s="210" t="str">
        <f t="shared" si="1"/>
        <v/>
      </c>
      <c r="B956" s="210"/>
      <c r="C956" s="211"/>
      <c r="D956" s="212"/>
      <c r="E956" s="213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212"/>
      <c r="V956" s="212"/>
      <c r="W956" s="212"/>
      <c r="X956" s="212"/>
      <c r="Y956" s="212"/>
      <c r="Z956" s="212"/>
      <c r="AA956" s="212"/>
      <c r="AB956" s="212"/>
    </row>
    <row r="957">
      <c r="A957" s="210" t="str">
        <f t="shared" si="1"/>
        <v/>
      </c>
      <c r="B957" s="210"/>
      <c r="C957" s="211"/>
      <c r="D957" s="212"/>
      <c r="E957" s="213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212"/>
      <c r="V957" s="212"/>
      <c r="W957" s="212"/>
      <c r="X957" s="212"/>
      <c r="Y957" s="212"/>
      <c r="Z957" s="212"/>
      <c r="AA957" s="212"/>
      <c r="AB957" s="212"/>
    </row>
    <row r="958">
      <c r="A958" s="210" t="str">
        <f t="shared" si="1"/>
        <v/>
      </c>
      <c r="B958" s="210"/>
      <c r="C958" s="211"/>
      <c r="D958" s="212"/>
      <c r="E958" s="213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212"/>
      <c r="V958" s="212"/>
      <c r="W958" s="212"/>
      <c r="X958" s="212"/>
      <c r="Y958" s="212"/>
      <c r="Z958" s="212"/>
      <c r="AA958" s="212"/>
      <c r="AB958" s="212"/>
    </row>
    <row r="959">
      <c r="A959" s="210" t="str">
        <f t="shared" si="1"/>
        <v/>
      </c>
      <c r="B959" s="210"/>
      <c r="C959" s="211"/>
      <c r="D959" s="212"/>
      <c r="E959" s="213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212"/>
      <c r="V959" s="212"/>
      <c r="W959" s="212"/>
      <c r="X959" s="212"/>
      <c r="Y959" s="212"/>
      <c r="Z959" s="212"/>
      <c r="AA959" s="212"/>
      <c r="AB959" s="212"/>
    </row>
    <row r="960">
      <c r="A960" s="210" t="str">
        <f t="shared" si="1"/>
        <v/>
      </c>
      <c r="B960" s="210"/>
      <c r="C960" s="211"/>
      <c r="D960" s="212"/>
      <c r="E960" s="213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212"/>
      <c r="V960" s="212"/>
      <c r="W960" s="212"/>
      <c r="X960" s="212"/>
      <c r="Y960" s="212"/>
      <c r="Z960" s="212"/>
      <c r="AA960" s="212"/>
      <c r="AB960" s="212"/>
    </row>
    <row r="961">
      <c r="A961" s="210" t="str">
        <f t="shared" si="1"/>
        <v/>
      </c>
      <c r="B961" s="210"/>
      <c r="C961" s="211"/>
      <c r="D961" s="212"/>
      <c r="E961" s="213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212"/>
      <c r="V961" s="212"/>
      <c r="W961" s="212"/>
      <c r="X961" s="212"/>
      <c r="Y961" s="212"/>
      <c r="Z961" s="212"/>
      <c r="AA961" s="212"/>
      <c r="AB961" s="212"/>
    </row>
    <row r="962">
      <c r="A962" s="210" t="str">
        <f t="shared" si="1"/>
        <v/>
      </c>
      <c r="B962" s="210"/>
      <c r="C962" s="211"/>
      <c r="D962" s="212"/>
      <c r="E962" s="213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212"/>
      <c r="V962" s="212"/>
      <c r="W962" s="212"/>
      <c r="X962" s="212"/>
      <c r="Y962" s="212"/>
      <c r="Z962" s="212"/>
      <c r="AA962" s="212"/>
      <c r="AB962" s="212"/>
    </row>
    <row r="963">
      <c r="A963" s="210" t="str">
        <f t="shared" si="1"/>
        <v/>
      </c>
      <c r="B963" s="210"/>
      <c r="C963" s="211"/>
      <c r="D963" s="212"/>
      <c r="E963" s="213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212"/>
      <c r="V963" s="212"/>
      <c r="W963" s="212"/>
      <c r="X963" s="212"/>
      <c r="Y963" s="212"/>
      <c r="Z963" s="212"/>
      <c r="AA963" s="212"/>
      <c r="AB963" s="212"/>
    </row>
    <row r="964">
      <c r="A964" s="210" t="str">
        <f t="shared" si="1"/>
        <v/>
      </c>
      <c r="B964" s="210"/>
      <c r="C964" s="211"/>
      <c r="D964" s="212"/>
      <c r="E964" s="213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212"/>
      <c r="V964" s="212"/>
      <c r="W964" s="212"/>
      <c r="X964" s="212"/>
      <c r="Y964" s="212"/>
      <c r="Z964" s="212"/>
      <c r="AA964" s="212"/>
      <c r="AB964" s="212"/>
    </row>
    <row r="965">
      <c r="A965" s="210" t="str">
        <f t="shared" si="1"/>
        <v/>
      </c>
      <c r="B965" s="210"/>
      <c r="C965" s="211"/>
      <c r="D965" s="212"/>
      <c r="E965" s="213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212"/>
      <c r="V965" s="212"/>
      <c r="W965" s="212"/>
      <c r="X965" s="212"/>
      <c r="Y965" s="212"/>
      <c r="Z965" s="212"/>
      <c r="AA965" s="212"/>
      <c r="AB965" s="212"/>
    </row>
    <row r="966">
      <c r="A966" s="210" t="str">
        <f t="shared" si="1"/>
        <v/>
      </c>
      <c r="B966" s="210"/>
      <c r="C966" s="211"/>
      <c r="D966" s="212"/>
      <c r="E966" s="213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212"/>
      <c r="V966" s="212"/>
      <c r="W966" s="212"/>
      <c r="X966" s="212"/>
      <c r="Y966" s="212"/>
      <c r="Z966" s="212"/>
      <c r="AA966" s="212"/>
      <c r="AB966" s="212"/>
    </row>
    <row r="967">
      <c r="A967" s="210" t="str">
        <f t="shared" si="1"/>
        <v/>
      </c>
      <c r="B967" s="210"/>
      <c r="C967" s="211"/>
      <c r="D967" s="212"/>
      <c r="E967" s="213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212"/>
      <c r="V967" s="212"/>
      <c r="W967" s="212"/>
      <c r="X967" s="212"/>
      <c r="Y967" s="212"/>
      <c r="Z967" s="212"/>
      <c r="AA967" s="212"/>
      <c r="AB967" s="212"/>
    </row>
    <row r="968">
      <c r="A968" s="210" t="str">
        <f t="shared" si="1"/>
        <v/>
      </c>
      <c r="B968" s="210"/>
      <c r="C968" s="211"/>
      <c r="D968" s="212"/>
      <c r="E968" s="213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212"/>
      <c r="V968" s="212"/>
      <c r="W968" s="212"/>
      <c r="X968" s="212"/>
      <c r="Y968" s="212"/>
      <c r="Z968" s="212"/>
      <c r="AA968" s="212"/>
      <c r="AB968" s="212"/>
    </row>
    <row r="969">
      <c r="A969" s="210" t="str">
        <f t="shared" si="1"/>
        <v/>
      </c>
      <c r="B969" s="210"/>
      <c r="C969" s="211"/>
      <c r="D969" s="212"/>
      <c r="E969" s="213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212"/>
      <c r="V969" s="212"/>
      <c r="W969" s="212"/>
      <c r="X969" s="212"/>
      <c r="Y969" s="212"/>
      <c r="Z969" s="212"/>
      <c r="AA969" s="212"/>
      <c r="AB969" s="212"/>
    </row>
    <row r="970">
      <c r="A970" s="210" t="str">
        <f t="shared" si="1"/>
        <v/>
      </c>
      <c r="B970" s="210"/>
      <c r="C970" s="211"/>
      <c r="D970" s="212"/>
      <c r="E970" s="213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212"/>
      <c r="V970" s="212"/>
      <c r="W970" s="212"/>
      <c r="X970" s="212"/>
      <c r="Y970" s="212"/>
      <c r="Z970" s="212"/>
      <c r="AA970" s="212"/>
      <c r="AB970" s="212"/>
    </row>
    <row r="971">
      <c r="A971" s="210" t="str">
        <f t="shared" si="1"/>
        <v/>
      </c>
      <c r="B971" s="210"/>
      <c r="C971" s="211"/>
      <c r="D971" s="212"/>
      <c r="E971" s="213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212"/>
      <c r="V971" s="212"/>
      <c r="W971" s="212"/>
      <c r="X971" s="212"/>
      <c r="Y971" s="212"/>
      <c r="Z971" s="212"/>
      <c r="AA971" s="212"/>
      <c r="AB971" s="212"/>
    </row>
    <row r="972">
      <c r="A972" s="210" t="str">
        <f t="shared" si="1"/>
        <v/>
      </c>
      <c r="B972" s="210"/>
      <c r="C972" s="211"/>
      <c r="D972" s="212"/>
      <c r="E972" s="213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212"/>
      <c r="V972" s="212"/>
      <c r="W972" s="212"/>
      <c r="X972" s="212"/>
      <c r="Y972" s="212"/>
      <c r="Z972" s="212"/>
      <c r="AA972" s="212"/>
      <c r="AB972" s="212"/>
    </row>
    <row r="973">
      <c r="A973" s="210" t="str">
        <f t="shared" si="1"/>
        <v/>
      </c>
      <c r="B973" s="210"/>
      <c r="C973" s="211"/>
      <c r="D973" s="212"/>
      <c r="E973" s="213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212"/>
      <c r="V973" s="212"/>
      <c r="W973" s="212"/>
      <c r="X973" s="212"/>
      <c r="Y973" s="212"/>
      <c r="Z973" s="212"/>
      <c r="AA973" s="212"/>
      <c r="AB973" s="212"/>
    </row>
    <row r="974">
      <c r="A974" s="210" t="str">
        <f t="shared" si="1"/>
        <v/>
      </c>
      <c r="B974" s="210"/>
      <c r="C974" s="211"/>
      <c r="D974" s="212"/>
      <c r="E974" s="213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212"/>
      <c r="V974" s="212"/>
      <c r="W974" s="212"/>
      <c r="X974" s="212"/>
      <c r="Y974" s="212"/>
      <c r="Z974" s="212"/>
      <c r="AA974" s="212"/>
      <c r="AB974" s="212"/>
    </row>
    <row r="975">
      <c r="A975" s="210" t="str">
        <f t="shared" si="1"/>
        <v/>
      </c>
      <c r="B975" s="210"/>
      <c r="C975" s="211"/>
      <c r="D975" s="212"/>
      <c r="E975" s="213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212"/>
      <c r="V975" s="212"/>
      <c r="W975" s="212"/>
      <c r="X975" s="212"/>
      <c r="Y975" s="212"/>
      <c r="Z975" s="212"/>
      <c r="AA975" s="212"/>
      <c r="AB975" s="212"/>
    </row>
    <row r="976">
      <c r="A976" s="210" t="str">
        <f t="shared" si="1"/>
        <v/>
      </c>
      <c r="B976" s="210"/>
      <c r="C976" s="211"/>
      <c r="D976" s="212"/>
      <c r="E976" s="213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212"/>
      <c r="V976" s="212"/>
      <c r="W976" s="212"/>
      <c r="X976" s="212"/>
      <c r="Y976" s="212"/>
      <c r="Z976" s="212"/>
      <c r="AA976" s="212"/>
      <c r="AB976" s="212"/>
    </row>
    <row r="977">
      <c r="A977" s="210" t="str">
        <f t="shared" si="1"/>
        <v/>
      </c>
      <c r="B977" s="210"/>
      <c r="C977" s="211"/>
      <c r="D977" s="212"/>
      <c r="E977" s="213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212"/>
      <c r="V977" s="212"/>
      <c r="W977" s="212"/>
      <c r="X977" s="212"/>
      <c r="Y977" s="212"/>
      <c r="Z977" s="212"/>
      <c r="AA977" s="212"/>
      <c r="AB977" s="212"/>
    </row>
    <row r="978">
      <c r="A978" s="210" t="str">
        <f t="shared" si="1"/>
        <v/>
      </c>
      <c r="B978" s="210"/>
      <c r="C978" s="211"/>
      <c r="D978" s="212"/>
      <c r="E978" s="213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212"/>
      <c r="V978" s="212"/>
      <c r="W978" s="212"/>
      <c r="X978" s="212"/>
      <c r="Y978" s="212"/>
      <c r="Z978" s="212"/>
      <c r="AA978" s="212"/>
      <c r="AB978" s="212"/>
    </row>
    <row r="979">
      <c r="A979" s="210" t="str">
        <f t="shared" si="1"/>
        <v/>
      </c>
      <c r="B979" s="210"/>
      <c r="C979" s="211"/>
      <c r="D979" s="212"/>
      <c r="E979" s="213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212"/>
      <c r="V979" s="212"/>
      <c r="W979" s="212"/>
      <c r="X979" s="212"/>
      <c r="Y979" s="212"/>
      <c r="Z979" s="212"/>
      <c r="AA979" s="212"/>
      <c r="AB979" s="212"/>
    </row>
    <row r="980">
      <c r="A980" s="210" t="str">
        <f t="shared" si="1"/>
        <v/>
      </c>
      <c r="B980" s="210"/>
      <c r="C980" s="211"/>
      <c r="D980" s="212"/>
      <c r="E980" s="213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212"/>
      <c r="V980" s="212"/>
      <c r="W980" s="212"/>
      <c r="X980" s="212"/>
      <c r="Y980" s="212"/>
      <c r="Z980" s="212"/>
      <c r="AA980" s="212"/>
      <c r="AB980" s="212"/>
    </row>
    <row r="981">
      <c r="A981" s="210" t="str">
        <f t="shared" si="1"/>
        <v/>
      </c>
      <c r="B981" s="210"/>
      <c r="C981" s="211"/>
      <c r="D981" s="212"/>
      <c r="E981" s="213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212"/>
      <c r="V981" s="212"/>
      <c r="W981" s="212"/>
      <c r="X981" s="212"/>
      <c r="Y981" s="212"/>
      <c r="Z981" s="212"/>
      <c r="AA981" s="212"/>
      <c r="AB981" s="212"/>
    </row>
    <row r="982">
      <c r="A982" s="210" t="str">
        <f t="shared" si="1"/>
        <v/>
      </c>
      <c r="B982" s="210"/>
      <c r="C982" s="211"/>
      <c r="D982" s="212"/>
      <c r="E982" s="213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212"/>
      <c r="V982" s="212"/>
      <c r="W982" s="212"/>
      <c r="X982" s="212"/>
      <c r="Y982" s="212"/>
      <c r="Z982" s="212"/>
      <c r="AA982" s="212"/>
      <c r="AB982" s="212"/>
    </row>
    <row r="983">
      <c r="A983" s="210" t="str">
        <f t="shared" si="1"/>
        <v/>
      </c>
      <c r="B983" s="210"/>
      <c r="C983" s="211"/>
      <c r="D983" s="212"/>
      <c r="E983" s="213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212"/>
      <c r="V983" s="212"/>
      <c r="W983" s="212"/>
      <c r="X983" s="212"/>
      <c r="Y983" s="212"/>
      <c r="Z983" s="212"/>
      <c r="AA983" s="212"/>
      <c r="AB983" s="212"/>
    </row>
    <row r="984">
      <c r="A984" s="210" t="str">
        <f t="shared" si="1"/>
        <v/>
      </c>
      <c r="B984" s="210"/>
      <c r="C984" s="211"/>
      <c r="D984" s="212"/>
      <c r="E984" s="213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212"/>
      <c r="V984" s="212"/>
      <c r="W984" s="212"/>
      <c r="X984" s="212"/>
      <c r="Y984" s="212"/>
      <c r="Z984" s="212"/>
      <c r="AA984" s="212"/>
      <c r="AB984" s="212"/>
    </row>
    <row r="985">
      <c r="A985" s="210" t="str">
        <f t="shared" si="1"/>
        <v/>
      </c>
      <c r="B985" s="210"/>
      <c r="C985" s="211"/>
      <c r="D985" s="212"/>
      <c r="E985" s="213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212"/>
      <c r="V985" s="212"/>
      <c r="W985" s="212"/>
      <c r="X985" s="212"/>
      <c r="Y985" s="212"/>
      <c r="Z985" s="212"/>
      <c r="AA985" s="212"/>
      <c r="AB985" s="212"/>
    </row>
    <row r="986">
      <c r="A986" s="210" t="str">
        <f t="shared" si="1"/>
        <v/>
      </c>
      <c r="B986" s="210"/>
      <c r="C986" s="211"/>
      <c r="D986" s="212"/>
      <c r="E986" s="213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212"/>
      <c r="V986" s="212"/>
      <c r="W986" s="212"/>
      <c r="X986" s="212"/>
      <c r="Y986" s="212"/>
      <c r="Z986" s="212"/>
      <c r="AA986" s="212"/>
      <c r="AB986" s="212"/>
    </row>
    <row r="987">
      <c r="A987" s="210" t="str">
        <f t="shared" si="1"/>
        <v/>
      </c>
      <c r="B987" s="210"/>
      <c r="C987" s="211"/>
      <c r="D987" s="212"/>
      <c r="E987" s="213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212"/>
      <c r="V987" s="212"/>
      <c r="W987" s="212"/>
      <c r="X987" s="212"/>
      <c r="Y987" s="212"/>
      <c r="Z987" s="212"/>
      <c r="AA987" s="212"/>
      <c r="AB987" s="212"/>
    </row>
    <row r="988">
      <c r="A988" s="210" t="str">
        <f t="shared" si="1"/>
        <v/>
      </c>
      <c r="B988" s="210"/>
      <c r="C988" s="211"/>
      <c r="D988" s="212"/>
      <c r="E988" s="213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212"/>
      <c r="V988" s="212"/>
      <c r="W988" s="212"/>
      <c r="X988" s="212"/>
      <c r="Y988" s="212"/>
      <c r="Z988" s="212"/>
      <c r="AA988" s="212"/>
      <c r="AB988" s="212"/>
    </row>
    <row r="989">
      <c r="A989" s="210" t="str">
        <f t="shared" si="1"/>
        <v/>
      </c>
      <c r="B989" s="210"/>
      <c r="C989" s="211"/>
      <c r="D989" s="212"/>
      <c r="E989" s="213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212"/>
      <c r="V989" s="212"/>
      <c r="W989" s="212"/>
      <c r="X989" s="212"/>
      <c r="Y989" s="212"/>
      <c r="Z989" s="212"/>
      <c r="AA989" s="212"/>
      <c r="AB989" s="212"/>
    </row>
    <row r="990">
      <c r="A990" s="210" t="str">
        <f t="shared" si="1"/>
        <v/>
      </c>
      <c r="B990" s="210"/>
      <c r="C990" s="211"/>
      <c r="D990" s="212"/>
      <c r="E990" s="213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212"/>
      <c r="V990" s="212"/>
      <c r="W990" s="212"/>
      <c r="X990" s="212"/>
      <c r="Y990" s="212"/>
      <c r="Z990" s="212"/>
      <c r="AA990" s="212"/>
      <c r="AB990" s="212"/>
    </row>
    <row r="991">
      <c r="A991" s="210" t="str">
        <f t="shared" si="1"/>
        <v/>
      </c>
      <c r="B991" s="210"/>
      <c r="C991" s="211"/>
      <c r="D991" s="212"/>
      <c r="E991" s="213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212"/>
      <c r="V991" s="212"/>
      <c r="W991" s="212"/>
      <c r="X991" s="212"/>
      <c r="Y991" s="212"/>
      <c r="Z991" s="212"/>
      <c r="AA991" s="212"/>
      <c r="AB991" s="212"/>
    </row>
    <row r="992">
      <c r="A992" s="210" t="str">
        <f t="shared" si="1"/>
        <v/>
      </c>
      <c r="B992" s="210"/>
      <c r="C992" s="211"/>
      <c r="D992" s="212"/>
      <c r="E992" s="213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212"/>
      <c r="V992" s="212"/>
      <c r="W992" s="212"/>
      <c r="X992" s="212"/>
      <c r="Y992" s="212"/>
      <c r="Z992" s="212"/>
      <c r="AA992" s="212"/>
      <c r="AB992" s="212"/>
    </row>
    <row r="993">
      <c r="A993" s="210" t="str">
        <f t="shared" si="1"/>
        <v/>
      </c>
      <c r="B993" s="210"/>
      <c r="C993" s="211"/>
      <c r="D993" s="212"/>
      <c r="E993" s="213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212"/>
      <c r="V993" s="212"/>
      <c r="W993" s="212"/>
      <c r="X993" s="212"/>
      <c r="Y993" s="212"/>
      <c r="Z993" s="212"/>
      <c r="AA993" s="212"/>
      <c r="AB993" s="212"/>
    </row>
    <row r="994">
      <c r="A994" s="210" t="str">
        <f t="shared" si="1"/>
        <v/>
      </c>
      <c r="B994" s="210"/>
      <c r="C994" s="211"/>
      <c r="D994" s="212"/>
      <c r="E994" s="213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212"/>
      <c r="V994" s="212"/>
      <c r="W994" s="212"/>
      <c r="X994" s="212"/>
      <c r="Y994" s="212"/>
      <c r="Z994" s="212"/>
      <c r="AA994" s="212"/>
      <c r="AB994" s="212"/>
    </row>
    <row r="995">
      <c r="A995" s="210" t="str">
        <f t="shared" si="1"/>
        <v/>
      </c>
      <c r="B995" s="210"/>
      <c r="C995" s="211"/>
      <c r="D995" s="212"/>
      <c r="E995" s="213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212"/>
      <c r="V995" s="212"/>
      <c r="W995" s="212"/>
      <c r="X995" s="212"/>
      <c r="Y995" s="212"/>
      <c r="Z995" s="212"/>
      <c r="AA995" s="212"/>
      <c r="AB995" s="212"/>
    </row>
    <row r="996">
      <c r="A996" s="210" t="str">
        <f t="shared" si="1"/>
        <v/>
      </c>
      <c r="B996" s="210"/>
      <c r="C996" s="211"/>
      <c r="D996" s="212"/>
      <c r="E996" s="213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212"/>
      <c r="V996" s="212"/>
      <c r="W996" s="212"/>
      <c r="X996" s="212"/>
      <c r="Y996" s="212"/>
      <c r="Z996" s="212"/>
      <c r="AA996" s="212"/>
      <c r="AB996" s="212"/>
    </row>
    <row r="997">
      <c r="A997" s="210" t="str">
        <f t="shared" si="1"/>
        <v/>
      </c>
      <c r="B997" s="210"/>
      <c r="C997" s="211"/>
      <c r="D997" s="212"/>
      <c r="E997" s="213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212"/>
      <c r="V997" s="212"/>
      <c r="W997" s="212"/>
      <c r="X997" s="212"/>
      <c r="Y997" s="212"/>
      <c r="Z997" s="212"/>
      <c r="AA997" s="212"/>
      <c r="AB997" s="212"/>
    </row>
    <row r="998">
      <c r="A998" s="210" t="str">
        <f t="shared" si="1"/>
        <v/>
      </c>
      <c r="B998" s="210"/>
      <c r="C998" s="211"/>
      <c r="D998" s="212"/>
      <c r="E998" s="213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212"/>
      <c r="V998" s="212"/>
      <c r="W998" s="212"/>
      <c r="X998" s="212"/>
      <c r="Y998" s="212"/>
      <c r="Z998" s="212"/>
      <c r="AA998" s="212"/>
      <c r="AB998" s="212"/>
    </row>
    <row r="999">
      <c r="A999" s="210" t="str">
        <f t="shared" si="1"/>
        <v/>
      </c>
      <c r="B999" s="210"/>
      <c r="C999" s="211"/>
      <c r="D999" s="212"/>
      <c r="E999" s="213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212"/>
      <c r="V999" s="212"/>
      <c r="W999" s="212"/>
      <c r="X999" s="212"/>
      <c r="Y999" s="212"/>
      <c r="Z999" s="212"/>
      <c r="AA999" s="212"/>
      <c r="AB999" s="212"/>
    </row>
    <row r="1000">
      <c r="A1000" s="210" t="str">
        <f t="shared" si="1"/>
        <v/>
      </c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  <c r="AA1000" s="202"/>
      <c r="AB1000" s="202"/>
    </row>
  </sheetData>
  <autoFilter ref="$B$1:$AB$16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67"/>
  </cols>
  <sheetData>
    <row r="1">
      <c r="A1" s="1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</sheetData>
  <drawing r:id="rId2"/>
</worksheet>
</file>